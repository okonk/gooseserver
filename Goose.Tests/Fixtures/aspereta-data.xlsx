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ll Effects" sheetId="1" r:id="rId5"/>
    <sheet state="visible" name="Spells" sheetId="2" r:id="rId6"/>
    <sheet state="visible" name="Items" sheetId="3" r:id="rId7"/>
    <sheet state="visible" name="NPCs" sheetId="4" r:id="rId8"/>
    <sheet state="visible" name="NPC Spawns" sheetId="5" r:id="rId9"/>
    <sheet state="visible" name="NPC Drops" sheetId="6" r:id="rId10"/>
    <sheet state="visible" name="NPC Vendor Items" sheetId="7" r:id="rId11"/>
    <sheet state="visible" name="Maps" sheetId="8" r:id="rId12"/>
    <sheet state="visible" name="Map Required Items" sheetId="9" r:id="rId13"/>
    <sheet state="visible" name="Combinations" sheetId="10" r:id="rId14"/>
    <sheet state="visible" name="Combination Item Required" sheetId="11" r:id="rId15"/>
    <sheet state="visible" name="Combination Item Result" sheetId="12" r:id="rId16"/>
    <sheet state="visible" name="Warptiles" sheetId="13" r:id="rId17"/>
    <sheet state="visible" name="Quests" sheetId="14" r:id="rId18"/>
    <sheet state="visible" name="Quest Reqs" sheetId="15" r:id="rId19"/>
    <sheet state="visible" name="Quest Rewards" sheetId="16" r:id="rId20"/>
    <sheet state="visible" name="Titles" sheetId="17" r:id="rId21"/>
    <sheet state="visible" name="Surnames" sheetId="18" r:id="rId22"/>
    <sheet state="visible" name="Classes" sheetId="19" r:id="rId23"/>
    <sheet state="visible" name="Class Info" sheetId="20" r:id="rId24"/>
    <sheet state="visible" name="Class Levelup Spells" sheetId="21" r:id="rId25"/>
  </sheets>
  <definedNames/>
  <calcPr/>
</workbook>
</file>

<file path=xl/sharedStrings.xml><?xml version="1.0" encoding="utf-8"?>
<sst xmlns="http://schemas.openxmlformats.org/spreadsheetml/2006/main" count="3787" uniqueCount="1667">
  <si>
    <t>spell id</t>
  </si>
  <si>
    <t>effect id</t>
  </si>
  <si>
    <t>id</t>
  </si>
  <si>
    <t>ID</t>
  </si>
  <si>
    <t>name</t>
  </si>
  <si>
    <t>usetype</t>
  </si>
  <si>
    <t>description</t>
  </si>
  <si>
    <t>type (Monster)</t>
  </si>
  <si>
    <t>animation (0)</t>
  </si>
  <si>
    <t>target</t>
  </si>
  <si>
    <t>animation file (0)</t>
  </si>
  <si>
    <t>classes (0)</t>
  </si>
  <si>
    <t>title</t>
  </si>
  <si>
    <t>spell display (0)</t>
  </si>
  <si>
    <t>aether ms (100)</t>
  </si>
  <si>
    <t>surname</t>
  </si>
  <si>
    <t>hp (0)</t>
  </si>
  <si>
    <t>spellbook graphic</t>
  </si>
  <si>
    <t>respawn time</t>
  </si>
  <si>
    <t>target type (Target)</t>
  </si>
  <si>
    <t>graphic file</t>
  </si>
  <si>
    <t>mp (0)</t>
  </si>
  <si>
    <t>facing (3)</t>
  </si>
  <si>
    <t>target size</t>
  </si>
  <si>
    <t>hp cost (0)</t>
  </si>
  <si>
    <t>lvl (1)</t>
  </si>
  <si>
    <t>sp (0)</t>
  </si>
  <si>
    <t>effected</t>
  </si>
  <si>
    <t>hp % cost (0)</t>
  </si>
  <si>
    <t>exp (0)</t>
  </si>
  <si>
    <t>ac (0)</t>
  </si>
  <si>
    <t>min lvl effected (1)</t>
  </si>
  <si>
    <t>mp cost (0)</t>
  </si>
  <si>
    <t>aggro range (0)</t>
  </si>
  <si>
    <t>str (0)</t>
  </si>
  <si>
    <t>mp % cost (0)</t>
  </si>
  <si>
    <t>attack range (0)</t>
  </si>
  <si>
    <t>sta (0)</t>
  </si>
  <si>
    <t>max lvl effected (50)</t>
  </si>
  <si>
    <t>attack speed (2)</t>
  </si>
  <si>
    <t>sp cost (0)</t>
  </si>
  <si>
    <t>dex (0)</t>
  </si>
  <si>
    <t>effect type</t>
  </si>
  <si>
    <t>move speed (2)</t>
  </si>
  <si>
    <t>sp % cost (0)</t>
  </si>
  <si>
    <t>int (0)</t>
  </si>
  <si>
    <t>stationary (0)</t>
  </si>
  <si>
    <t>spell effect id</t>
  </si>
  <si>
    <t>duration</t>
  </si>
  <si>
    <t>Spell Effect Name (Don't touch)</t>
  </si>
  <si>
    <t>stunnable (0)</t>
  </si>
  <si>
    <t>fr (0)</t>
  </si>
  <si>
    <t>attack animation (0)</t>
  </si>
  <si>
    <t>rootable (0)</t>
  </si>
  <si>
    <t>wr (0)</t>
  </si>
  <si>
    <t>cast animation (1)</t>
  </si>
  <si>
    <t>slowable (0)</t>
  </si>
  <si>
    <t>sr (0)</t>
  </si>
  <si>
    <t>Healing 1</t>
  </si>
  <si>
    <t>invincible (0)</t>
  </si>
  <si>
    <t>ar (0)</t>
  </si>
  <si>
    <t>spell damage works (0)</t>
  </si>
  <si>
    <t>er (0)</t>
  </si>
  <si>
    <t>energy type (0)</t>
  </si>
  <si>
    <t>min exp (0)</t>
  </si>
  <si>
    <t>hp formula (0)</t>
  </si>
  <si>
    <t>min lvl (0)</t>
  </si>
  <si>
    <t>class id</t>
  </si>
  <si>
    <t>mp formula (0)</t>
  </si>
  <si>
    <t>max exp (0)</t>
  </si>
  <si>
    <t>sp_formula (0)</t>
  </si>
  <si>
    <t>max lvl (0)</t>
  </si>
  <si>
    <t>weap dmg (0)</t>
  </si>
  <si>
    <t>weap dly (10)</t>
  </si>
  <si>
    <t>body state (3)</t>
  </si>
  <si>
    <t>slot (Misc)</t>
  </si>
  <si>
    <t>body id (1)</t>
  </si>
  <si>
    <t>type (None)</t>
  </si>
  <si>
    <t>body r</t>
  </si>
  <si>
    <t>body g</t>
  </si>
  <si>
    <t>value (0)</t>
  </si>
  <si>
    <t>body b</t>
  </si>
  <si>
    <t>lore (0)</t>
  </si>
  <si>
    <t>body a</t>
  </si>
  <si>
    <t>bop (0)</t>
  </si>
  <si>
    <t>face id (0)</t>
  </si>
  <si>
    <t>boe (0)</t>
  </si>
  <si>
    <t>hair id (0)</t>
  </si>
  <si>
    <t>event (0)</t>
  </si>
  <si>
    <t>hair r</t>
  </si>
  <si>
    <t>graphic tile</t>
  </si>
  <si>
    <t>hair g</t>
  </si>
  <si>
    <t>hair b</t>
  </si>
  <si>
    <t>hair a</t>
  </si>
  <si>
    <t>equip display</t>
  </si>
  <si>
    <t>equipped items (0,*,0,*,0,*,0,*,0,*,0,*)</t>
  </si>
  <si>
    <t>weapon dmg (1)</t>
  </si>
  <si>
    <t>hp % reg</t>
  </si>
  <si>
    <t>r</t>
  </si>
  <si>
    <t>armor pierce</t>
  </si>
  <si>
    <t>g</t>
  </si>
  <si>
    <t>hp static reg</t>
  </si>
  <si>
    <t>b</t>
  </si>
  <si>
    <t>mp % reg</t>
  </si>
  <si>
    <t>a</t>
  </si>
  <si>
    <t>mp static reg</t>
  </si>
  <si>
    <t>haste</t>
  </si>
  <si>
    <t>alliance</t>
  </si>
  <si>
    <t>stack (1)</t>
  </si>
  <si>
    <t>Fortify 1</t>
  </si>
  <si>
    <t>sd</t>
  </si>
  <si>
    <t>stuck behaviour (DoNothing)</t>
  </si>
  <si>
    <t>body state (1)</t>
  </si>
  <si>
    <t>sc</t>
  </si>
  <si>
    <t>stuck timeout (20)</t>
  </si>
  <si>
    <t>effect (0)</t>
  </si>
  <si>
    <t>melee d</t>
  </si>
  <si>
    <t>credit dealer (0)</t>
  </si>
  <si>
    <t>effect % (100)</t>
  </si>
  <si>
    <t>melee c</t>
  </si>
  <si>
    <t>quest ids</t>
  </si>
  <si>
    <t>learn spell id (0)</t>
  </si>
  <si>
    <t>script_path</t>
  </si>
  <si>
    <t>dmg reduce</t>
  </si>
  <si>
    <t>credits (0)</t>
  </si>
  <si>
    <t>script params</t>
  </si>
  <si>
    <t>move speed increase %</t>
  </si>
  <si>
    <t>script path</t>
  </si>
  <si>
    <t>body id</t>
  </si>
  <si>
    <t>oneffect text</t>
  </si>
  <si>
    <t>offeffect text</t>
  </si>
  <si>
    <t>Mouse</t>
  </si>
  <si>
    <t>face id</t>
  </si>
  <si>
    <t>Money</t>
  </si>
  <si>
    <t>hair id</t>
  </si>
  <si>
    <t>Gold</t>
  </si>
  <si>
    <t>Backstab 1</t>
  </si>
  <si>
    <t>Armor</t>
  </si>
  <si>
    <t>Old Rags</t>
  </si>
  <si>
    <t>Lamb</t>
  </si>
  <si>
    <t>Chest</t>
  </si>
  <si>
    <t>Cloth</t>
  </si>
  <si>
    <t>tele map</t>
  </si>
  <si>
    <t>tele x</t>
  </si>
  <si>
    <t>tele y</t>
  </si>
  <si>
    <t>taunt aggro</t>
  </si>
  <si>
    <t>works in pvp (1)</t>
  </si>
  <si>
    <t>works not in pvp (0)</t>
  </si>
  <si>
    <t>Weapon</t>
  </si>
  <si>
    <t>Fluffy Little Bunny</t>
  </si>
  <si>
    <t>Stick</t>
  </si>
  <si>
    <t>buff removable (1)</t>
  </si>
  <si>
    <t>buff graphic</t>
  </si>
  <si>
    <t>OneHanded</t>
  </si>
  <si>
    <t>buff graphic file</t>
  </si>
  <si>
    <t>OneHandedBlunt</t>
  </si>
  <si>
    <t>Taunt 1</t>
  </si>
  <si>
    <t>buff doesnt stack over</t>
  </si>
  <si>
    <t>buff stacks over</t>
  </si>
  <si>
    <t>random join chance</t>
  </si>
  <si>
    <t>on hit spell effect id</t>
  </si>
  <si>
    <t>on hit spell chance</t>
  </si>
  <si>
    <t>on attack spell effect id</t>
  </si>
  <si>
    <t>OneTime</t>
  </si>
  <si>
    <t>3</t>
  </si>
  <si>
    <t>on attack spell chance</t>
  </si>
  <si>
    <t>Small Health Potion</t>
  </si>
  <si>
    <t>snare %</t>
  </si>
  <si>
    <t>Rabid Rabbit</t>
  </si>
  <si>
    <t>only hits one npc (0)</t>
  </si>
  <si>
    <t>Small Mana Potion</t>
  </si>
  <si>
    <t>Self</t>
  </si>
  <si>
    <t>Elemental Strike 1</t>
  </si>
  <si>
    <t>3 4</t>
  </si>
  <si>
    <t>Cottontail</t>
  </si>
  <si>
    <t>Tin Can</t>
  </si>
  <si>
    <t>Elemental Strike 2</t>
  </si>
  <si>
    <t>NoUse</t>
  </si>
  <si>
    <t>Asp</t>
  </si>
  <si>
    <t>Rabbit Fur</t>
  </si>
  <si>
    <t>SelfPlayer</t>
  </si>
  <si>
    <t>Rabbit Pelt</t>
  </si>
  <si>
    <t>6</t>
  </si>
  <si>
    <t>Bat</t>
  </si>
  <si>
    <t>Arcane Shield 1</t>
  </si>
  <si>
    <t>Bunny Ears</t>
  </si>
  <si>
    <t>Helmet</t>
  </si>
  <si>
    <t>39 40 41 42</t>
  </si>
  <si>
    <t>7</t>
  </si>
  <si>
    <t>Cow</t>
  </si>
  <si>
    <t>Scroll</t>
  </si>
  <si>
    <t>LineFront</t>
  </si>
  <si>
    <t>Scroll: Healing 1</t>
  </si>
  <si>
    <t>NPCPlayer</t>
  </si>
  <si>
    <t>Elemental Strike 3</t>
  </si>
  <si>
    <t>-2 * (%cstr + %cwdmg + %clevel)</t>
  </si>
  <si>
    <t>Ram</t>
  </si>
  <si>
    <t>Small Hammer</t>
  </si>
  <si>
    <t>NPC</t>
  </si>
  <si>
    <t>Elemental Shielding 1</t>
  </si>
  <si>
    <t>Weak Zombie</t>
  </si>
  <si>
    <t>Wooden Stave</t>
  </si>
  <si>
    <t>TwoHanded</t>
  </si>
  <si>
    <t>TwoHandedBlunt</t>
  </si>
  <si>
    <t>10</t>
  </si>
  <si>
    <t>Weak Skeleton</t>
  </si>
  <si>
    <t>Small Dagger</t>
  </si>
  <si>
    <t>Teleportation</t>
  </si>
  <si>
    <t>OneHandedPierce</t>
  </si>
  <si>
    <t>11 12 13 14 15 16 17</t>
  </si>
  <si>
    <t>Small Sword</t>
  </si>
  <si>
    <t>OneHandedSword</t>
  </si>
  <si>
    <t>Root</t>
  </si>
  <si>
    <t>Stone Hammer</t>
  </si>
  <si>
    <t>Skeleton</t>
  </si>
  <si>
    <t>101 113 109 112</t>
  </si>
  <si>
    <t>Hardwood Stave</t>
  </si>
  <si>
    <t>Elemental Strike 4</t>
  </si>
  <si>
    <t>11 12 13 15 16 17</t>
  </si>
  <si>
    <t>Servant of the Dead</t>
  </si>
  <si>
    <t>104</t>
  </si>
  <si>
    <t>Snare</t>
  </si>
  <si>
    <t>Boney</t>
  </si>
  <si>
    <t>Grim Dagger</t>
  </si>
  <si>
    <t>Elemental Strike 5</t>
  </si>
  <si>
    <t>Long Sword</t>
  </si>
  <si>
    <t>Misplaced Spouse</t>
  </si>
  <si>
    <t>Sun Flower</t>
  </si>
  <si>
    <t>Record Keeper</t>
  </si>
  <si>
    <t>Gate</t>
  </si>
  <si>
    <t>Pile of Crap</t>
  </si>
  <si>
    <t>Tile</t>
  </si>
  <si>
    <t>Random</t>
  </si>
  <si>
    <t>Rubber Ducky</t>
  </si>
  <si>
    <t>Piglet</t>
  </si>
  <si>
    <t>Regeneration 1</t>
  </si>
  <si>
    <t>Scroll: Fortify 1</t>
  </si>
  <si>
    <t>18 19</t>
  </si>
  <si>
    <t>Scroll: Backstab 1</t>
  </si>
  <si>
    <t>Flying Piglet</t>
  </si>
  <si>
    <t>Bind Self</t>
  </si>
  <si>
    <t>Scroll: Taunt</t>
  </si>
  <si>
    <t>105 111</t>
  </si>
  <si>
    <t>Lost Wabbit</t>
  </si>
  <si>
    <t>Scroll: Elemental Strike 1</t>
  </si>
  <si>
    <t>Group Teleportation</t>
  </si>
  <si>
    <t>20 21 22 23</t>
  </si>
  <si>
    <t>Scroll: Elemental Strike 2</t>
  </si>
  <si>
    <t>Elemental Strike 6</t>
  </si>
  <si>
    <t>Plus</t>
  </si>
  <si>
    <t>Cute Defenseless Stalker</t>
  </si>
  <si>
    <t>Rampant Rage</t>
  </si>
  <si>
    <t>Scroll: Arcane Shield 1</t>
  </si>
  <si>
    <t>Roger</t>
  </si>
  <si>
    <t>124</t>
  </si>
  <si>
    <t>Scroll: Elemental Strike 3</t>
  </si>
  <si>
    <t>Insight</t>
  </si>
  <si>
    <t>Scroll: Elemental Shield 1</t>
  </si>
  <si>
    <t>Leafeater</t>
  </si>
  <si>
    <t>Area Taunt</t>
  </si>
  <si>
    <t>Area</t>
  </si>
  <si>
    <t>Scroll: Teleportation</t>
  </si>
  <si>
    <t>Pipsqueek</t>
  </si>
  <si>
    <t>Ground Slam 1</t>
  </si>
  <si>
    <t>Scroll: Root</t>
  </si>
  <si>
    <t>24 25</t>
  </si>
  <si>
    <t>Scroll: Elemental Strike 4</t>
  </si>
  <si>
    <t>Flying Pipsqueek</t>
  </si>
  <si>
    <t>Berserker 1</t>
  </si>
  <si>
    <t>Scroll: Snare</t>
  </si>
  <si>
    <t>121 122</t>
  </si>
  <si>
    <t>Poison Weapon 1</t>
  </si>
  <si>
    <t>Fire Asp</t>
  </si>
  <si>
    <t>Scroll: Gate</t>
  </si>
  <si>
    <t>125</t>
  </si>
  <si>
    <t>26 27 28</t>
  </si>
  <si>
    <t>Backstab 2</t>
  </si>
  <si>
    <t>Scroll: Regeneration 1</t>
  </si>
  <si>
    <t>Naga Warrior</t>
  </si>
  <si>
    <t>-3 * (%cstr + %cwdmg + %clevel)</t>
  </si>
  <si>
    <t>Scroll: Elemental Strike 5</t>
  </si>
  <si>
    <t>Nimble 1</t>
  </si>
  <si>
    <t>15,192,28,40,180,12,148,231,148,160,0,*,0,*,0,*,10,*</t>
  </si>
  <si>
    <t>Naga Rogue</t>
  </si>
  <si>
    <t>Scroll: Bind Self</t>
  </si>
  <si>
    <t>127</t>
  </si>
  <si>
    <t>Backstab 3</t>
  </si>
  <si>
    <t>Scroll: Group Teleportation</t>
  </si>
  <si>
    <t>15,192,28,40,180,12,148,231,148,160,0,*,0,*,0,*,11,*</t>
  </si>
  <si>
    <t>-4 * (%cstr + %cwdmg + %clevel)</t>
  </si>
  <si>
    <t>Illusion: Snowman</t>
  </si>
  <si>
    <t>Frozen Waste</t>
  </si>
  <si>
    <t>Scroll: Elemental Strike 6</t>
  </si>
  <si>
    <t>Health Potion</t>
  </si>
  <si>
    <t>29 30 31 32 33</t>
  </si>
  <si>
    <t>Scroll: Rampant Rage</t>
  </si>
  <si>
    <t>Mana Potion</t>
  </si>
  <si>
    <t>Winter Blade</t>
  </si>
  <si>
    <t>Large Health Potion</t>
  </si>
  <si>
    <t>Iceman</t>
  </si>
  <si>
    <t>Large Mana Potion</t>
  </si>
  <si>
    <t>Healing 2</t>
  </si>
  <si>
    <t>Healing 3</t>
  </si>
  <si>
    <t>Frosty</t>
  </si>
  <si>
    <t>Healing 4</t>
  </si>
  <si>
    <t>Weak Persecution</t>
  </si>
  <si>
    <t>Healing 5</t>
  </si>
  <si>
    <t>Frozen Mittens</t>
  </si>
  <si>
    <t>Gloves</t>
  </si>
  <si>
    <t>34 35</t>
  </si>
  <si>
    <t>Fortify 2</t>
  </si>
  <si>
    <t>Moldy Persecution</t>
  </si>
  <si>
    <t>Cloak of Chilling Speed</t>
  </si>
  <si>
    <t>40 41 42</t>
  </si>
  <si>
    <t>4</t>
  </si>
  <si>
    <t>Private Persecution</t>
  </si>
  <si>
    <t>Cloak</t>
  </si>
  <si>
    <t>Fortify 3</t>
  </si>
  <si>
    <t>Blizzard Robes</t>
  </si>
  <si>
    <t>36 37</t>
  </si>
  <si>
    <t>41 42</t>
  </si>
  <si>
    <t>4 39</t>
  </si>
  <si>
    <t>Sergeant Persecution</t>
  </si>
  <si>
    <t>Fortify 4</t>
  </si>
  <si>
    <t>Hair Bow</t>
  </si>
  <si>
    <t>36</t>
  </si>
  <si>
    <t>Strong Persecution</t>
  </si>
  <si>
    <t>42</t>
  </si>
  <si>
    <t>4 39 40</t>
  </si>
  <si>
    <t>Fortify 5</t>
  </si>
  <si>
    <t>34 35 36 37 38</t>
  </si>
  <si>
    <t>Persecution</t>
  </si>
  <si>
    <t>4 39 40 41</t>
  </si>
  <si>
    <t>Cow Skull Helmet</t>
  </si>
  <si>
    <t>Strength 1</t>
  </si>
  <si>
    <t>39 49</t>
  </si>
  <si>
    <t>Green Slime</t>
  </si>
  <si>
    <t>44 45 46 47</t>
  </si>
  <si>
    <t>Strength 2</t>
  </si>
  <si>
    <t>Dollar Bill</t>
  </si>
  <si>
    <t>40 41 42 43 44 45</t>
  </si>
  <si>
    <t>45 46 47</t>
  </si>
  <si>
    <t>Slime</t>
  </si>
  <si>
    <t>Shirt #297741384</t>
  </si>
  <si>
    <t>43</t>
  </si>
  <si>
    <t>Strength 3</t>
  </si>
  <si>
    <t>46 47</t>
  </si>
  <si>
    <t>43 44</t>
  </si>
  <si>
    <t>Chicken Leg</t>
  </si>
  <si>
    <t>Pink Slime</t>
  </si>
  <si>
    <t>Strength 4</t>
  </si>
  <si>
    <t>47</t>
  </si>
  <si>
    <t>43 44 45</t>
  </si>
  <si>
    <t>Strength 5</t>
  </si>
  <si>
    <t>Gold Slime</t>
  </si>
  <si>
    <t>Taco</t>
  </si>
  <si>
    <t>Encased Blade of Wet</t>
  </si>
  <si>
    <t>43 44 45 46</t>
  </si>
  <si>
    <t>Stamina 1</t>
  </si>
  <si>
    <t>Blue Slime</t>
  </si>
  <si>
    <t>49 50 51</t>
  </si>
  <si>
    <t>Encased Claw of Wet</t>
  </si>
  <si>
    <t>Stamina 2</t>
  </si>
  <si>
    <t>Red Slime</t>
  </si>
  <si>
    <t>50 51</t>
  </si>
  <si>
    <t>48</t>
  </si>
  <si>
    <t>Stamina 3</t>
  </si>
  <si>
    <t>Staff of Frozen Rain</t>
  </si>
  <si>
    <t>King Goo</t>
  </si>
  <si>
    <t>51</t>
  </si>
  <si>
    <t>48 49</t>
  </si>
  <si>
    <t>Stamina 4</t>
  </si>
  <si>
    <t>Gem of Power</t>
  </si>
  <si>
    <t>Sliminator</t>
  </si>
  <si>
    <t>48 49 50</t>
  </si>
  <si>
    <t>Scroll: Snowman Illusion</t>
  </si>
  <si>
    <t>Intelligence 1</t>
  </si>
  <si>
    <t>Goo Jr.</t>
  </si>
  <si>
    <t>Ruby</t>
  </si>
  <si>
    <t>53</t>
  </si>
  <si>
    <t>Intelligence 2</t>
  </si>
  <si>
    <t>Scroll: Healing 2</t>
  </si>
  <si>
    <t>52</t>
  </si>
  <si>
    <t>Scroll: Healing 3</t>
  </si>
  <si>
    <t>Dexterity 1</t>
  </si>
  <si>
    <t>Scroll: Healing 4</t>
  </si>
  <si>
    <t>Nagan Beast</t>
  </si>
  <si>
    <t>55</t>
  </si>
  <si>
    <t>Scroll: Healing 5</t>
  </si>
  <si>
    <t>Dexterity 2</t>
  </si>
  <si>
    <t>0,*,12,*,0,*,0,*,0,*,0,*</t>
  </si>
  <si>
    <t>50 51 52 53</t>
  </si>
  <si>
    <t>Nagan Magus</t>
  </si>
  <si>
    <t>Scroll: Fortify 2</t>
  </si>
  <si>
    <t>54</t>
  </si>
  <si>
    <t>Mana Regeneration 1</t>
  </si>
  <si>
    <t>Scroll: Fortify 3</t>
  </si>
  <si>
    <t>20,*,12,*,0,*,0,*,0,*,13,*</t>
  </si>
  <si>
    <t>57 138</t>
  </si>
  <si>
    <t>Mana Regeneration 2</t>
  </si>
  <si>
    <t>Nagan Priest</t>
  </si>
  <si>
    <t>Scroll: Fortify 4</t>
  </si>
  <si>
    <t>138</t>
  </si>
  <si>
    <t>56</t>
  </si>
  <si>
    <t>Scroll: Fortify 5</t>
  </si>
  <si>
    <t>See Invisible</t>
  </si>
  <si>
    <t>118,*,22,*,0,*,0,*,0,*,44,*</t>
  </si>
  <si>
    <t>Udyana</t>
  </si>
  <si>
    <t>Scroll: Strength 1</t>
  </si>
  <si>
    <t>Sacrifice</t>
  </si>
  <si>
    <t>11,74,121,41,160,12,*,0,*,0,*,0,*,246,*</t>
  </si>
  <si>
    <t>Scroll: Strength 2</t>
  </si>
  <si>
    <t>Rampant Rage Chomp</t>
  </si>
  <si>
    <t>Complex</t>
  </si>
  <si>
    <t>Scroll: Strength 3</t>
  </si>
  <si>
    <t>-1 * (%cstr + %cwdmg + %clevel)</t>
  </si>
  <si>
    <t>54 55</t>
  </si>
  <si>
    <t>Poison Weapon Bubble</t>
  </si>
  <si>
    <t>Scroll: Strength 4</t>
  </si>
  <si>
    <t>Simple</t>
  </si>
  <si>
    <t>Scroll: Strength 5</t>
  </si>
  <si>
    <t>Spook</t>
  </si>
  <si>
    <t>Fearsome Lash</t>
  </si>
  <si>
    <t>Scroll: Stamina 1</t>
  </si>
  <si>
    <t>-2.7 * ((%ccmp * 0.7) + (%cchp * 0.3))</t>
  </si>
  <si>
    <t>56 57 58 59 60</t>
  </si>
  <si>
    <t>Ghast</t>
  </si>
  <si>
    <t>Scroll: Stamina 2</t>
  </si>
  <si>
    <t>Elemental Shielding 1 Rocks</t>
  </si>
  <si>
    <t>Scroll: Stamina 3</t>
  </si>
  <si>
    <t>Sunder of Spirits</t>
  </si>
  <si>
    <t>TriangleFront</t>
  </si>
  <si>
    <t>ImaBitStale</t>
  </si>
  <si>
    <t>-((%ccmp * 0.15) + (%cchp * 0.8))</t>
  </si>
  <si>
    <t>Scroll: Stamina 4</t>
  </si>
  <si>
    <t>Hair Dye: Black</t>
  </si>
  <si>
    <t>Ecto</t>
  </si>
  <si>
    <t>Scroll: Intelligence 1</t>
  </si>
  <si>
    <t>Mana Point Regeneration C</t>
  </si>
  <si>
    <t>Scroll: Intelligence 2</t>
  </si>
  <si>
    <t>Mana Point Regeneration D</t>
  </si>
  <si>
    <t>Punchy</t>
  </si>
  <si>
    <t>Scroll: Dexterity 1</t>
  </si>
  <si>
    <t>Hit Point Regeneration C</t>
  </si>
  <si>
    <t>Scroll: Dexterity 2</t>
  </si>
  <si>
    <t>Hit Point Regeneration D</t>
  </si>
  <si>
    <t>Scroll: Mana Regeneration 1</t>
  </si>
  <si>
    <t>Rabid Savage</t>
  </si>
  <si>
    <t>Increased Spell Damage V</t>
  </si>
  <si>
    <t>Scroll: Mana Regeneration 2</t>
  </si>
  <si>
    <t>0,*,0,*,0,*,0,*,0,*,31,*</t>
  </si>
  <si>
    <t>61 62 63 64 65 66 67 68</t>
  </si>
  <si>
    <t>Increased Spell Damage X</t>
  </si>
  <si>
    <t>Hungry Savage</t>
  </si>
  <si>
    <t>Scroll: See Invisible</t>
  </si>
  <si>
    <t>Increased Spell Damage XX</t>
  </si>
  <si>
    <t>Scroll: Sacrifice</t>
  </si>
  <si>
    <t>Savage</t>
  </si>
  <si>
    <t>Haste V</t>
  </si>
  <si>
    <t>Haste X</t>
  </si>
  <si>
    <t>Rune: Fearsome Lash</t>
  </si>
  <si>
    <t>Paranoid Savage</t>
  </si>
  <si>
    <t>Rune: Sunder of Spirits</t>
  </si>
  <si>
    <t>Haste XX</t>
  </si>
  <si>
    <t>Arcane Shield 2</t>
  </si>
  <si>
    <t>0,*,0,*,0,*,0,*,0,*,98,*</t>
  </si>
  <si>
    <t>Spell Critical Damage V</t>
  </si>
  <si>
    <t>Beefcake</t>
  </si>
  <si>
    <t>Bronze Helmet</t>
  </si>
  <si>
    <t>Spell Critical Damage X</t>
  </si>
  <si>
    <t>Group Elemental Shielding 1</t>
  </si>
  <si>
    <t>Plate</t>
  </si>
  <si>
    <t>Copycat</t>
  </si>
  <si>
    <t>Melee Critical Damage V</t>
  </si>
  <si>
    <t>Champions Helmet</t>
  </si>
  <si>
    <t>Invisibility</t>
  </si>
  <si>
    <t>Melee Critical Damage X</t>
  </si>
  <si>
    <t>0,*,0,*,1,*,0,*,0,*,72,*</t>
  </si>
  <si>
    <t>Insanity</t>
  </si>
  <si>
    <t>Mana Point Regeneration 1</t>
  </si>
  <si>
    <t>Cloth Cap</t>
  </si>
  <si>
    <t>Elemental Strike 7</t>
  </si>
  <si>
    <t>0,*,4,*,1,0,0,0,160,0,*,0,*,1,*</t>
  </si>
  <si>
    <t>Hit Point Regeneration 1</t>
  </si>
  <si>
    <t>Curious Skull Helmet</t>
  </si>
  <si>
    <t>Showboat</t>
  </si>
  <si>
    <t>Mana Point Regeneration 2</t>
  </si>
  <si>
    <t>Elemental Shielding 2</t>
  </si>
  <si>
    <t>Deceivers Helmet</t>
  </si>
  <si>
    <t>15,192,28,40,180,22,224,27,36,180,1,224,27,36,180,0,*,0,*,61,*</t>
  </si>
  <si>
    <t>Hit Point Regeneration 2</t>
  </si>
  <si>
    <t>Savage Isle Guard</t>
  </si>
  <si>
    <t>HP MP Regeneration</t>
  </si>
  <si>
    <t>Group Elemental Shielding 2</t>
  </si>
  <si>
    <t>Devastators Helmet</t>
  </si>
  <si>
    <t>0,*,22,*,0,*,0,*,0,*,0,*</t>
  </si>
  <si>
    <t>69</t>
  </si>
  <si>
    <t>Hair Dye: Red</t>
  </si>
  <si>
    <t>Worthless Guardian</t>
  </si>
  <si>
    <t>Regeneration 2</t>
  </si>
  <si>
    <t>Gold Helmet</t>
  </si>
  <si>
    <t>Hair Dye: Blue</t>
  </si>
  <si>
    <t>70 71 72 73 74</t>
  </si>
  <si>
    <t>Little Fat Bastard</t>
  </si>
  <si>
    <t>Bind Other</t>
  </si>
  <si>
    <t>Hair Dye: Grey</t>
  </si>
  <si>
    <t>Hay</t>
  </si>
  <si>
    <t>Hays Tail</t>
  </si>
  <si>
    <t>Hair Cut: 1</t>
  </si>
  <si>
    <t>Otherlands Teleport</t>
  </si>
  <si>
    <t>Hair Cut: 2</t>
  </si>
  <si>
    <t>11,66,73,165,160,122,255,120,0,180,1,*,4,*,0,*,90,*</t>
  </si>
  <si>
    <t>Fray</t>
  </si>
  <si>
    <t>Hair Cut: 3</t>
  </si>
  <si>
    <t>Iron Helmet</t>
  </si>
  <si>
    <t>Group Otherlands Teleport</t>
  </si>
  <si>
    <t>Hair Cut: 4</t>
  </si>
  <si>
    <t>15,192,28,40,180,0,*,1,*,2,237,51,59,180,0,*,22,*</t>
  </si>
  <si>
    <t>One with Head Thingy</t>
  </si>
  <si>
    <t>Leather Cap</t>
  </si>
  <si>
    <t>Hair Cut: 5</t>
  </si>
  <si>
    <t>Elemental Strike 8</t>
  </si>
  <si>
    <t>Hair Cut: 6</t>
  </si>
  <si>
    <t>Lucky Laurels</t>
  </si>
  <si>
    <t>Ancient Warrior</t>
  </si>
  <si>
    <t>Hair Cut: 7</t>
  </si>
  <si>
    <t>Arcane Shield 4</t>
  </si>
  <si>
    <t>Face: 1</t>
  </si>
  <si>
    <t>36,130,60,150,100,0,*,0,*,0,*,0,*,2,*</t>
  </si>
  <si>
    <t>75 76</t>
  </si>
  <si>
    <t>Priests Crown</t>
  </si>
  <si>
    <t>Elite Ancient Warrior</t>
  </si>
  <si>
    <t>Face: 2</t>
  </si>
  <si>
    <t>Elemental Strike 9</t>
  </si>
  <si>
    <t>Face: 3</t>
  </si>
  <si>
    <t>11,60,80,230,140,20,*,0,*,0,*,0,*,316,*</t>
  </si>
  <si>
    <t>76</t>
  </si>
  <si>
    <t>Silk Cap</t>
  </si>
  <si>
    <t>Comissioned Blacksmith</t>
  </si>
  <si>
    <t>Face: 4</t>
  </si>
  <si>
    <t>Regeneration 3</t>
  </si>
  <si>
    <t>Sexchange: Male</t>
  </si>
  <si>
    <t>Spicy Laurels</t>
  </si>
  <si>
    <t>Comissioned Tailor</t>
  </si>
  <si>
    <t>Sexchange: Female</t>
  </si>
  <si>
    <t>Elemental Strike 10</t>
  </si>
  <si>
    <t>Steel Helmet</t>
  </si>
  <si>
    <t>Dalph Von'Ownu</t>
  </si>
  <si>
    <t>Arcane Shield 5</t>
  </si>
  <si>
    <t>113 109 112</t>
  </si>
  <si>
    <t>9</t>
  </si>
  <si>
    <t>True Ewe</t>
  </si>
  <si>
    <t>36,130,60,150,100,68,130,60,150,100,6,170,80,100,100,4,170,80,100,100,0,*,20,*</t>
  </si>
  <si>
    <t>75 76 79 80 81 82 83</t>
  </si>
  <si>
    <t>Hairy Fairy Princess</t>
  </si>
  <si>
    <t>Arcane Shield 3</t>
  </si>
  <si>
    <t>Wolfs Essence</t>
  </si>
  <si>
    <t>Cross</t>
  </si>
  <si>
    <t>3,251,170,255,180,0,*,1,224,27,36,180,2,237,51,59,180,0,*,29,*</t>
  </si>
  <si>
    <t>Lady Slither</t>
  </si>
  <si>
    <t>Ground Slam 2</t>
  </si>
  <si>
    <t>13,*,62,*,0,*,0,*,0,*,0,*</t>
  </si>
  <si>
    <t>Bronze Legplates</t>
  </si>
  <si>
    <t>11</t>
  </si>
  <si>
    <t>Pants</t>
  </si>
  <si>
    <t>Sir Insidious</t>
  </si>
  <si>
    <t>Taunt 2</t>
  </si>
  <si>
    <t>111</t>
  </si>
  <si>
    <t>18</t>
  </si>
  <si>
    <t>15,*,61,*,0,*,0,*,0,*,0,*</t>
  </si>
  <si>
    <t>Champions Legplates</t>
  </si>
  <si>
    <t>Player</t>
  </si>
  <si>
    <t>Fortitude 1</t>
  </si>
  <si>
    <t>Ztwel Tahp</t>
  </si>
  <si>
    <t>Cloth Leggings</t>
  </si>
  <si>
    <t>0,*,11,*,0,*,0,*,0,*,0,*</t>
  </si>
  <si>
    <t>Berserker 2</t>
  </si>
  <si>
    <t>Hair Dye Guy</t>
  </si>
  <si>
    <t>Gold Legplates</t>
  </si>
  <si>
    <t>12,*,0,*,0,*,0,*,0,*,0,*</t>
  </si>
  <si>
    <t>Berserker 3</t>
  </si>
  <si>
    <t>Hair 1</t>
  </si>
  <si>
    <t>Iron Legplates</t>
  </si>
  <si>
    <t>112</t>
  </si>
  <si>
    <t>9 101 113</t>
  </si>
  <si>
    <t>Hair 2</t>
  </si>
  <si>
    <t>Fortitude 2</t>
  </si>
  <si>
    <t>Leather Leggings</t>
  </si>
  <si>
    <t>Hair 3</t>
  </si>
  <si>
    <t>Lucky Legplates</t>
  </si>
  <si>
    <t>Savage Fury</t>
  </si>
  <si>
    <t>18 105</t>
  </si>
  <si>
    <t>Hair 4</t>
  </si>
  <si>
    <t>Silk Leggings</t>
  </si>
  <si>
    <t>9 101 113 109</t>
  </si>
  <si>
    <t>Hair 5</t>
  </si>
  <si>
    <t>Steel Legplates</t>
  </si>
  <si>
    <t>Poison Weapon 2</t>
  </si>
  <si>
    <t>109 112</t>
  </si>
  <si>
    <t>Hair 6</t>
  </si>
  <si>
    <t>9 101</t>
  </si>
  <si>
    <t>Elemental Shielding 2 Rocks</t>
  </si>
  <si>
    <t>Moon Shield</t>
  </si>
  <si>
    <t>Hair 7</t>
  </si>
  <si>
    <t>Shield</t>
  </si>
  <si>
    <t>DDTS Effect</t>
  </si>
  <si>
    <t>Backstab 4</t>
  </si>
  <si>
    <t>Fiber Buckler</t>
  </si>
  <si>
    <t>Face 1</t>
  </si>
  <si>
    <t>DDTS Damage</t>
  </si>
  <si>
    <t>Firebrand Buckler</t>
  </si>
  <si>
    <t>Face 2</t>
  </si>
  <si>
    <t>Nimble 2</t>
  </si>
  <si>
    <t>Face 3</t>
  </si>
  <si>
    <t>Firebreather Shield</t>
  </si>
  <si>
    <t>Face 4</t>
  </si>
  <si>
    <t>Backstab 5</t>
  </si>
  <si>
    <t>Firebrand Guard</t>
  </si>
  <si>
    <t>Ground Slam 3</t>
  </si>
  <si>
    <t>Male</t>
  </si>
  <si>
    <t>Light Guard</t>
  </si>
  <si>
    <t>123</t>
  </si>
  <si>
    <t>Ground Slam 4</t>
  </si>
  <si>
    <t>Female</t>
  </si>
  <si>
    <t>122</t>
  </si>
  <si>
    <t>Kite Shield</t>
  </si>
  <si>
    <t>25</t>
  </si>
  <si>
    <t>Magus Trainer</t>
  </si>
  <si>
    <t>Covenant</t>
  </si>
  <si>
    <t>Wooden Buckler</t>
  </si>
  <si>
    <t>25 121</t>
  </si>
  <si>
    <t>15,192,28,40,180,22,224,27,36,180,1,224,27,36,180,2,237,51,59,180,0,*,171,*</t>
  </si>
  <si>
    <t>Priest Trainer</t>
  </si>
  <si>
    <t>Bronze Boots</t>
  </si>
  <si>
    <t>Shoes</t>
  </si>
  <si>
    <t>Arcane Blast</t>
  </si>
  <si>
    <t>120</t>
  </si>
  <si>
    <t>15,*,22,28,113,216,180,1,28,113,216,180,2,181,131,90,180,0,*,72,*</t>
  </si>
  <si>
    <t>Potion Guy</t>
  </si>
  <si>
    <t>Cloth Shoes</t>
  </si>
  <si>
    <t>Bronze Armor Guy</t>
  </si>
  <si>
    <t>26</t>
  </si>
  <si>
    <t>Deceivers Boots</t>
  </si>
  <si>
    <t>11,250,150,50,140,52,20,65,30,160,14,250,150,50,140,9,250,150,50,140,0,*,0,*</t>
  </si>
  <si>
    <t>Arcane Assault</t>
  </si>
  <si>
    <t>Iron Armor Guy</t>
  </si>
  <si>
    <t>-5 * (%cstr + %cwdmg + %clevel)</t>
  </si>
  <si>
    <t>Devastators Boots</t>
  </si>
  <si>
    <t>11,*,52,70,70,70,140,14,*,9,*,0,*,0,*</t>
  </si>
  <si>
    <t>Spirit Strike</t>
  </si>
  <si>
    <t>Steel Armor Guy</t>
  </si>
  <si>
    <t>28</t>
  </si>
  <si>
    <t>Gold Boots</t>
  </si>
  <si>
    <t>11,255,255,255,70,52,100,100,100,100,14,255,255,255,70,2,255,255,255,70,0,*,0,*</t>
  </si>
  <si>
    <t>Shield Guy</t>
  </si>
  <si>
    <t>Critical Strike</t>
  </si>
  <si>
    <t>-6 * (%cstr + %cwdmg + %clevel)</t>
  </si>
  <si>
    <t>Iron Boots</t>
  </si>
  <si>
    <t>11,*,52,*,6,*,4,*,263,*,0,*</t>
  </si>
  <si>
    <t>Weapon Guy</t>
  </si>
  <si>
    <t>Rejuvination</t>
  </si>
  <si>
    <t>Leather Boots</t>
  </si>
  <si>
    <t>118,*,22,*,0,*,0,*,68,189,93,90,160,11,*</t>
  </si>
  <si>
    <t>Cloth Armor Guy</t>
  </si>
  <si>
    <t>Restore Health</t>
  </si>
  <si>
    <t>21,*,52,*,1,*,2,181,131,90,180,0,*,0,*</t>
  </si>
  <si>
    <t>Savage Fury Chomp</t>
  </si>
  <si>
    <t>Lucky Boots</t>
  </si>
  <si>
    <t>Leather Armor Guy</t>
  </si>
  <si>
    <t>Group Paradise Teleport</t>
  </si>
  <si>
    <t>Silk Slippers</t>
  </si>
  <si>
    <t>Silk Armor Guy</t>
  </si>
  <si>
    <t>Poison Weapon 2 Bubble</t>
  </si>
  <si>
    <t>Ancient Healing</t>
  </si>
  <si>
    <t>Slippers of the Poo Flinger</t>
  </si>
  <si>
    <t>118,*,22,*,0,*,0,*,0,*,0,*</t>
  </si>
  <si>
    <t>%cchp</t>
  </si>
  <si>
    <t>Nagan Sentry</t>
  </si>
  <si>
    <t>Ancient Root</t>
  </si>
  <si>
    <t>-1.9 * %ccmp</t>
  </si>
  <si>
    <t>Steel Boots</t>
  </si>
  <si>
    <t>36,231,223,107,160,12,*,0,*,0,*,0,*,38,*</t>
  </si>
  <si>
    <t>Carrots</t>
  </si>
  <si>
    <t>Ancient Sturdiness</t>
  </si>
  <si>
    <t>-1.2 * ((1 * %ccmp) + (0.25 * %cchp))</t>
  </si>
  <si>
    <t>Azkuros Gloves</t>
  </si>
  <si>
    <t>111 112 113 114</t>
  </si>
  <si>
    <t>Fluffzilla</t>
  </si>
  <si>
    <t>-1.3 * %cchp</t>
  </si>
  <si>
    <t>Ancient Criticality</t>
  </si>
  <si>
    <t>Beefs Immortality</t>
  </si>
  <si>
    <t>110 112 113 114</t>
  </si>
  <si>
    <t>Snowball</t>
  </si>
  <si>
    <t>-2.0 * ((%ccmp * 0.5) + (%cchp * 0.5))</t>
  </si>
  <si>
    <t>Ring</t>
  </si>
  <si>
    <t>Ancient Augmentation</t>
  </si>
  <si>
    <t>110 111 112 113 114</t>
  </si>
  <si>
    <t>Beefs Protection</t>
  </si>
  <si>
    <t>Midnight Madness</t>
  </si>
  <si>
    <t>56 57</t>
  </si>
  <si>
    <t>Ancient Protection</t>
  </si>
  <si>
    <t>Melty</t>
  </si>
  <si>
    <t>%ccmp</t>
  </si>
  <si>
    <t>Bracelet of Valiance</t>
  </si>
  <si>
    <t>Damage Reduction X</t>
  </si>
  <si>
    <t>Unloved</t>
  </si>
  <si>
    <t>Ancient Buffiness</t>
  </si>
  <si>
    <t>Candy Necklace</t>
  </si>
  <si>
    <t>Paradise Teleportation</t>
  </si>
  <si>
    <t>Necklace</t>
  </si>
  <si>
    <t>115 116</t>
  </si>
  <si>
    <t>Nibbles</t>
  </si>
  <si>
    <t>Haste XXX</t>
  </si>
  <si>
    <t>Divine Pauldrons</t>
  </si>
  <si>
    <t>Ancient Damage</t>
  </si>
  <si>
    <t>Pauldrons</t>
  </si>
  <si>
    <t>115</t>
  </si>
  <si>
    <t>Wraith</t>
  </si>
  <si>
    <t>Gloves of the Poo Flinger</t>
  </si>
  <si>
    <t>Ancient Taunt</t>
  </si>
  <si>
    <t>117 118</t>
  </si>
  <si>
    <t>Nibbles II</t>
  </si>
  <si>
    <t>Harvest Medallion</t>
  </si>
  <si>
    <t>Ancient Sacrifice</t>
  </si>
  <si>
    <t>117</t>
  </si>
  <si>
    <t>Teleporter Vendor Guy</t>
  </si>
  <si>
    <t>Leather Gloves</t>
  </si>
  <si>
    <t>Smoke Bomb</t>
  </si>
  <si>
    <t>Stranger with Candy</t>
  </si>
  <si>
    <t>Lucky Necklace</t>
  </si>
  <si>
    <t>34,*,0,*,0,*,0,*,0,*,0,*</t>
  </si>
  <si>
    <t>Paradise Teleporter Vendor Guy</t>
  </si>
  <si>
    <t>Group Heal</t>
  </si>
  <si>
    <t>Ring of Valiance</t>
  </si>
  <si>
    <t>The Bat Man</t>
  </si>
  <si>
    <t>Savage Belt</t>
  </si>
  <si>
    <t>Warrior Root</t>
  </si>
  <si>
    <t>Belt</t>
  </si>
  <si>
    <t>Ancient Defender</t>
  </si>
  <si>
    <t>Dragon Scale Belt</t>
  </si>
  <si>
    <t>Ancient Bellow</t>
  </si>
  <si>
    <t>0,*,0,*,0,*,0,*,0,*,10,*</t>
  </si>
  <si>
    <t>Blushing Coat</t>
  </si>
  <si>
    <t>123 138</t>
  </si>
  <si>
    <t>Ancient Guard</t>
  </si>
  <si>
    <t>Ancient Awe</t>
  </si>
  <si>
    <t>Bronze Chestplate</t>
  </si>
  <si>
    <t>36,*,20,58,56,56,180,14,*,9,*,0,*,19,*</t>
  </si>
  <si>
    <t>124 143</t>
  </si>
  <si>
    <t>Ancient Death</t>
  </si>
  <si>
    <t>Ancient Safeguard</t>
  </si>
  <si>
    <t>Champions Chestplate</t>
  </si>
  <si>
    <t>Ancient Conflagration</t>
  </si>
  <si>
    <t>General Mehoff</t>
  </si>
  <si>
    <t>Cloth Tunic</t>
  </si>
  <si>
    <t>Hair Dye: Lime Green</t>
  </si>
  <si>
    <t>9,*,0,*,0,*,0,*,0,*,171,*</t>
  </si>
  <si>
    <t>123 124 125</t>
  </si>
  <si>
    <t>Devastators Robes</t>
  </si>
  <si>
    <t>Ancient Blessings</t>
  </si>
  <si>
    <t>Berry Stealer</t>
  </si>
  <si>
    <t>Hair Dye: Zelius' Dye</t>
  </si>
  <si>
    <t>Gold Chestplate</t>
  </si>
  <si>
    <t>157 130 127 131 128</t>
  </si>
  <si>
    <t>Hair Dye: Fayt Dye</t>
  </si>
  <si>
    <t>Spiritual Blessings</t>
  </si>
  <si>
    <t>Guardian Bear</t>
  </si>
  <si>
    <t>Hair Dye: Frozen Spit</t>
  </si>
  <si>
    <t>High Priests Tunic</t>
  </si>
  <si>
    <t>Sacrifice II</t>
  </si>
  <si>
    <t>Iron Chestplate</t>
  </si>
  <si>
    <t>Hit Point Regeneration M</t>
  </si>
  <si>
    <t>Patrol Bear</t>
  </si>
  <si>
    <t>Leather Tunic</t>
  </si>
  <si>
    <t>129 156</t>
  </si>
  <si>
    <t>Mana Point Regeneration M</t>
  </si>
  <si>
    <t>Young Bear</t>
  </si>
  <si>
    <t>Lucky Robes</t>
  </si>
  <si>
    <t>Damage of the Bear</t>
  </si>
  <si>
    <t>Ancient Poison</t>
  </si>
  <si>
    <t>Betsy the Bear Charmer</t>
  </si>
  <si>
    <t>Lucky Chestplate</t>
  </si>
  <si>
    <t>Critical Blow of the Bear</t>
  </si>
  <si>
    <t>3,*,0,*,0,*,0,*,0,*,0,*</t>
  </si>
  <si>
    <t>Increased Spell Damage XIII</t>
  </si>
  <si>
    <t>Silk Tunic</t>
  </si>
  <si>
    <t>Sorrows Hero</t>
  </si>
  <si>
    <t>Roar of the Bear</t>
  </si>
  <si>
    <t>Steel Chestplate</t>
  </si>
  <si>
    <t>36,214,214,214,140,20,214,214,214,140,14,214,214,214,140,9,214,214,214,140,0,*,316,*</t>
  </si>
  <si>
    <t>133 134</t>
  </si>
  <si>
    <t>Pancake</t>
  </si>
  <si>
    <t>Thick Skin of the Boar</t>
  </si>
  <si>
    <t>-((%cchp * 1.5) + (%ccmp * 0.3))</t>
  </si>
  <si>
    <t>Illusion: Bat</t>
  </si>
  <si>
    <t>132 133 134</t>
  </si>
  <si>
    <t>Flapjack</t>
  </si>
  <si>
    <t>-((%cchp * 2) + (%ccmp * 0.5))</t>
  </si>
  <si>
    <t>Tunic of the Poo Flinger</t>
  </si>
  <si>
    <t>Illusion: Shroom</t>
  </si>
  <si>
    <t>Cranky Ewe</t>
  </si>
  <si>
    <t>-((%cchp * .2) + (%ccmp * 2.8))</t>
  </si>
  <si>
    <t>Hair Dye: Purple Haze</t>
  </si>
  <si>
    <t>Whirling Robes</t>
  </si>
  <si>
    <t>Frantic Monkey</t>
  </si>
  <si>
    <t>Ancient Group Healing</t>
  </si>
  <si>
    <t>Sorrows Lover</t>
  </si>
  <si>
    <t>Leggings of the Poo Flinger</t>
  </si>
  <si>
    <t>222</t>
  </si>
  <si>
    <t>171</t>
  </si>
  <si>
    <t>Ancient Group Damage</t>
  </si>
  <si>
    <t>33,214,214,214,140,54,214,214,214,140,13,214,214,214,140,0,*,0,*,2,*</t>
  </si>
  <si>
    <t>Ancient Sentinel</t>
  </si>
  <si>
    <t>170 222</t>
  </si>
  <si>
    <t>Ancient Regeneration</t>
  </si>
  <si>
    <t>Ancients Dungeon Teleportation</t>
  </si>
  <si>
    <t>Champions Boots</t>
  </si>
  <si>
    <t>36,*,0,*,14,*,9,*,0,*,98,*</t>
  </si>
  <si>
    <t>Damage Reduction I</t>
  </si>
  <si>
    <t>General Vor Chez</t>
  </si>
  <si>
    <t>Augment</t>
  </si>
  <si>
    <t>Deceivers Legplates</t>
  </si>
  <si>
    <t>Damage Reduction II</t>
  </si>
  <si>
    <t>9,*,22,224,27,36,180,0,*,0,*,0,*,171,*</t>
  </si>
  <si>
    <t>Devastators Legplates</t>
  </si>
  <si>
    <t>Damage Reduction III</t>
  </si>
  <si>
    <t>Doom</t>
  </si>
  <si>
    <t>Empower</t>
  </si>
  <si>
    <t>Damage Reduction IV</t>
  </si>
  <si>
    <t>14,*,53,*,0,*,0,*,0,*,37,*</t>
  </si>
  <si>
    <t>Devastators Chestplate</t>
  </si>
  <si>
    <t>Disciple Von Bangs</t>
  </si>
  <si>
    <t>Damage Reduction V</t>
  </si>
  <si>
    <t>Deceivers Chestplate</t>
  </si>
  <si>
    <t>33,*,54,*,13,*,0,*,0,*,41,*</t>
  </si>
  <si>
    <t>Bustle</t>
  </si>
  <si>
    <t>Disciple Von Chief</t>
  </si>
  <si>
    <t>Aggravate</t>
  </si>
  <si>
    <t>Meditate</t>
  </si>
  <si>
    <t>Invisible 2</t>
  </si>
  <si>
    <t>146 144</t>
  </si>
  <si>
    <t>Giant Wraith</t>
  </si>
  <si>
    <t>Bulk</t>
  </si>
  <si>
    <t>145 147</t>
  </si>
  <si>
    <t>Returned</t>
  </si>
  <si>
    <t>Tumble</t>
  </si>
  <si>
    <t>Illusion: Bear</t>
  </si>
  <si>
    <t>Invisible 1</t>
  </si>
  <si>
    <t>Shard of Earth</t>
  </si>
  <si>
    <t>Forge</t>
  </si>
  <si>
    <t>Tailoring Supplies</t>
  </si>
  <si>
    <t>Shard of Strength</t>
  </si>
  <si>
    <t>Mischiefs Craft</t>
  </si>
  <si>
    <t>Smithing Supplies</t>
  </si>
  <si>
    <t>Shard of Love</t>
  </si>
  <si>
    <t>Shard of Life</t>
  </si>
  <si>
    <t>Scriber</t>
  </si>
  <si>
    <t>Wizards Curse</t>
  </si>
  <si>
    <t>Shard of Protection</t>
  </si>
  <si>
    <t>Richard</t>
  </si>
  <si>
    <t>Scroll: Arcane Shield 2</t>
  </si>
  <si>
    <t>Clerics Blessing</t>
  </si>
  <si>
    <t>Shard of Power</t>
  </si>
  <si>
    <t>151 152</t>
  </si>
  <si>
    <t>Scroll: Group Elemental Shield 1</t>
  </si>
  <si>
    <t>Abomination</t>
  </si>
  <si>
    <t>Scroll: Invisibility</t>
  </si>
  <si>
    <t>Knights Blessing</t>
  </si>
  <si>
    <t>Shard of Invincibility</t>
  </si>
  <si>
    <t>151</t>
  </si>
  <si>
    <t>Simon</t>
  </si>
  <si>
    <t>Scroll: Elemental Strike 7</t>
  </si>
  <si>
    <t>Shard of Hope</t>
  </si>
  <si>
    <t>153 154</t>
  </si>
  <si>
    <t>Scroll: Elemental Shield 2</t>
  </si>
  <si>
    <t>First Aid</t>
  </si>
  <si>
    <t>Charlie</t>
  </si>
  <si>
    <t>Shard of Divinity</t>
  </si>
  <si>
    <t>Scroll: Group Elemental Shield 2</t>
  </si>
  <si>
    <t>Recovery</t>
  </si>
  <si>
    <t>Shard of Fire</t>
  </si>
  <si>
    <t>Scroll: Regeneration 2</t>
  </si>
  <si>
    <t>Shard of Death</t>
  </si>
  <si>
    <t>Scroll: Bind Other</t>
  </si>
  <si>
    <t>153</t>
  </si>
  <si>
    <t>Clobber</t>
  </si>
  <si>
    <t>The Patriarch</t>
  </si>
  <si>
    <t>Scroll: Otherlands Teleport</t>
  </si>
  <si>
    <t>Shard of Water</t>
  </si>
  <si>
    <t>155</t>
  </si>
  <si>
    <t>Mama Bear</t>
  </si>
  <si>
    <t>Scroll: Group Otherlands Teleport</t>
  </si>
  <si>
    <t>Shard of Air</t>
  </si>
  <si>
    <t>Pummel</t>
  </si>
  <si>
    <t>Scroll: Elemental Strike 8</t>
  </si>
  <si>
    <t>156</t>
  </si>
  <si>
    <t>Gramps</t>
  </si>
  <si>
    <t>Scroll: Arcane Shield 4</t>
  </si>
  <si>
    <t>Tame</t>
  </si>
  <si>
    <t>Scroll: Elemental Strike 9</t>
  </si>
  <si>
    <t>Starved Bear</t>
  </si>
  <si>
    <t>Pet Attack</t>
  </si>
  <si>
    <t>Scroll: Regeneration 3</t>
  </si>
  <si>
    <t>158 155</t>
  </si>
  <si>
    <t>Wandering Scribe</t>
  </si>
  <si>
    <t>Pet Defend</t>
  </si>
  <si>
    <t>Scroll: Elemental Strike 10</t>
  </si>
  <si>
    <t>Scroll: Arcane Shield 5</t>
  </si>
  <si>
    <t>Pet Recall</t>
  </si>
  <si>
    <t>Scroll: Arcane Shield 3</t>
  </si>
  <si>
    <t>Ancient Royal</t>
  </si>
  <si>
    <t>Bastard Sword</t>
  </si>
  <si>
    <t>Pet Follow</t>
  </si>
  <si>
    <t>161 162 163 164 165</t>
  </si>
  <si>
    <t>King Terror</t>
  </si>
  <si>
    <t>Brilliant Hammer</t>
  </si>
  <si>
    <t>Pet Neutral</t>
  </si>
  <si>
    <t>34,*,53,*,0,*,0,*,0,*,0,*</t>
  </si>
  <si>
    <t>Prince Punisher</t>
  </si>
  <si>
    <t>Contraband Dagger</t>
  </si>
  <si>
    <t>Ancient Healing 2</t>
  </si>
  <si>
    <t>34,*,52,*,0,*,0,*,0,*,104,*</t>
  </si>
  <si>
    <t>Queen Butcher</t>
  </si>
  <si>
    <t>Deceivers Dagger</t>
  </si>
  <si>
    <t>Death Touch</t>
  </si>
  <si>
    <t>33,*,62,*,13,*,0,*,0,*,107,*</t>
  </si>
  <si>
    <t>Potion of Restoration</t>
  </si>
  <si>
    <t>Devastating Dragon Tooth Sword</t>
  </si>
  <si>
    <t>%chp</t>
  </si>
  <si>
    <t>%cmp</t>
  </si>
  <si>
    <t>Princess Slayer</t>
  </si>
  <si>
    <t>Spell Critical Damage III</t>
  </si>
  <si>
    <t>Group AD5 Teleport</t>
  </si>
  <si>
    <t>23,*,62,*,0,*,0,*,0,*,0,*</t>
  </si>
  <si>
    <t>Spell Critical and Damage III</t>
  </si>
  <si>
    <t>Elemental Stave</t>
  </si>
  <si>
    <t>Pumpkin</t>
  </si>
  <si>
    <t>TwoHandedSword</t>
  </si>
  <si>
    <t>Royal Mischief Blessing</t>
  </si>
  <si>
    <t>166 167</t>
  </si>
  <si>
    <t>High Quality Walde</t>
  </si>
  <si>
    <t>Fail Pumpkin</t>
  </si>
  <si>
    <t>Royal Knight Blessing</t>
  </si>
  <si>
    <t>166</t>
  </si>
  <si>
    <t>Lucky Spear</t>
  </si>
  <si>
    <t>Increased Spell Damage XV</t>
  </si>
  <si>
    <t>Chief Pumpkin</t>
  </si>
  <si>
    <t>Ancient Covenant</t>
  </si>
  <si>
    <t>TwoHandedPierce</t>
  </si>
  <si>
    <t>Spell Critical Damage VIII</t>
  </si>
  <si>
    <t>168 169</t>
  </si>
  <si>
    <t>Lucky Staff</t>
  </si>
  <si>
    <t>Boss Pumpkin</t>
  </si>
  <si>
    <t>Spell Critical V and Damage XX</t>
  </si>
  <si>
    <t>Ancient Sacrifice 2</t>
  </si>
  <si>
    <t>168</t>
  </si>
  <si>
    <t>Phat Lewtz</t>
  </si>
  <si>
    <t>Spell Critical V and Reduction XV</t>
  </si>
  <si>
    <t>Malignant Dagger</t>
  </si>
  <si>
    <t>Ancient Taunt 2</t>
  </si>
  <si>
    <t>16,224,27,36,180,3,*,0,*,0,*,79,*,0,*</t>
  </si>
  <si>
    <t>Slayers Blessing</t>
  </si>
  <si>
    <t>Team 1 Guard</t>
  </si>
  <si>
    <t>Priests Hammer</t>
  </si>
  <si>
    <t>0,*,20,255,0,0,180,0,*,0,*,0,*,0,*</t>
  </si>
  <si>
    <t>172</t>
  </si>
  <si>
    <t>%cchp * .5</t>
  </si>
  <si>
    <t>Team 1 Boss</t>
  </si>
  <si>
    <t>Scythe</t>
  </si>
  <si>
    <t>20,255,0,0,180,20,255,0,0,180,0,*,0,*,0,*,0,*</t>
  </si>
  <si>
    <t>Team 2 Guard</t>
  </si>
  <si>
    <t>Searing Whip</t>
  </si>
  <si>
    <t>0,*,20,0,0,255,180,0,*,0,*,0,*,0,*</t>
  </si>
  <si>
    <t>174</t>
  </si>
  <si>
    <t>Team 2 Boss</t>
  </si>
  <si>
    <t>171 170</t>
  </si>
  <si>
    <t>Thicket Stave</t>
  </si>
  <si>
    <t>20,0,0,255,180,20,0,0,255,180,0,*,0,*,0,*,0,*</t>
  </si>
  <si>
    <t>173</t>
  </si>
  <si>
    <t>Hair Dye: Trouble</t>
  </si>
  <si>
    <t>Devastating Birch Wood Staff</t>
  </si>
  <si>
    <t>Ancient Prisoner</t>
  </si>
  <si>
    <t>Hair Dye: Mald's Dye</t>
  </si>
  <si>
    <t>175 176</t>
  </si>
  <si>
    <t>Tiny Club</t>
  </si>
  <si>
    <t>Ancient Prison Superior</t>
  </si>
  <si>
    <t>176</t>
  </si>
  <si>
    <t>Frays Cane</t>
  </si>
  <si>
    <t>Henry</t>
  </si>
  <si>
    <t>Nagan Sword</t>
  </si>
  <si>
    <t>Gordon</t>
  </si>
  <si>
    <t>Nagan Dagger</t>
  </si>
  <si>
    <t>Rueben</t>
  </si>
  <si>
    <t>SelfNPCPlayer</t>
  </si>
  <si>
    <t>Credit Exchange</t>
  </si>
  <si>
    <t>Nagan Stave</t>
  </si>
  <si>
    <t>Pet Trainer</t>
  </si>
  <si>
    <t>Firebrand Shield</t>
  </si>
  <si>
    <t>Alchemy Supplier Guy</t>
  </si>
  <si>
    <t>Peasant Dress</t>
  </si>
  <si>
    <t>Quest</t>
  </si>
  <si>
    <t>Hair Dye: Green</t>
  </si>
  <si>
    <t>Bruno the Warrior Trainer</t>
  </si>
  <si>
    <t>Priests Leggings</t>
  </si>
  <si>
    <t>Hair Dye: Blonde</t>
  </si>
  <si>
    <t>11,66,69,189,150,20,*,6,*,4,*,0,*,109,*</t>
  </si>
  <si>
    <t>Aryn the Rogue Trainer</t>
  </si>
  <si>
    <t>PVP Event Teleport</t>
  </si>
  <si>
    <t>Priests Shoes</t>
  </si>
  <si>
    <t>11,*,20,58,56,56,180,14,*,9,*,0,*,177,*</t>
  </si>
  <si>
    <t>Tavon</t>
  </si>
  <si>
    <t>Hair Dye: Rampant Rape</t>
  </si>
  <si>
    <t>Priests Tunic</t>
  </si>
  <si>
    <t>Hair Dye: Beowulf Sperm</t>
  </si>
  <si>
    <t>Farmer Pete</t>
  </si>
  <si>
    <t>Hair Dye: Sorwind's Dye</t>
  </si>
  <si>
    <t>Magus Leggings</t>
  </si>
  <si>
    <t>Jack</t>
  </si>
  <si>
    <t>Magus Shoes</t>
  </si>
  <si>
    <t>Jill</t>
  </si>
  <si>
    <t>-(%thp * 100)</t>
  </si>
  <si>
    <t>Increased Spell Critical V</t>
  </si>
  <si>
    <t>Talfen</t>
  </si>
  <si>
    <t>Magus Tunic</t>
  </si>
  <si>
    <t>Spirit Power</t>
  </si>
  <si>
    <t>Gerald</t>
  </si>
  <si>
    <t>Magus Crown</t>
  </si>
  <si>
    <t>Ancients Dungeon Teleport</t>
  </si>
  <si>
    <t>Warriors Helmet</t>
  </si>
  <si>
    <t>0.9 * %cchp</t>
  </si>
  <si>
    <t>Warriors Legplates</t>
  </si>
  <si>
    <t>Warriors Boots</t>
  </si>
  <si>
    <t>Hair Dye: Wesley Snipers</t>
  </si>
  <si>
    <t>Warriors Chestplate</t>
  </si>
  <si>
    <t>HP Regeneration</t>
  </si>
  <si>
    <t>Rogues Helmet</t>
  </si>
  <si>
    <t>MP Regeneration</t>
  </si>
  <si>
    <t>Haste</t>
  </si>
  <si>
    <t>Rogues Legplates</t>
  </si>
  <si>
    <t>Spell Damage</t>
  </si>
  <si>
    <t>Rogues Boots</t>
  </si>
  <si>
    <t>Spell Crit</t>
  </si>
  <si>
    <t>Rogues Chestplate</t>
  </si>
  <si>
    <t>npc id</t>
  </si>
  <si>
    <t>map id</t>
  </si>
  <si>
    <t>map x</t>
  </si>
  <si>
    <t>map y</t>
  </si>
  <si>
    <t>NPC Name (Don't touch)</t>
  </si>
  <si>
    <t>Map Name (Don't touch)</t>
  </si>
  <si>
    <t>Spell Critical XX and HP Reg</t>
  </si>
  <si>
    <t>High Priests Leggings</t>
  </si>
  <si>
    <t>Spell Damage XX and MP Reg</t>
  </si>
  <si>
    <t>Spell Critical XX</t>
  </si>
  <si>
    <t>High Priests Shoes</t>
  </si>
  <si>
    <t>Mount Speed II</t>
  </si>
  <si>
    <t>High Priests Crown</t>
  </si>
  <si>
    <t>Character</t>
  </si>
  <si>
    <t>Target</t>
  </si>
  <si>
    <t>Buff</t>
  </si>
  <si>
    <t>Elemental Leggings</t>
  </si>
  <si>
    <t>Elemental Shoes</t>
  </si>
  <si>
    <t>Elemental Tunic</t>
  </si>
  <si>
    <t>282 283 284</t>
  </si>
  <si>
    <t>Elemental Crown</t>
  </si>
  <si>
    <t>Whirling Leggings</t>
  </si>
  <si>
    <t>Whirling Slippers</t>
  </si>
  <si>
    <t>Whirling Hat</t>
  </si>
  <si>
    <t>Nagan Robes</t>
  </si>
  <si>
    <t>Coral Sword</t>
  </si>
  <si>
    <t>Devastating Dagger of the Fox</t>
  </si>
  <si>
    <t>Champions Blade</t>
  </si>
  <si>
    <t>Cold Beaten Sleeves</t>
  </si>
  <si>
    <t>Spiked Belt of the Bunny</t>
  </si>
  <si>
    <t>Shirt of the Fallen Loser</t>
  </si>
  <si>
    <t>Hays Claw</t>
  </si>
  <si>
    <t>Bear Claw</t>
  </si>
  <si>
    <t>Rusty Claw</t>
  </si>
  <si>
    <t>Frays Flippers</t>
  </si>
  <si>
    <t>Beefs Fist</t>
  </si>
  <si>
    <t>Lesser Essence of Earth</t>
  </si>
  <si>
    <t>Lesser Essence of Water</t>
  </si>
  <si>
    <t>Lesser Essence of Fire</t>
  </si>
  <si>
    <t>Lesser Essence of Air</t>
  </si>
  <si>
    <t>Key to the Ancients Dungeon</t>
  </si>
  <si>
    <t>Unadorned Coral</t>
  </si>
  <si>
    <t>Present 1</t>
  </si>
  <si>
    <t>Present 2</t>
  </si>
  <si>
    <t>Present 3</t>
  </si>
  <si>
    <t>Present 4</t>
  </si>
  <si>
    <t>Scroll: Covenant</t>
  </si>
  <si>
    <t>Scroll: Arcane Blast</t>
  </si>
  <si>
    <t>Rune: Arcane Assault</t>
  </si>
  <si>
    <t>Scroll: Spirit Strike</t>
  </si>
  <si>
    <t>Scroll: Critical Strike</t>
  </si>
  <si>
    <t>Scroll: Rejuvination</t>
  </si>
  <si>
    <t>Rune: Restore Health</t>
  </si>
  <si>
    <t>Teleport: Minita</t>
  </si>
  <si>
    <t>Teleport: Bound</t>
  </si>
  <si>
    <t>Teleport: Otherlands</t>
  </si>
  <si>
    <t>Ancient Moon Wand</t>
  </si>
  <si>
    <t>Ancient Garb</t>
  </si>
  <si>
    <t>Ancient Robe</t>
  </si>
  <si>
    <t>Snake Tiara</t>
  </si>
  <si>
    <t>Snake Helm</t>
  </si>
  <si>
    <t>Cloak of Power</t>
  </si>
  <si>
    <t>Pauldrons of Power</t>
  </si>
  <si>
    <t>Belt of Power</t>
  </si>
  <si>
    <t>Ancient Armor</t>
  </si>
  <si>
    <t>Ancient Axe</t>
  </si>
  <si>
    <t>Ancient Dagger</t>
  </si>
  <si>
    <t>Magus Ancient Moon Shield</t>
  </si>
  <si>
    <t>Priests Ancient Moon Shield</t>
  </si>
  <si>
    <t>Rogues Ancient Moon Shield</t>
  </si>
  <si>
    <t>Warriors Ancient Moon Shield</t>
  </si>
  <si>
    <t>Essence of Earth</t>
  </si>
  <si>
    <t>Essence of Water</t>
  </si>
  <si>
    <t>Essence of Fire</t>
  </si>
  <si>
    <t>Essence of Air</t>
  </si>
  <si>
    <t>Teleport: Paradise</t>
  </si>
  <si>
    <t>Scroll: Group Teleport Paradise</t>
  </si>
  <si>
    <t>Design: Ancient Shield</t>
  </si>
  <si>
    <t>Bracelet of Fire</t>
  </si>
  <si>
    <t>Bracelet of Earth</t>
  </si>
  <si>
    <t>Bracelet of Air</t>
  </si>
  <si>
    <t>Bracelet of Water</t>
  </si>
  <si>
    <t>Bracelet of Spirit</t>
  </si>
  <si>
    <t>Earthbrand Shield</t>
  </si>
  <si>
    <t>item id</t>
  </si>
  <si>
    <t>stack size</t>
  </si>
  <si>
    <t>droprate</t>
  </si>
  <si>
    <t>Item Name (Don't touch)</t>
  </si>
  <si>
    <t>Earthbrand Buckler</t>
  </si>
  <si>
    <t>Earthbrand Guard</t>
  </si>
  <si>
    <t>Nagan Armor</t>
  </si>
  <si>
    <t>Scroll: Ancient Healing</t>
  </si>
  <si>
    <t>Scroll: Ancient Root</t>
  </si>
  <si>
    <t>Scroll: Ancient Sturdiness</t>
  </si>
  <si>
    <t>Scroll: Ancient Criticality</t>
  </si>
  <si>
    <t>Scroll: Ancient Augmentation</t>
  </si>
  <si>
    <t>Scroll: Ancient Protection</t>
  </si>
  <si>
    <t>Scroll: Ancient Buffiness</t>
  </si>
  <si>
    <t>Scroll: Ancient Damage</t>
  </si>
  <si>
    <t>Scroll: Ancient Taunt</t>
  </si>
  <si>
    <t>Scroll: Ancient Sacrifice</t>
  </si>
  <si>
    <t>Scroll: Smokebomb</t>
  </si>
  <si>
    <t>Scroll: Group Heal</t>
  </si>
  <si>
    <t>Scroll: Warrior Root</t>
  </si>
  <si>
    <t>Blank Scroll</t>
  </si>
  <si>
    <t>Scroll: Bat Illusion</t>
  </si>
  <si>
    <t>Flint</t>
  </si>
  <si>
    <t>Bonfire</t>
  </si>
  <si>
    <t>Chisel</t>
  </si>
  <si>
    <t>Garlic</t>
  </si>
  <si>
    <t>High Quality Blade</t>
  </si>
  <si>
    <t>High Quality Hilt</t>
  </si>
  <si>
    <t>Medium Quality Blade</t>
  </si>
  <si>
    <t>Medium Quality Hilt</t>
  </si>
  <si>
    <t>Low Quality Blade</t>
  </si>
  <si>
    <t>Low Quality Hilt</t>
  </si>
  <si>
    <t>Needle</t>
  </si>
  <si>
    <t>Ink</t>
  </si>
  <si>
    <t>Liquid Ore</t>
  </si>
  <si>
    <t>Pearl</t>
  </si>
  <si>
    <t>Rope</t>
  </si>
  <si>
    <t>Sharp Scissors</t>
  </si>
  <si>
    <t>Shirt Pattern</t>
  </si>
  <si>
    <t>Spool of Thread</t>
  </si>
  <si>
    <t>Spool of Blue Thread</t>
  </si>
  <si>
    <t>Spool of Green Thread</t>
  </si>
  <si>
    <t>Spool of Red Thread</t>
  </si>
  <si>
    <t>Spool of Black Thread</t>
  </si>
  <si>
    <t>Spool of Pink Thread</t>
  </si>
  <si>
    <t>Spool of Purple Thread</t>
  </si>
  <si>
    <t>stack size (1)</t>
  </si>
  <si>
    <t>Unrefined Ore</t>
  </si>
  <si>
    <t>stats visible (1)</t>
  </si>
  <si>
    <t>slot number</t>
  </si>
  <si>
    <t>Cats Hair</t>
  </si>
  <si>
    <t>Scroll: Shroom Illusion</t>
  </si>
  <si>
    <t>Crude Pearl Ring</t>
  </si>
  <si>
    <t>Crude Gold Ring</t>
  </si>
  <si>
    <t>Crude Ruby Ring</t>
  </si>
  <si>
    <t>Pearl Bracelet</t>
  </si>
  <si>
    <t>Medium Quality Walde</t>
  </si>
  <si>
    <t>Low Quality Walde</t>
  </si>
  <si>
    <t>Stunnah Shades</t>
  </si>
  <si>
    <t>Valiant Helmet</t>
  </si>
  <si>
    <t>Valiant Chestplate</t>
  </si>
  <si>
    <t>Valiant Legplates</t>
  </si>
  <si>
    <t>Valiant Boots</t>
  </si>
  <si>
    <t>Valiant Cap</t>
  </si>
  <si>
    <t>Valiant Robes</t>
  </si>
  <si>
    <t>Valiant Mesh</t>
  </si>
  <si>
    <t>Valiant Stealth</t>
  </si>
  <si>
    <t>Celestial Pauldrons</t>
  </si>
  <si>
    <t>Shades</t>
  </si>
  <si>
    <t>Battle Gown</t>
  </si>
  <si>
    <t>Lucky Belt</t>
  </si>
  <si>
    <t>Champions Sandals</t>
  </si>
  <si>
    <t>Princess Dress</t>
  </si>
  <si>
    <t>Fire Angel Robe</t>
  </si>
  <si>
    <t>Tuxedo</t>
  </si>
  <si>
    <t>Lucky Dagger</t>
  </si>
  <si>
    <t>Slime Staff</t>
  </si>
  <si>
    <t>Haze's Bone Sword</t>
  </si>
  <si>
    <t>Doom Robe</t>
  </si>
  <si>
    <t>Design: Ancient Slippers</t>
  </si>
  <si>
    <t>Mold: Ancient Boots</t>
  </si>
  <si>
    <t>Design: Divine Crown</t>
  </si>
  <si>
    <t>Mold: Divine Helm</t>
  </si>
  <si>
    <t>Dagger of Contemption</t>
  </si>
  <si>
    <t>Ward of Destruction</t>
  </si>
  <si>
    <t>Ancient Boots</t>
  </si>
  <si>
    <t>Ancient Slippers</t>
  </si>
  <si>
    <t>Divine Helm</t>
  </si>
  <si>
    <t>Divine Crown</t>
  </si>
  <si>
    <t>Laurels</t>
  </si>
  <si>
    <t>Frilly Top</t>
  </si>
  <si>
    <t>Frilly Skirt</t>
  </si>
  <si>
    <t>Sandals</t>
  </si>
  <si>
    <t>Scroll: Ancient Bellow</t>
  </si>
  <si>
    <t>Rune: Ancient Awe</t>
  </si>
  <si>
    <t>Rune: Ancient Conflagration</t>
  </si>
  <si>
    <t>Rune: Ancient Death</t>
  </si>
  <si>
    <t>Doom Helm</t>
  </si>
  <si>
    <t>Rune: Ancient Blessings</t>
  </si>
  <si>
    <t>Scroll: Spiritual Blessings</t>
  </si>
  <si>
    <t>Teleport: Ancients Dungeon</t>
  </si>
  <si>
    <t>Savage Pauldrons of the Boar</t>
  </si>
  <si>
    <t>Savage Pauldrons of the Cow</t>
  </si>
  <si>
    <t>Red Ring</t>
  </si>
  <si>
    <t>Black Ring</t>
  </si>
  <si>
    <t>Gero Robes</t>
  </si>
  <si>
    <t>Mama Chestplate</t>
  </si>
  <si>
    <t>Mama Headband</t>
  </si>
  <si>
    <t>Mama Legplates</t>
  </si>
  <si>
    <t>Mama Boots</t>
  </si>
  <si>
    <t>Scroll: Sacrifice II</t>
  </si>
  <si>
    <t>Scroll: Damage of the Bear</t>
  </si>
  <si>
    <t>Scroll: Critical Blow of the Bear</t>
  </si>
  <si>
    <t>Scroll: Roar of the Bear</t>
  </si>
  <si>
    <t>Ducky Pauldrons</t>
  </si>
  <si>
    <t>Priceless Needle</t>
  </si>
  <si>
    <t>Priceless Pattern</t>
  </si>
  <si>
    <t>Priceless Thread</t>
  </si>
  <si>
    <t>Priceless Ore</t>
  </si>
  <si>
    <t>Priceless Chisel</t>
  </si>
  <si>
    <t>Priceless Hammer</t>
  </si>
  <si>
    <t>Wrapping Paper</t>
  </si>
  <si>
    <t>Empty Box</t>
  </si>
  <si>
    <t>Sketch</t>
  </si>
  <si>
    <t>Soft Gold Ore</t>
  </si>
  <si>
    <t>Gramps Fur</t>
  </si>
  <si>
    <t>Blood</t>
  </si>
  <si>
    <t>Berrys Hair Strand</t>
  </si>
  <si>
    <t>Cloth Shirt</t>
  </si>
  <si>
    <t>Practice Katana</t>
  </si>
  <si>
    <t>Soft Belt</t>
  </si>
  <si>
    <t>Cat Ears</t>
  </si>
  <si>
    <t>Black Cat Ears</t>
  </si>
  <si>
    <t>Leather Padding</t>
  </si>
  <si>
    <t>Fighting Katana</t>
  </si>
  <si>
    <t>Red Rope</t>
  </si>
  <si>
    <t>Gero Necklace</t>
  </si>
  <si>
    <t>Hazy Ears</t>
  </si>
  <si>
    <t>Scroll: Ancient Group Healing</t>
  </si>
  <si>
    <t>Scroll: Ancient Group Damage</t>
  </si>
  <si>
    <t>Scroll: Ancient Regeneration</t>
  </si>
  <si>
    <t>Star Shield</t>
  </si>
  <si>
    <t>Sanguine Chaos</t>
  </si>
  <si>
    <t>Scratch</t>
  </si>
  <si>
    <t>Bling Belt</t>
  </si>
  <si>
    <t>Enchanted Gloves</t>
  </si>
  <si>
    <t>Scroll: Augment</t>
  </si>
  <si>
    <t>Scroll: Empower</t>
  </si>
  <si>
    <t>Scroll: Bustle</t>
  </si>
  <si>
    <t>Scroll: Aggravate</t>
  </si>
  <si>
    <t>Scroll: Meditate</t>
  </si>
  <si>
    <t>Scroll: Bulk</t>
  </si>
  <si>
    <t>Scroll: Tumble</t>
  </si>
  <si>
    <t>Scroll: Forge</t>
  </si>
  <si>
    <t>Design: Royal Leggings</t>
  </si>
  <si>
    <t>Mold: Royal Legplates</t>
  </si>
  <si>
    <t>Design: Royal Tunic</t>
  </si>
  <si>
    <t>Mold: Royal Chestplate</t>
  </si>
  <si>
    <t>Royal Legplates</t>
  </si>
  <si>
    <t>Royal Leggings</t>
  </si>
  <si>
    <t>Royal Chestplate</t>
  </si>
  <si>
    <t>Royal Tunic</t>
  </si>
  <si>
    <t>Mischiefs Claw of Destruction</t>
  </si>
  <si>
    <t>Mischiefs Shield of Destruction</t>
  </si>
  <si>
    <t>Wizards Staff of Enchantment</t>
  </si>
  <si>
    <t>Knights Sword of Awe</t>
  </si>
  <si>
    <t>Clerics Testament of Nobility</t>
  </si>
  <si>
    <t>Clerics Ward of Nobility</t>
  </si>
  <si>
    <t>Slayers Armguards</t>
  </si>
  <si>
    <t>Slayers Belt</t>
  </si>
  <si>
    <t>Slayers Gloves</t>
  </si>
  <si>
    <t>Terror Necklace</t>
  </si>
  <si>
    <t>Broken Key</t>
  </si>
  <si>
    <t>Rune: Knights Blessing</t>
  </si>
  <si>
    <t>Rune: Wizards Curse</t>
  </si>
  <si>
    <t>Rune: Mischiefs Craft</t>
  </si>
  <si>
    <t>Rune: Clerics Blessing</t>
  </si>
  <si>
    <t>Scroll: First Aid</t>
  </si>
  <si>
    <t>Scroll: Recovery</t>
  </si>
  <si>
    <t>Scroll: Clobber</t>
  </si>
  <si>
    <t>Scroll: Pummel</t>
  </si>
  <si>
    <t>Scroll: Tame Pet</t>
  </si>
  <si>
    <t>Has a 6 hour cooldown.</t>
  </si>
  <si>
    <t>Scroll: Pet Attack</t>
  </si>
  <si>
    <t>Scroll: Pet Defend</t>
  </si>
  <si>
    <t>Scroll: Pet Recall</t>
  </si>
  <si>
    <t>Scroll: Pet Follow</t>
  </si>
  <si>
    <t>Scroll: Pet Neutral</t>
  </si>
  <si>
    <t>Mald's Robe</t>
  </si>
  <si>
    <t>Mald's Shades</t>
  </si>
  <si>
    <t>Mald's Holy Sword</t>
  </si>
  <si>
    <t>Mald's Slime Shield</t>
  </si>
  <si>
    <t>Pet Bait</t>
  </si>
  <si>
    <t>DPS Shield</t>
  </si>
  <si>
    <t>Not DPS' Helm</t>
  </si>
  <si>
    <t>DPS Robe</t>
  </si>
  <si>
    <t>DPS Coral</t>
  </si>
  <si>
    <t>Teleport: PVP Event</t>
  </si>
  <si>
    <t>Team 1 Headband</t>
  </si>
  <si>
    <t>Team 2 Headband</t>
  </si>
  <si>
    <t>Mald's Devastator Sword</t>
  </si>
  <si>
    <t>Mald's Moon Shield</t>
  </si>
  <si>
    <t>Mald's Monster Feet</t>
  </si>
  <si>
    <t>Sunshine Cloak</t>
  </si>
  <si>
    <t>Egg Yolk Headband</t>
  </si>
  <si>
    <t>5 In The Pink</t>
  </si>
  <si>
    <t>Mald's Coat</t>
  </si>
  <si>
    <t>Penguin Costume</t>
  </si>
  <si>
    <t>Grim Reaper Costume</t>
  </si>
  <si>
    <t>Ghost Costume</t>
  </si>
  <si>
    <t>Gingerbread Man Costume</t>
  </si>
  <si>
    <t>Devil Costume</t>
  </si>
  <si>
    <t>Scroll: Ancient Healing 2</t>
  </si>
  <si>
    <t>Maser's Vengeance</t>
  </si>
  <si>
    <t>Maser's Revolution</t>
  </si>
  <si>
    <t>Azul's CP</t>
  </si>
  <si>
    <t>Azul's Sword</t>
  </si>
  <si>
    <t>Azul's A Princess</t>
  </si>
  <si>
    <t>Azul's Shield</t>
  </si>
  <si>
    <t>DPS CP</t>
  </si>
  <si>
    <t>DPS Staff</t>
  </si>
  <si>
    <t>DPS White Shield</t>
  </si>
  <si>
    <t>DPS Doom</t>
  </si>
  <si>
    <t>Scroll: Death Touch</t>
  </si>
  <si>
    <t>DPS Boots</t>
  </si>
  <si>
    <t>DPS Legplates</t>
  </si>
  <si>
    <t>Enchanted Bracelet of Fire</t>
  </si>
  <si>
    <t>Enchanted Bracelet of Earth</t>
  </si>
  <si>
    <t>Enchanted Bracelet of Air</t>
  </si>
  <si>
    <t>Enchanted Bracelet of Water</t>
  </si>
  <si>
    <t>Enchanted Bracelet of Spirit</t>
  </si>
  <si>
    <t>Howto: Bracelet Enchantment</t>
  </si>
  <si>
    <t>Prison Gloves</t>
  </si>
  <si>
    <t>Enchanted Divine Helm</t>
  </si>
  <si>
    <t>Enchanted Divine Crown</t>
  </si>
  <si>
    <t>Howto: Helm Enchantment</t>
  </si>
  <si>
    <t>Scroll: Group Ancient Dungeons Teleport</t>
  </si>
  <si>
    <t>Scroll: Paradise Teleport</t>
  </si>
  <si>
    <t>Scroll: Ancient Covenant</t>
  </si>
  <si>
    <t>Scroll: Ancient Sacrifice 2</t>
  </si>
  <si>
    <t>Slippey's Robe</t>
  </si>
  <si>
    <t>Scroll: Ancient Taunt 2</t>
  </si>
  <si>
    <t>Powerful Beefs Immortality</t>
  </si>
  <si>
    <t>UMADBra</t>
  </si>
  <si>
    <t>Deji's Black Wolf</t>
  </si>
  <si>
    <t>Yuna's White Wolf</t>
  </si>
  <si>
    <t>Nakeds</t>
  </si>
  <si>
    <t>Ranga Suit</t>
  </si>
  <si>
    <t>Stichs Pants</t>
  </si>
  <si>
    <t>Stichs Boots</t>
  </si>
  <si>
    <t>Stichs Robe</t>
  </si>
  <si>
    <t>Deji's Boner</t>
  </si>
  <si>
    <t>Brokonk Armor</t>
  </si>
  <si>
    <t>Brokonk Axe</t>
  </si>
  <si>
    <t>Brokonk Shield</t>
  </si>
  <si>
    <t>Lava Robes</t>
  </si>
  <si>
    <t>Cloudy Robes</t>
  </si>
  <si>
    <t>Fuzex Necklace</t>
  </si>
  <si>
    <t>Theknights Staff of Enchantment</t>
  </si>
  <si>
    <t>Theknights Shield</t>
  </si>
  <si>
    <t>Theknights Ring of Awesomeness</t>
  </si>
  <si>
    <t>Empty Bottle</t>
  </si>
  <si>
    <t>Magical Liquid</t>
  </si>
  <si>
    <t>Red Droplet</t>
  </si>
  <si>
    <t>Blue Droplet</t>
  </si>
  <si>
    <t>Purple Droplet</t>
  </si>
  <si>
    <t>Green Droplet</t>
  </si>
  <si>
    <t>Orange Droplet</t>
  </si>
  <si>
    <t>HP Regen Potion</t>
  </si>
  <si>
    <t>MP Regen Potion</t>
  </si>
  <si>
    <t>Haste Potion</t>
  </si>
  <si>
    <t>Spell Damage Potion</t>
  </si>
  <si>
    <t>Spell Critical Potion</t>
  </si>
  <si>
    <t>Blind Faith</t>
  </si>
  <si>
    <t>Cowardice</t>
  </si>
  <si>
    <t>Gonryomaru</t>
  </si>
  <si>
    <t>Sloth</t>
  </si>
  <si>
    <t>Wrath</t>
  </si>
  <si>
    <t>Lust</t>
  </si>
  <si>
    <t>Gluttony</t>
  </si>
  <si>
    <t>filename</t>
  </si>
  <si>
    <t>min_level (0)</t>
  </si>
  <si>
    <t>max_level (0)</t>
  </si>
  <si>
    <t>min_experience (0)</t>
  </si>
  <si>
    <t>max_experience (0)</t>
  </si>
  <si>
    <t>pvp_enabled (0)</t>
  </si>
  <si>
    <t>chat_enabled (1)</t>
  </si>
  <si>
    <t>auction_enabled (1)</t>
  </si>
  <si>
    <t>Greed</t>
  </si>
  <si>
    <t>shout_enabled (1)</t>
  </si>
  <si>
    <t>spells_enabled (1)</t>
  </si>
  <si>
    <t>bind_enabled (0)</t>
  </si>
  <si>
    <t>items_enabled (1)</t>
  </si>
  <si>
    <t>pets_enabled (1)</t>
  </si>
  <si>
    <t>Minita</t>
  </si>
  <si>
    <t>Map10001.map</t>
  </si>
  <si>
    <t>Its the Bat Cave Robin</t>
  </si>
  <si>
    <t>Map10002.map</t>
  </si>
  <si>
    <t>Pride</t>
  </si>
  <si>
    <t>Graveyard</t>
  </si>
  <si>
    <t>Map10003.map</t>
  </si>
  <si>
    <t>Forest Arena</t>
  </si>
  <si>
    <t>Map10004.map</t>
  </si>
  <si>
    <t>GM Paradise</t>
  </si>
  <si>
    <t>Map10005.map</t>
  </si>
  <si>
    <t>Undead Hallway</t>
  </si>
  <si>
    <t>Map10006.map</t>
  </si>
  <si>
    <t>Envy</t>
  </si>
  <si>
    <t>Slime Kingdom</t>
  </si>
  <si>
    <t>Map10007.map</t>
  </si>
  <si>
    <t>Roadkill Woods</t>
  </si>
  <si>
    <t>Map10008.map</t>
  </si>
  <si>
    <t>Punchys Playhouse</t>
  </si>
  <si>
    <t>Map10009.map</t>
  </si>
  <si>
    <t>Dead Forest</t>
  </si>
  <si>
    <t>Map10010.map</t>
  </si>
  <si>
    <t>Otherlands</t>
  </si>
  <si>
    <t>Map10011.map</t>
  </si>
  <si>
    <t>Custom Ticket</t>
  </si>
  <si>
    <t>Put ticket in first slot of combine bag and type /custom</t>
  </si>
  <si>
    <t>Mindless Mines</t>
  </si>
  <si>
    <t>Map10012.map</t>
  </si>
  <si>
    <t>Hay and Frays Stronghold</t>
  </si>
  <si>
    <t>Map10013.map</t>
  </si>
  <si>
    <t>Chiisaiyama</t>
  </si>
  <si>
    <t>Map10014.map</t>
  </si>
  <si>
    <t>Dusty Shoes</t>
  </si>
  <si>
    <t>Battle Fields</t>
  </si>
  <si>
    <t>Map10015.map</t>
  </si>
  <si>
    <t>Arctic Lands</t>
  </si>
  <si>
    <t>Map10016.map</t>
  </si>
  <si>
    <t>Northern Arctic Lands</t>
  </si>
  <si>
    <t>Map10017.map</t>
  </si>
  <si>
    <t>Frozen Lake</t>
  </si>
  <si>
    <t>Rusty Hammer</t>
  </si>
  <si>
    <t>Map10018.map</t>
  </si>
  <si>
    <t>Frigid Maze</t>
  </si>
  <si>
    <t>Map10019.map</t>
  </si>
  <si>
    <t>Tower of the Ancients</t>
  </si>
  <si>
    <t>Map10020.map</t>
  </si>
  <si>
    <t>Map10021.map</t>
  </si>
  <si>
    <t>Old Stave</t>
  </si>
  <si>
    <t>Map10022.map</t>
  </si>
  <si>
    <t>Map10023.map</t>
  </si>
  <si>
    <t>The Ancients Dungeon</t>
  </si>
  <si>
    <t>Map10024.map</t>
  </si>
  <si>
    <t>Boondocks</t>
  </si>
  <si>
    <t>Map10025.map</t>
  </si>
  <si>
    <t>Rusty Dagger</t>
  </si>
  <si>
    <t>Map10026.map</t>
  </si>
  <si>
    <t>Nagan Oasis</t>
  </si>
  <si>
    <t>Map10027.map</t>
  </si>
  <si>
    <t>Savage Isle</t>
  </si>
  <si>
    <t>Map10028.map</t>
  </si>
  <si>
    <t>Map10029.map</t>
  </si>
  <si>
    <t>Rusty Sword</t>
  </si>
  <si>
    <t>Where am I?</t>
  </si>
  <si>
    <t>Map10030.map</t>
  </si>
  <si>
    <t>Event Hall</t>
  </si>
  <si>
    <t>Map10031.map</t>
  </si>
  <si>
    <t>Sorrows Grove</t>
  </si>
  <si>
    <t>Map10032.map</t>
  </si>
  <si>
    <t>The Passing</t>
  </si>
  <si>
    <t>Wool</t>
  </si>
  <si>
    <t>Map10033.map</t>
  </si>
  <si>
    <t>Winter Heights</t>
  </si>
  <si>
    <t>Map10034.map</t>
  </si>
  <si>
    <t>Rabbit Fur Pants</t>
  </si>
  <si>
    <t>Paradise</t>
  </si>
  <si>
    <t>Map10035.map</t>
  </si>
  <si>
    <t>Shops</t>
  </si>
  <si>
    <t>Map10036.map</t>
  </si>
  <si>
    <t>Marketplace</t>
  </si>
  <si>
    <t>Map10037.map</t>
  </si>
  <si>
    <t>Pumpkin Grove</t>
  </si>
  <si>
    <t>Map10038.map</t>
  </si>
  <si>
    <t>Haunted House</t>
  </si>
  <si>
    <t>Map10039.map</t>
  </si>
  <si>
    <t>Tank</t>
  </si>
  <si>
    <t>Map10040.map</t>
  </si>
  <si>
    <t>Hall of Heroes</t>
  </si>
  <si>
    <t>Map10041.map</t>
  </si>
  <si>
    <t>Rugged Valley</t>
  </si>
  <si>
    <t>Map10042.map</t>
  </si>
  <si>
    <t>Bear Kingdom</t>
  </si>
  <si>
    <t>Map10043.map</t>
  </si>
  <si>
    <t>Starving Pits</t>
  </si>
  <si>
    <t>Map10044.map</t>
  </si>
  <si>
    <t>Mount</t>
  </si>
  <si>
    <t>None</t>
  </si>
  <si>
    <t>map_id</t>
  </si>
  <si>
    <t>item_template_id</t>
  </si>
  <si>
    <t>min level (1)</t>
  </si>
  <si>
    <t>max level (50)</t>
  </si>
  <si>
    <t>min experience (0)</t>
  </si>
  <si>
    <t>max experience (0)</t>
  </si>
  <si>
    <t>class restrictions (0)</t>
  </si>
  <si>
    <t>Magus Moon Shield</t>
  </si>
  <si>
    <t>Rogue Moon Shield</t>
  </si>
  <si>
    <t>Warrior Moon Shield</t>
  </si>
  <si>
    <t>Priest Moon Shield</t>
  </si>
  <si>
    <t>Magus Ancient Slippers</t>
  </si>
  <si>
    <t>Rogue Ancient Boots</t>
  </si>
  <si>
    <t>Warrior Ancient Boots</t>
  </si>
  <si>
    <t>Priest Ancient Slippers</t>
  </si>
  <si>
    <t>Magus Divine Crown</t>
  </si>
  <si>
    <t>Rogue Divine Helm</t>
  </si>
  <si>
    <t>Warrior Divine Helm</t>
  </si>
  <si>
    <t>Priest Divine Crown</t>
  </si>
  <si>
    <t>Magus Royal Leggings</t>
  </si>
  <si>
    <t>Rogue Royal Legplates</t>
  </si>
  <si>
    <t>Warrior Royal Legplates</t>
  </si>
  <si>
    <t>Priest Royal Leggings</t>
  </si>
  <si>
    <t>Magus Royal Tunic</t>
  </si>
  <si>
    <t>Rogue Royal Chestplate</t>
  </si>
  <si>
    <t>Warrior Royal Chestplate</t>
  </si>
  <si>
    <t>Priest Royal Tunic</t>
  </si>
  <si>
    <t>Rogue Enchanted Divine Helm</t>
  </si>
  <si>
    <t>Warrior Enchanted Divine Helm</t>
  </si>
  <si>
    <t>Magus Enchanted Divine Crown</t>
  </si>
  <si>
    <t>Priest Enchanted Divine Crown</t>
  </si>
  <si>
    <t>HP Regeneration Potion</t>
  </si>
  <si>
    <t>MP Regeneration Potion</t>
  </si>
  <si>
    <t>combination id</t>
  </si>
  <si>
    <t>item template id</t>
  </si>
  <si>
    <t>Combination Name (Don't touch)</t>
  </si>
  <si>
    <t>Ingredient Name (don't touch)</t>
  </si>
  <si>
    <t>result id</t>
  </si>
  <si>
    <t>warp to map id</t>
  </si>
  <si>
    <t>warp to x</t>
  </si>
  <si>
    <t>warp to y</t>
  </si>
  <si>
    <t>pass text</t>
  </si>
  <si>
    <t>fail text</t>
  </si>
  <si>
    <t>min experience required (0)</t>
  </si>
  <si>
    <t>max experience required (0)</t>
  </si>
  <si>
    <t>min level required (0)</t>
  </si>
  <si>
    <t>max level required (0)</t>
  </si>
  <si>
    <t>repeatable (0)</t>
  </si>
  <si>
    <t>show progress (0)</t>
  </si>
  <si>
    <t>only one player can complete (0)</t>
  </si>
  <si>
    <t>prerequisite quest ids</t>
  </si>
  <si>
    <t>Path of the Warrior</t>
  </si>
  <si>
    <t>Hey there, if you're looking to follow the\npath of the warrior, I can make you one.\n\nWarriors rely on their HP and strength,\ntanking for the party.\n\nIf raw power and high health interests\nyou, then speak with me.</t>
  </si>
  <si>
    <t>I have transformed you into a warrior.\nI have given you some items to help you\nalong your journey. Make me proud.</t>
  </si>
  <si>
    <t>You do not meet the requirements.</t>
  </si>
  <si>
    <t>Path of the Magus</t>
  </si>
  <si>
    <t>Hey there, if you're looking to follow the\npath of the Magus, I can make you one.\n\nMagus rely on their MP and intelligence,\ndoing high damage from a range.\n\nIf high damage with safety and utility\ninterests you, then speak with me.</t>
  </si>
  <si>
    <t>I have transformed you into a Magus.\nI have given you some items to help you\nalong your journey. Make me proud.</t>
  </si>
  <si>
    <t>Path of the Rogue</t>
  </si>
  <si>
    <t>Hey there, if you're looking to follow the\npath of the Rogue, I can make you one.\n\nRogues rely on doing high damage using a\ncombination of HP and MP and critical\nstrikes.\n\nIf the path of the Rogue interests you,\nthen speak with me.</t>
  </si>
  <si>
    <t>I have transformed you into a Rogue.\nI have given you some items to help you\nalong your journey. Make me proud.</t>
  </si>
  <si>
    <t>Path of the Priest</t>
  </si>
  <si>
    <t>Hey there, if you're looking to follow the\npath of the Priest, I can make you one.\n\nPriests are vital to the survival of a\nparty. They heal and provide buffs.\n\nIf the path of the Priest interests you,\nthen speak with me.</t>
  </si>
  <si>
    <t>I have transformed you into a Priest.\nI have given you some items to help you\nalong your journey. Make me proud.</t>
  </si>
  <si>
    <t>Mouse Killer</t>
  </si>
  <si>
    <t>Hello there, adventurer. These mice are\ngetting into everything and eating our\ncrops.\n\nHelp me kill 15 of these darn mice and I\nwill reward you.</t>
  </si>
  <si>
    <t>Thank you for eliminating those pesky\nmice. Take these potions and gold.</t>
  </si>
  <si>
    <t>Sheep Wool</t>
  </si>
  <si>
    <t>Hello! These sheep are getting out of\nhand, there are too many of them and I\nneed their wool.\n\nPlease lend a hand and bring me 10 wool.\nYou will be rewarded.</t>
  </si>
  <si>
    <t>Phew! That was hard work. Thank you.\nTake this as payment.</t>
  </si>
  <si>
    <t>Jack's Jacket</t>
  </si>
  <si>
    <t>Hi there! Brrr. It's cold out here. Please\nbring me 10 rabbit pelts and 10 rabbit fur\nso that I can make a jacket.\n\nBy the way, my friend Jill is out here\nsomewhere. I don't know where she went.\nLet me know where she is so I know she's\nalright.</t>
  </si>
  <si>
    <t>Much better! Glad to know Jill is alright.\nHere, take these pants.</t>
  </si>
  <si>
    <t>Angry Rabbits</t>
  </si>
  <si>
    <t>Helppppp! These bunnies are staring at me\nlike they want to kill me. I'm scared.\nPlease kill 20 of them so I get out of\nhere.</t>
  </si>
  <si>
    <t>Thank you so much! Now I can go and see\nJack!</t>
  </si>
  <si>
    <t>Biting Asps</t>
  </si>
  <si>
    <t>I keep stepping on these damn Asps and\nget bitten by them. Wipe them out. Kill\n20 Asps and you will be rewarded.</t>
  </si>
  <si>
    <t>You squashed those Asps. Thank you.</t>
  </si>
  <si>
    <t>Screeching Bats</t>
  </si>
  <si>
    <t>Hello there! These bats are driving me\ncrazy with their constant screeching.\nKill 25 of them for me, would you?</t>
  </si>
  <si>
    <t>Muchhhh better! I can finally hear my own\nthoughts. Here take this.</t>
  </si>
  <si>
    <t>quest id</t>
  </si>
  <si>
    <t>requirement type</t>
  </si>
  <si>
    <t>value</t>
  </si>
  <si>
    <t>value2</t>
  </si>
  <si>
    <t>keep requirement? (0)</t>
  </si>
  <si>
    <t>Quest (Don't touch)</t>
  </si>
  <si>
    <t>Requirement Name (Don't touch)</t>
  </si>
  <si>
    <t>Kill</t>
  </si>
  <si>
    <t>Item</t>
  </si>
  <si>
    <t>TalkToNPC</t>
  </si>
  <si>
    <t>reward type</t>
  </si>
  <si>
    <t>long value</t>
  </si>
  <si>
    <t>long value 2</t>
  </si>
  <si>
    <t>string value</t>
  </si>
  <si>
    <t>ClassChange</t>
  </si>
  <si>
    <t>Experience</t>
  </si>
  <si>
    <t>min xp (0)</t>
  </si>
  <si>
    <t>max xp (0)</t>
  </si>
  <si>
    <t>item_usetype</t>
  </si>
  <si>
    <t>item_slot (Misc)</t>
  </si>
  <si>
    <t>chance</t>
  </si>
  <si>
    <t>script_params</t>
  </si>
  <si>
    <t>Powerful</t>
  </si>
  <si>
    <t>Scripts/Item/ItemModifierScript.csx</t>
  </si>
  <si>
    <t>[{ "type": "statMultiplier", "value": 2.0 }]</t>
  </si>
  <si>
    <t>Strong</t>
  </si>
  <si>
    <t>[{ "type": "statMultiplier", "value": 1.5 }]</t>
  </si>
  <si>
    <t>Broken</t>
  </si>
  <si>
    <t>[{ "type": "statMultiplier", "value": 0.5 }]</t>
  </si>
  <si>
    <t>Sharp</t>
  </si>
  <si>
    <t>[{ "type": "weaponDamage", "min": 5, "max": 10 }]</t>
  </si>
  <si>
    <t>of Vitality</t>
  </si>
  <si>
    <t>[{ "type": "hp", "min": 10, "max": 20 }]</t>
  </si>
  <si>
    <t>of Intelligence</t>
  </si>
  <si>
    <t>[{ "type": "int", "min": 1, "max": 10 }]</t>
  </si>
  <si>
    <t>of the Bear</t>
  </si>
  <si>
    <t>[{ "type": "str", "min": 1, "max": 10 }]</t>
  </si>
  <si>
    <t>of the Turtle</t>
  </si>
  <si>
    <t>[{ "type": "ac", "min": 1, "max": 10 }]</t>
  </si>
  <si>
    <t>of Spell Damage</t>
  </si>
  <si>
    <t>[{ "type": "spellDamage", "min": 1, "max": 10 }]</t>
  </si>
  <si>
    <t>ac_multiplier</t>
  </si>
  <si>
    <t>vita_cost</t>
  </si>
  <si>
    <t>mana_cost</t>
  </si>
  <si>
    <t>Commoner</t>
  </si>
  <si>
    <t>Rogue</t>
  </si>
  <si>
    <t>Warrior</t>
  </si>
  <si>
    <t>Magus</t>
  </si>
  <si>
    <t>Priest</t>
  </si>
  <si>
    <t>Game Master</t>
  </si>
  <si>
    <t>class_id</t>
  </si>
  <si>
    <t>level</t>
  </si>
  <si>
    <t>level_up_exp</t>
  </si>
  <si>
    <t>hp</t>
  </si>
  <si>
    <t>mp</t>
  </si>
  <si>
    <t>sp</t>
  </si>
  <si>
    <t>ac</t>
  </si>
  <si>
    <t>str</t>
  </si>
  <si>
    <t>sta</t>
  </si>
  <si>
    <t>dex</t>
  </si>
  <si>
    <t>int</t>
  </si>
  <si>
    <t>fr</t>
  </si>
  <si>
    <t>wr</t>
  </si>
  <si>
    <t>sr</t>
  </si>
  <si>
    <t>ar</t>
  </si>
  <si>
    <t>er</t>
  </si>
  <si>
    <t>Class Name</t>
  </si>
  <si>
    <t>Spell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</si>
</sst>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2.0"/>
    <col customWidth="1" min="5" max="76" width="8.71"/>
  </cols>
  <sheetData>
    <row r="1">
      <c r="A1" s="1" t="s">
        <v>1</v>
      </c>
      <c r="B1" s="1" t="s">
        <v>4</v>
      </c>
      <c r="C1" s="1" t="s">
        <v>8</v>
      </c>
      <c r="D1" s="1" t="s">
        <v>10</v>
      </c>
      <c r="E1" s="1" t="s">
        <v>13</v>
      </c>
      <c r="F1" s="1" t="s">
        <v>19</v>
      </c>
      <c r="G1" s="1" t="s">
        <v>23</v>
      </c>
      <c r="H1" s="1" t="s">
        <v>27</v>
      </c>
      <c r="I1" s="1" t="s">
        <v>31</v>
      </c>
      <c r="J1" s="1" t="s">
        <v>38</v>
      </c>
      <c r="K1" s="1" t="s">
        <v>42</v>
      </c>
      <c r="L1" s="1" t="s">
        <v>48</v>
      </c>
      <c r="M1" s="1" t="s">
        <v>52</v>
      </c>
      <c r="N1" s="1" t="s">
        <v>55</v>
      </c>
      <c r="O1" s="1" t="s">
        <v>61</v>
      </c>
      <c r="P1" s="1" t="s">
        <v>63</v>
      </c>
      <c r="Q1" s="1" t="s">
        <v>65</v>
      </c>
      <c r="R1" s="1" t="s">
        <v>68</v>
      </c>
      <c r="S1" s="1" t="s">
        <v>70</v>
      </c>
      <c r="T1" s="1" t="s">
        <v>16</v>
      </c>
      <c r="U1" s="1" t="s">
        <v>21</v>
      </c>
      <c r="V1" s="1" t="s">
        <v>26</v>
      </c>
      <c r="W1" s="1" t="s">
        <v>30</v>
      </c>
      <c r="X1" s="1" t="s">
        <v>34</v>
      </c>
      <c r="Y1" s="1" t="s">
        <v>37</v>
      </c>
      <c r="Z1" s="1" t="s">
        <v>41</v>
      </c>
      <c r="AA1" s="1" t="s">
        <v>45</v>
      </c>
      <c r="AB1" s="1" t="s">
        <v>51</v>
      </c>
      <c r="AC1" s="1" t="s">
        <v>54</v>
      </c>
      <c r="AD1" s="1" t="s">
        <v>57</v>
      </c>
      <c r="AE1" s="1" t="s">
        <v>60</v>
      </c>
      <c r="AF1" s="1" t="s">
        <v>62</v>
      </c>
      <c r="AG1" s="1" t="s">
        <v>97</v>
      </c>
      <c r="AH1" s="1" t="s">
        <v>101</v>
      </c>
      <c r="AI1" s="1" t="s">
        <v>103</v>
      </c>
      <c r="AJ1" s="1" t="s">
        <v>105</v>
      </c>
      <c r="AK1" s="1" t="s">
        <v>106</v>
      </c>
      <c r="AL1" s="1" t="s">
        <v>110</v>
      </c>
      <c r="AM1" s="1" t="s">
        <v>113</v>
      </c>
      <c r="AN1" s="1" t="s">
        <v>116</v>
      </c>
      <c r="AO1" s="1" t="s">
        <v>119</v>
      </c>
      <c r="AP1" s="1" t="s">
        <v>123</v>
      </c>
      <c r="AQ1" s="1" t="s">
        <v>126</v>
      </c>
      <c r="AR1" s="1" t="s">
        <v>128</v>
      </c>
      <c r="AS1" s="1" t="s">
        <v>129</v>
      </c>
      <c r="AT1" s="1" t="s">
        <v>130</v>
      </c>
      <c r="AU1" s="1" t="s">
        <v>132</v>
      </c>
      <c r="AV1" s="1" t="s">
        <v>134</v>
      </c>
      <c r="AW1" s="1" t="s">
        <v>89</v>
      </c>
      <c r="AX1" s="1" t="s">
        <v>91</v>
      </c>
      <c r="AY1" s="1" t="s">
        <v>92</v>
      </c>
      <c r="AZ1" s="1" t="s">
        <v>93</v>
      </c>
      <c r="BA1" s="1" t="s">
        <v>78</v>
      </c>
      <c r="BB1" s="1" t="s">
        <v>79</v>
      </c>
      <c r="BC1" s="1" t="s">
        <v>81</v>
      </c>
      <c r="BD1" s="1" t="s">
        <v>83</v>
      </c>
      <c r="BE1" s="1" t="s">
        <v>142</v>
      </c>
      <c r="BF1" s="1" t="s">
        <v>143</v>
      </c>
      <c r="BG1" s="1" t="s">
        <v>144</v>
      </c>
      <c r="BH1" s="1" t="s">
        <v>145</v>
      </c>
      <c r="BI1" s="1" t="s">
        <v>146</v>
      </c>
      <c r="BJ1" s="1" t="s">
        <v>147</v>
      </c>
      <c r="BK1" s="1" t="s">
        <v>151</v>
      </c>
      <c r="BL1" s="1" t="s">
        <v>152</v>
      </c>
      <c r="BM1" s="1" t="s">
        <v>154</v>
      </c>
      <c r="BN1" s="1" t="s">
        <v>157</v>
      </c>
      <c r="BO1" s="1" t="s">
        <v>158</v>
      </c>
      <c r="BP1" s="1" t="s">
        <v>159</v>
      </c>
      <c r="BQ1" s="1" t="s">
        <v>160</v>
      </c>
      <c r="BR1" s="1" t="s">
        <v>161</v>
      </c>
      <c r="BS1" s="1" t="s">
        <v>162</v>
      </c>
      <c r="BT1" s="1" t="s">
        <v>165</v>
      </c>
      <c r="BU1" s="1" t="s">
        <v>167</v>
      </c>
      <c r="BV1" s="1" t="s">
        <v>169</v>
      </c>
      <c r="BW1" s="1" t="s">
        <v>127</v>
      </c>
      <c r="BX1" s="1" t="s">
        <v>125</v>
      </c>
    </row>
    <row r="2">
      <c r="A2" s="1">
        <v>1.0</v>
      </c>
      <c r="B2" s="1" t="s">
        <v>166</v>
      </c>
      <c r="H2" s="1" t="s">
        <v>171</v>
      </c>
      <c r="K2" s="1">
        <v>0.0</v>
      </c>
      <c r="Q2" s="1">
        <v>25.0</v>
      </c>
      <c r="BJ2" s="1">
        <v>1.0</v>
      </c>
    </row>
    <row r="3">
      <c r="A3" s="1">
        <v>2.0</v>
      </c>
      <c r="B3" s="1" t="s">
        <v>170</v>
      </c>
      <c r="H3" s="1" t="s">
        <v>171</v>
      </c>
      <c r="K3" s="1">
        <v>0.0</v>
      </c>
      <c r="R3" s="1">
        <v>25.0</v>
      </c>
      <c r="BJ3" s="1">
        <v>1.0</v>
      </c>
    </row>
    <row r="4">
      <c r="A4" s="1">
        <v>3.0</v>
      </c>
      <c r="B4" s="1" t="s">
        <v>58</v>
      </c>
      <c r="C4" s="1">
        <v>815015.0</v>
      </c>
      <c r="H4" s="1" t="s">
        <v>180</v>
      </c>
      <c r="K4" s="1">
        <v>0.0</v>
      </c>
      <c r="O4" s="1">
        <v>1.0</v>
      </c>
      <c r="Q4" s="1">
        <v>25.0</v>
      </c>
      <c r="BJ4" s="1">
        <v>1.0</v>
      </c>
    </row>
    <row r="5">
      <c r="A5" s="1">
        <v>4.0</v>
      </c>
      <c r="B5" s="1" t="s">
        <v>109</v>
      </c>
      <c r="C5" s="1">
        <v>815016.0</v>
      </c>
      <c r="H5" s="1" t="s">
        <v>180</v>
      </c>
      <c r="K5" s="1">
        <v>1.0</v>
      </c>
      <c r="L5" s="1">
        <v>600.0</v>
      </c>
      <c r="T5" s="1">
        <v>50.0</v>
      </c>
      <c r="W5" s="1">
        <v>20.0</v>
      </c>
      <c r="BJ5" s="1">
        <v>1.0</v>
      </c>
      <c r="BL5" s="1">
        <v>810018.0</v>
      </c>
      <c r="BM5" s="1">
        <v>20107.0</v>
      </c>
      <c r="BN5" s="1" t="s">
        <v>187</v>
      </c>
    </row>
    <row r="6">
      <c r="A6" s="1">
        <v>5.0</v>
      </c>
      <c r="B6" s="1" t="s">
        <v>136</v>
      </c>
      <c r="C6" s="1">
        <v>815010.0</v>
      </c>
      <c r="F6" s="1" t="s">
        <v>191</v>
      </c>
      <c r="G6" s="1">
        <v>1.0</v>
      </c>
      <c r="H6" s="1" t="s">
        <v>193</v>
      </c>
      <c r="K6" s="1">
        <v>0.0</v>
      </c>
      <c r="M6" s="1">
        <v>1.0</v>
      </c>
      <c r="O6" s="1">
        <v>1.0</v>
      </c>
      <c r="Q6" s="1" t="s">
        <v>195</v>
      </c>
    </row>
    <row r="7">
      <c r="A7" s="1">
        <v>6.0</v>
      </c>
      <c r="B7" s="1" t="s">
        <v>156</v>
      </c>
      <c r="C7" s="1">
        <v>815014.0</v>
      </c>
      <c r="H7" s="1" t="s">
        <v>198</v>
      </c>
      <c r="K7" s="1">
        <v>0.0</v>
      </c>
      <c r="Q7" s="1">
        <v>-1.0</v>
      </c>
      <c r="BH7" s="1">
        <v>1000.0</v>
      </c>
    </row>
    <row r="8">
      <c r="A8" s="1">
        <v>7.0</v>
      </c>
      <c r="B8" s="1" t="s">
        <v>172</v>
      </c>
      <c r="C8" s="1">
        <v>815000.0</v>
      </c>
      <c r="H8" s="1" t="s">
        <v>193</v>
      </c>
      <c r="K8" s="1">
        <v>0.0</v>
      </c>
      <c r="O8" s="1">
        <v>1.0</v>
      </c>
      <c r="Q8" s="1">
        <v>-10.0</v>
      </c>
    </row>
    <row r="9">
      <c r="A9" s="1">
        <v>8.0</v>
      </c>
      <c r="B9" s="1" t="s">
        <v>176</v>
      </c>
      <c r="C9" s="1">
        <v>815003.0</v>
      </c>
      <c r="H9" s="1" t="s">
        <v>193</v>
      </c>
      <c r="K9" s="1">
        <v>0.0</v>
      </c>
      <c r="O9" s="1">
        <v>1.0</v>
      </c>
      <c r="Q9" s="1">
        <v>-20.0</v>
      </c>
    </row>
    <row r="10">
      <c r="A10" s="1">
        <v>9.0</v>
      </c>
      <c r="B10" s="1" t="s">
        <v>184</v>
      </c>
      <c r="C10" s="1">
        <v>815016.0</v>
      </c>
      <c r="H10" s="1" t="s">
        <v>180</v>
      </c>
      <c r="K10" s="1">
        <v>1.0</v>
      </c>
      <c r="L10" s="1">
        <v>600.0</v>
      </c>
      <c r="W10" s="1">
        <v>10.0</v>
      </c>
      <c r="BJ10" s="1">
        <v>1.0</v>
      </c>
      <c r="BL10" s="1">
        <v>810018.0</v>
      </c>
      <c r="BM10" s="1">
        <v>20107.0</v>
      </c>
      <c r="BN10" s="1" t="s">
        <v>215</v>
      </c>
    </row>
    <row r="11">
      <c r="A11" s="1">
        <v>10.0</v>
      </c>
      <c r="B11" s="1" t="s">
        <v>194</v>
      </c>
      <c r="C11" s="1">
        <v>815001.0</v>
      </c>
      <c r="H11" s="1" t="s">
        <v>193</v>
      </c>
      <c r="K11" s="1">
        <v>0.0</v>
      </c>
      <c r="O11" s="1">
        <v>1.0</v>
      </c>
      <c r="Q11" s="1">
        <v>-40.0</v>
      </c>
    </row>
    <row r="12">
      <c r="A12" s="1">
        <v>11.0</v>
      </c>
      <c r="B12" s="1" t="s">
        <v>199</v>
      </c>
      <c r="C12" s="1">
        <v>815023.0</v>
      </c>
      <c r="H12" s="1" t="s">
        <v>180</v>
      </c>
      <c r="K12" s="1">
        <v>14.0</v>
      </c>
      <c r="L12" s="1">
        <v>600.0</v>
      </c>
      <c r="BJ12" s="1">
        <v>1.0</v>
      </c>
      <c r="BL12" s="1">
        <v>810004.0</v>
      </c>
      <c r="BM12" s="1">
        <v>20107.0</v>
      </c>
      <c r="BN12" s="1" t="s">
        <v>220</v>
      </c>
      <c r="BQ12" s="1">
        <v>63.0</v>
      </c>
    </row>
    <row r="13">
      <c r="A13" s="1">
        <v>12.0</v>
      </c>
      <c r="B13" s="1" t="s">
        <v>207</v>
      </c>
      <c r="C13" s="1">
        <v>815012.0</v>
      </c>
      <c r="H13" s="1" t="s">
        <v>180</v>
      </c>
      <c r="K13" s="1">
        <v>5.0</v>
      </c>
      <c r="BJ13" s="1">
        <v>1.0</v>
      </c>
    </row>
    <row r="14">
      <c r="A14" s="1">
        <v>13.0</v>
      </c>
      <c r="B14" s="1" t="s">
        <v>212</v>
      </c>
      <c r="C14" s="1">
        <v>815038.0</v>
      </c>
      <c r="H14" s="1" t="s">
        <v>198</v>
      </c>
      <c r="K14" s="1">
        <v>8.0</v>
      </c>
      <c r="L14" s="1">
        <v>25.0</v>
      </c>
      <c r="BK14" s="1">
        <v>0.0</v>
      </c>
      <c r="BL14" s="1">
        <v>810024.0</v>
      </c>
      <c r="BM14" s="1">
        <v>20107.0</v>
      </c>
    </row>
    <row r="15">
      <c r="A15" s="1">
        <v>14.0</v>
      </c>
      <c r="B15" s="1" t="s">
        <v>217</v>
      </c>
      <c r="C15" s="1">
        <v>815002.0</v>
      </c>
      <c r="H15" s="1" t="s">
        <v>193</v>
      </c>
      <c r="K15" s="1">
        <v>0.0</v>
      </c>
      <c r="O15" s="1">
        <v>1.0</v>
      </c>
      <c r="Q15" s="1">
        <v>-60.0</v>
      </c>
    </row>
    <row r="16">
      <c r="A16" s="1">
        <v>15.0</v>
      </c>
      <c r="B16" s="1" t="s">
        <v>221</v>
      </c>
      <c r="C16" s="1">
        <v>815034.0</v>
      </c>
      <c r="H16" s="1" t="s">
        <v>198</v>
      </c>
      <c r="K16" s="1">
        <v>9.0</v>
      </c>
      <c r="L16" s="1">
        <v>30.0</v>
      </c>
      <c r="BK16" s="1">
        <v>0.0</v>
      </c>
      <c r="BU16" s="1">
        <v>80.0</v>
      </c>
    </row>
    <row r="17">
      <c r="A17" s="1">
        <v>16.0</v>
      </c>
      <c r="B17" s="1" t="s">
        <v>224</v>
      </c>
      <c r="C17" s="1">
        <v>815000.0</v>
      </c>
      <c r="E17" s="1" t="s">
        <v>231</v>
      </c>
      <c r="F17" s="1" t="s">
        <v>232</v>
      </c>
      <c r="G17" s="1">
        <v>4.0</v>
      </c>
      <c r="H17" s="1" t="s">
        <v>193</v>
      </c>
      <c r="K17" s="1">
        <v>0.0</v>
      </c>
      <c r="O17" s="1">
        <v>1.0</v>
      </c>
      <c r="Q17" s="1">
        <v>-80.0</v>
      </c>
      <c r="BP17" s="1">
        <v>33.0</v>
      </c>
    </row>
    <row r="18">
      <c r="A18" s="1">
        <v>17.0</v>
      </c>
      <c r="B18" s="1" t="s">
        <v>229</v>
      </c>
      <c r="C18" s="1">
        <v>815012.0</v>
      </c>
      <c r="H18" s="1" t="s">
        <v>171</v>
      </c>
      <c r="K18" s="1">
        <v>5.0</v>
      </c>
      <c r="BE18" s="1">
        <v>0.0</v>
      </c>
    </row>
    <row r="19">
      <c r="A19" s="1">
        <v>18.0</v>
      </c>
      <c r="B19" s="1" t="s">
        <v>235</v>
      </c>
      <c r="C19" s="1">
        <v>815013.0</v>
      </c>
      <c r="H19" s="1" t="s">
        <v>180</v>
      </c>
      <c r="K19" s="1">
        <v>1.0</v>
      </c>
      <c r="L19" s="1">
        <v>180.0</v>
      </c>
      <c r="AG19" s="1">
        <v>0.02</v>
      </c>
      <c r="BJ19" s="1">
        <v>1.0</v>
      </c>
      <c r="BL19" s="1">
        <v>810008.0</v>
      </c>
      <c r="BM19" s="1">
        <v>20107.0</v>
      </c>
      <c r="BN19" s="1" t="s">
        <v>242</v>
      </c>
    </row>
    <row r="20">
      <c r="A20" s="1">
        <v>19.0</v>
      </c>
      <c r="B20" s="1" t="s">
        <v>240</v>
      </c>
      <c r="C20" s="1">
        <v>815014.0</v>
      </c>
      <c r="H20" s="1" t="s">
        <v>171</v>
      </c>
      <c r="K20" s="1">
        <v>6.0</v>
      </c>
    </row>
    <row r="21" ht="15.75" customHeight="1">
      <c r="A21" s="1">
        <v>20.0</v>
      </c>
      <c r="B21" s="1" t="s">
        <v>248</v>
      </c>
      <c r="C21" s="1">
        <v>815003.0</v>
      </c>
      <c r="E21" s="1" t="s">
        <v>231</v>
      </c>
      <c r="F21" s="1" t="s">
        <v>249</v>
      </c>
      <c r="G21" s="1">
        <v>1.0</v>
      </c>
      <c r="H21" s="1" t="s">
        <v>193</v>
      </c>
      <c r="K21" s="1">
        <v>0.0</v>
      </c>
      <c r="O21" s="1">
        <v>1.0</v>
      </c>
      <c r="Q21" s="1">
        <v>-100.0</v>
      </c>
    </row>
    <row r="22" ht="15.75" customHeight="1">
      <c r="A22" s="1">
        <v>21.0</v>
      </c>
      <c r="B22" s="1" t="s">
        <v>251</v>
      </c>
      <c r="C22" s="1">
        <v>815048.0</v>
      </c>
      <c r="H22" s="1" t="s">
        <v>171</v>
      </c>
      <c r="K22" s="1">
        <v>13.0</v>
      </c>
      <c r="L22" s="1">
        <v>60.0</v>
      </c>
      <c r="BL22" s="1">
        <v>810033.0</v>
      </c>
      <c r="BM22" s="1">
        <v>20107.0</v>
      </c>
      <c r="BN22" s="1" t="s">
        <v>254</v>
      </c>
      <c r="BS22" s="1">
        <v>60.0</v>
      </c>
    </row>
    <row r="23" ht="15.75" customHeight="1">
      <c r="A23" s="1">
        <v>22.0</v>
      </c>
      <c r="B23" s="1" t="s">
        <v>256</v>
      </c>
      <c r="C23" s="1">
        <v>815014.0</v>
      </c>
      <c r="H23" s="1" t="s">
        <v>171</v>
      </c>
      <c r="K23" s="1">
        <v>12.0</v>
      </c>
      <c r="L23" s="1">
        <v>300.0</v>
      </c>
      <c r="BL23" s="1">
        <v>810007.0</v>
      </c>
      <c r="BM23" s="1">
        <v>20107.0</v>
      </c>
    </row>
    <row r="24" ht="15.75" customHeight="1">
      <c r="A24" s="1">
        <v>23.0</v>
      </c>
      <c r="B24" s="1" t="s">
        <v>259</v>
      </c>
      <c r="C24" s="1">
        <v>815014.0</v>
      </c>
      <c r="E24" s="1" t="s">
        <v>231</v>
      </c>
      <c r="F24" s="1" t="s">
        <v>260</v>
      </c>
      <c r="G24" s="1">
        <v>4.0</v>
      </c>
      <c r="H24" s="1" t="s">
        <v>198</v>
      </c>
      <c r="K24" s="1">
        <v>0.0</v>
      </c>
      <c r="O24" s="1">
        <v>1.0</v>
      </c>
      <c r="Q24" s="1">
        <v>-10.0</v>
      </c>
      <c r="BH24" s="1">
        <v>3000.0</v>
      </c>
    </row>
    <row r="25" ht="15.75" customHeight="1">
      <c r="A25" s="1">
        <v>24.0</v>
      </c>
      <c r="B25" s="1" t="s">
        <v>263</v>
      </c>
      <c r="C25" s="1">
        <v>815001.0</v>
      </c>
      <c r="E25" s="1" t="s">
        <v>231</v>
      </c>
      <c r="F25" s="1" t="s">
        <v>249</v>
      </c>
      <c r="G25" s="1">
        <v>1.0</v>
      </c>
      <c r="H25" s="1" t="s">
        <v>198</v>
      </c>
      <c r="K25" s="1">
        <v>7.0</v>
      </c>
      <c r="L25" s="1">
        <v>10.0</v>
      </c>
      <c r="O25" s="1">
        <v>1.0</v>
      </c>
      <c r="Q25" s="1">
        <v>-30.0</v>
      </c>
      <c r="BK25" s="1">
        <v>0.0</v>
      </c>
      <c r="BL25" s="1">
        <v>810011.0</v>
      </c>
      <c r="BM25" s="1">
        <v>20107.0</v>
      </c>
    </row>
    <row r="26" ht="15.75" customHeight="1">
      <c r="A26" s="1">
        <v>25.0</v>
      </c>
      <c r="B26" s="1" t="s">
        <v>268</v>
      </c>
      <c r="C26" s="1">
        <v>815024.0</v>
      </c>
      <c r="H26" s="1" t="s">
        <v>171</v>
      </c>
      <c r="K26" s="1">
        <v>4.0</v>
      </c>
      <c r="L26" s="1">
        <v>45.0</v>
      </c>
      <c r="X26" s="1">
        <v>50.0</v>
      </c>
      <c r="AK26" s="1">
        <v>0.1</v>
      </c>
      <c r="BL26" s="1">
        <v>810000.0</v>
      </c>
      <c r="BM26" s="1">
        <v>20107.0</v>
      </c>
      <c r="BN26" s="1" t="s">
        <v>270</v>
      </c>
    </row>
    <row r="27" ht="15.75" customHeight="1">
      <c r="A27" s="1">
        <v>26.0</v>
      </c>
      <c r="B27" s="1" t="s">
        <v>271</v>
      </c>
      <c r="C27" s="1">
        <v>815041.0</v>
      </c>
      <c r="H27" s="1" t="s">
        <v>171</v>
      </c>
      <c r="K27" s="1">
        <v>13.0</v>
      </c>
      <c r="L27" s="1">
        <v>60.0</v>
      </c>
      <c r="BL27" s="1">
        <v>810014.0</v>
      </c>
      <c r="BM27" s="1">
        <v>20107.0</v>
      </c>
      <c r="BN27" s="1" t="s">
        <v>274</v>
      </c>
      <c r="BS27" s="1">
        <v>61.0</v>
      </c>
    </row>
    <row r="28" ht="15.75" customHeight="1">
      <c r="A28" s="1">
        <v>27.0</v>
      </c>
      <c r="B28" s="1" t="s">
        <v>276</v>
      </c>
      <c r="C28" s="1">
        <v>815010.0</v>
      </c>
      <c r="F28" s="1" t="s">
        <v>191</v>
      </c>
      <c r="G28" s="1">
        <v>1.0</v>
      </c>
      <c r="H28" s="1" t="s">
        <v>193</v>
      </c>
      <c r="K28" s="1">
        <v>0.0</v>
      </c>
      <c r="M28" s="1">
        <v>1.0</v>
      </c>
      <c r="O28" s="1">
        <v>1.0</v>
      </c>
      <c r="Q28" s="1" t="s">
        <v>279</v>
      </c>
    </row>
    <row r="29" ht="15.75" customHeight="1">
      <c r="A29" s="1">
        <v>28.0</v>
      </c>
      <c r="B29" s="1" t="s">
        <v>281</v>
      </c>
      <c r="C29" s="1">
        <v>815021.0</v>
      </c>
      <c r="H29" s="1" t="s">
        <v>171</v>
      </c>
      <c r="K29" s="1">
        <v>1.0</v>
      </c>
      <c r="L29" s="1">
        <v>60.0</v>
      </c>
      <c r="Z29" s="1">
        <v>50.0</v>
      </c>
      <c r="AK29" s="1">
        <v>0.1</v>
      </c>
      <c r="BL29" s="1">
        <v>810021.0</v>
      </c>
      <c r="BM29" s="1">
        <v>20107.0</v>
      </c>
      <c r="BN29" s="1" t="s">
        <v>285</v>
      </c>
    </row>
    <row r="30" ht="15.75" customHeight="1">
      <c r="A30" s="1">
        <v>29.0</v>
      </c>
      <c r="B30" s="1" t="s">
        <v>286</v>
      </c>
      <c r="C30" s="1">
        <v>815010.0</v>
      </c>
      <c r="F30" s="1" t="s">
        <v>191</v>
      </c>
      <c r="G30" s="1">
        <v>1.0</v>
      </c>
      <c r="H30" s="1" t="s">
        <v>193</v>
      </c>
      <c r="K30" s="1">
        <v>0.0</v>
      </c>
      <c r="M30" s="1">
        <v>1.0</v>
      </c>
      <c r="O30" s="1">
        <v>1.0</v>
      </c>
      <c r="Q30" s="1" t="s">
        <v>289</v>
      </c>
    </row>
    <row r="31" ht="15.75" customHeight="1">
      <c r="A31" s="1">
        <v>30.0</v>
      </c>
      <c r="B31" s="1" t="s">
        <v>290</v>
      </c>
      <c r="C31" s="1">
        <v>815014.0</v>
      </c>
      <c r="H31" s="1" t="s">
        <v>180</v>
      </c>
      <c r="K31" s="1">
        <v>1.0</v>
      </c>
      <c r="L31" s="1">
        <v>300.0</v>
      </c>
      <c r="AR31" s="1">
        <v>114.0</v>
      </c>
      <c r="BJ31" s="1">
        <v>1.0</v>
      </c>
      <c r="BL31" s="1">
        <v>810007.0</v>
      </c>
      <c r="BM31" s="1">
        <v>20107.0</v>
      </c>
    </row>
    <row r="32" ht="15.75" customHeight="1">
      <c r="A32" s="1">
        <v>31.0</v>
      </c>
      <c r="B32" s="1" t="s">
        <v>293</v>
      </c>
      <c r="H32" s="1" t="s">
        <v>171</v>
      </c>
      <c r="K32" s="1">
        <v>0.0</v>
      </c>
      <c r="Q32" s="1">
        <v>50.0</v>
      </c>
      <c r="BJ32" s="1">
        <v>1.0</v>
      </c>
    </row>
    <row r="33" ht="15.75" customHeight="1">
      <c r="A33" s="1">
        <v>32.0</v>
      </c>
      <c r="B33" s="1" t="s">
        <v>296</v>
      </c>
      <c r="H33" s="1" t="s">
        <v>171</v>
      </c>
      <c r="K33" s="1">
        <v>0.0</v>
      </c>
      <c r="R33" s="1">
        <v>50.0</v>
      </c>
      <c r="BJ33" s="1">
        <v>1.0</v>
      </c>
    </row>
    <row r="34" ht="15.75" customHeight="1">
      <c r="A34" s="1">
        <v>33.0</v>
      </c>
      <c r="B34" s="1" t="s">
        <v>298</v>
      </c>
      <c r="H34" s="1" t="s">
        <v>171</v>
      </c>
      <c r="K34" s="1">
        <v>0.0</v>
      </c>
      <c r="Q34" s="1">
        <v>150.0</v>
      </c>
      <c r="BJ34" s="1">
        <v>1.0</v>
      </c>
    </row>
    <row r="35" ht="15.75" customHeight="1">
      <c r="A35" s="1">
        <v>34.0</v>
      </c>
      <c r="B35" s="1" t="s">
        <v>300</v>
      </c>
      <c r="H35" s="1" t="s">
        <v>171</v>
      </c>
      <c r="K35" s="1">
        <v>0.0</v>
      </c>
      <c r="R35" s="1">
        <v>150.0</v>
      </c>
      <c r="BJ35" s="1">
        <v>1.0</v>
      </c>
    </row>
    <row r="36" ht="15.75" customHeight="1">
      <c r="A36" s="1">
        <v>35.0</v>
      </c>
      <c r="B36" s="1" t="s">
        <v>301</v>
      </c>
      <c r="C36" s="1">
        <v>815015.0</v>
      </c>
      <c r="H36" s="1" t="s">
        <v>180</v>
      </c>
      <c r="K36" s="1">
        <v>0.0</v>
      </c>
      <c r="O36" s="1">
        <v>1.0</v>
      </c>
      <c r="Q36" s="1">
        <v>50.0</v>
      </c>
      <c r="BJ36" s="1">
        <v>1.0</v>
      </c>
    </row>
    <row r="37" ht="15.75" customHeight="1">
      <c r="A37" s="1">
        <v>36.0</v>
      </c>
      <c r="B37" s="1" t="s">
        <v>302</v>
      </c>
      <c r="C37" s="1">
        <v>815015.0</v>
      </c>
      <c r="H37" s="1" t="s">
        <v>180</v>
      </c>
      <c r="K37" s="1">
        <v>0.0</v>
      </c>
      <c r="O37" s="1">
        <v>1.0</v>
      </c>
      <c r="Q37" s="1">
        <v>125.0</v>
      </c>
      <c r="BJ37" s="1">
        <v>1.0</v>
      </c>
    </row>
    <row r="38" ht="15.75" customHeight="1">
      <c r="A38" s="1">
        <v>37.0</v>
      </c>
      <c r="B38" s="1" t="s">
        <v>304</v>
      </c>
      <c r="C38" s="1">
        <v>815015.0</v>
      </c>
      <c r="H38" s="1" t="s">
        <v>180</v>
      </c>
      <c r="K38" s="1">
        <v>0.0</v>
      </c>
      <c r="O38" s="1">
        <v>1.0</v>
      </c>
      <c r="Q38" s="1">
        <v>350.0</v>
      </c>
      <c r="BJ38" s="1">
        <v>1.0</v>
      </c>
    </row>
    <row r="39" ht="15.75" customHeight="1">
      <c r="A39" s="1">
        <v>38.0</v>
      </c>
      <c r="B39" s="1" t="s">
        <v>306</v>
      </c>
      <c r="C39" s="1">
        <v>815015.0</v>
      </c>
      <c r="H39" s="1" t="s">
        <v>180</v>
      </c>
      <c r="K39" s="1">
        <v>0.0</v>
      </c>
      <c r="O39" s="1">
        <v>1.0</v>
      </c>
      <c r="Q39" s="1">
        <v>1000.0</v>
      </c>
      <c r="BJ39" s="1">
        <v>1.0</v>
      </c>
    </row>
    <row r="40" ht="15.75" customHeight="1">
      <c r="A40" s="1">
        <v>39.0</v>
      </c>
      <c r="B40" s="1" t="s">
        <v>310</v>
      </c>
      <c r="C40" s="1">
        <v>815016.0</v>
      </c>
      <c r="H40" s="1" t="s">
        <v>180</v>
      </c>
      <c r="I40" s="1">
        <v>5.0</v>
      </c>
      <c r="K40" s="1">
        <v>1.0</v>
      </c>
      <c r="L40" s="1">
        <v>600.0</v>
      </c>
      <c r="T40" s="1">
        <v>100.0</v>
      </c>
      <c r="W40" s="1">
        <v>35.0</v>
      </c>
      <c r="BJ40" s="1">
        <v>1.0</v>
      </c>
      <c r="BL40" s="1">
        <v>810018.0</v>
      </c>
      <c r="BM40" s="1">
        <v>20107.0</v>
      </c>
      <c r="BN40" s="1" t="s">
        <v>313</v>
      </c>
      <c r="BO40" s="1" t="s">
        <v>314</v>
      </c>
    </row>
    <row r="41" ht="15.75" customHeight="1">
      <c r="A41" s="1">
        <v>40.0</v>
      </c>
      <c r="B41" s="1" t="s">
        <v>317</v>
      </c>
      <c r="C41" s="1">
        <v>815016.0</v>
      </c>
      <c r="H41" s="1" t="s">
        <v>180</v>
      </c>
      <c r="I41" s="1">
        <v>15.0</v>
      </c>
      <c r="K41" s="1">
        <v>1.0</v>
      </c>
      <c r="L41" s="1">
        <v>600.0</v>
      </c>
      <c r="T41" s="1">
        <v>200.0</v>
      </c>
      <c r="W41" s="1">
        <v>50.0</v>
      </c>
      <c r="BJ41" s="1">
        <v>1.0</v>
      </c>
      <c r="BL41" s="1">
        <v>810018.0</v>
      </c>
      <c r="BM41" s="1">
        <v>20107.0</v>
      </c>
      <c r="BN41" s="1" t="s">
        <v>320</v>
      </c>
      <c r="BO41" s="1" t="s">
        <v>321</v>
      </c>
    </row>
    <row r="42" ht="15.75" customHeight="1">
      <c r="A42" s="1">
        <v>41.0</v>
      </c>
      <c r="B42" s="1" t="s">
        <v>323</v>
      </c>
      <c r="C42" s="1">
        <v>815016.0</v>
      </c>
      <c r="H42" s="1" t="s">
        <v>180</v>
      </c>
      <c r="I42" s="1">
        <v>25.0</v>
      </c>
      <c r="K42" s="1">
        <v>1.0</v>
      </c>
      <c r="L42" s="1">
        <v>600.0</v>
      </c>
      <c r="T42" s="1">
        <v>400.0</v>
      </c>
      <c r="W42" s="1">
        <v>75.0</v>
      </c>
      <c r="BJ42" s="1">
        <v>1.0</v>
      </c>
      <c r="BL42" s="1">
        <v>810018.0</v>
      </c>
      <c r="BM42" s="1">
        <v>20107.0</v>
      </c>
      <c r="BN42" s="1" t="s">
        <v>327</v>
      </c>
      <c r="BO42" s="1" t="s">
        <v>328</v>
      </c>
    </row>
    <row r="43" ht="15.75" customHeight="1">
      <c r="A43" s="1">
        <v>42.0</v>
      </c>
      <c r="B43" s="1" t="s">
        <v>329</v>
      </c>
      <c r="C43" s="1">
        <v>815016.0</v>
      </c>
      <c r="H43" s="1" t="s">
        <v>180</v>
      </c>
      <c r="I43" s="1">
        <v>35.0</v>
      </c>
      <c r="K43" s="1">
        <v>1.0</v>
      </c>
      <c r="L43" s="1">
        <v>600.0</v>
      </c>
      <c r="T43" s="1">
        <v>1000.0</v>
      </c>
      <c r="W43" s="1">
        <v>100.0</v>
      </c>
      <c r="BJ43" s="1">
        <v>1.0</v>
      </c>
      <c r="BL43" s="1">
        <v>810018.0</v>
      </c>
      <c r="BM43" s="1">
        <v>20107.0</v>
      </c>
      <c r="BO43" s="1" t="s">
        <v>332</v>
      </c>
    </row>
    <row r="44" ht="15.75" customHeight="1">
      <c r="A44" s="1">
        <v>43.0</v>
      </c>
      <c r="B44" s="1" t="s">
        <v>334</v>
      </c>
      <c r="C44" s="1">
        <v>815013.0</v>
      </c>
      <c r="H44" s="1" t="s">
        <v>180</v>
      </c>
      <c r="K44" s="1">
        <v>1.0</v>
      </c>
      <c r="L44" s="1">
        <v>600.0</v>
      </c>
      <c r="X44" s="1">
        <v>10.0</v>
      </c>
      <c r="BJ44" s="1">
        <v>1.0</v>
      </c>
      <c r="BL44" s="1">
        <v>810020.0</v>
      </c>
      <c r="BM44" s="1">
        <v>20107.0</v>
      </c>
      <c r="BN44" s="1" t="s">
        <v>337</v>
      </c>
    </row>
    <row r="45" ht="15.75" customHeight="1">
      <c r="A45" s="1">
        <v>44.0</v>
      </c>
      <c r="B45" s="1" t="s">
        <v>338</v>
      </c>
      <c r="C45" s="1">
        <v>815013.0</v>
      </c>
      <c r="H45" s="1" t="s">
        <v>180</v>
      </c>
      <c r="I45" s="1">
        <v>10.0</v>
      </c>
      <c r="K45" s="1">
        <v>1.0</v>
      </c>
      <c r="L45" s="1">
        <v>600.0</v>
      </c>
      <c r="X45" s="1">
        <v>20.0</v>
      </c>
      <c r="BJ45" s="1">
        <v>1.0</v>
      </c>
      <c r="BL45" s="1">
        <v>810020.0</v>
      </c>
      <c r="BM45" s="1">
        <v>20107.0</v>
      </c>
      <c r="BN45" s="1" t="s">
        <v>341</v>
      </c>
      <c r="BO45" s="1" t="s">
        <v>344</v>
      </c>
    </row>
    <row r="46" ht="15.75" customHeight="1">
      <c r="A46" s="1">
        <v>45.0</v>
      </c>
      <c r="B46" s="1" t="s">
        <v>345</v>
      </c>
      <c r="C46" s="1">
        <v>815013.0</v>
      </c>
      <c r="H46" s="1" t="s">
        <v>180</v>
      </c>
      <c r="I46" s="1">
        <v>20.0</v>
      </c>
      <c r="K46" s="1">
        <v>1.0</v>
      </c>
      <c r="L46" s="1">
        <v>600.0</v>
      </c>
      <c r="X46" s="1">
        <v>30.0</v>
      </c>
      <c r="BJ46" s="1">
        <v>1.0</v>
      </c>
      <c r="BL46" s="1">
        <v>810020.0</v>
      </c>
      <c r="BM46" s="1">
        <v>20107.0</v>
      </c>
      <c r="BN46" s="1" t="s">
        <v>346</v>
      </c>
      <c r="BO46" s="1" t="s">
        <v>347</v>
      </c>
    </row>
    <row r="47" ht="15.75" customHeight="1">
      <c r="A47" s="1">
        <v>46.0</v>
      </c>
      <c r="B47" s="1" t="s">
        <v>350</v>
      </c>
      <c r="C47" s="1">
        <v>815013.0</v>
      </c>
      <c r="H47" s="1" t="s">
        <v>180</v>
      </c>
      <c r="I47" s="1">
        <v>30.0</v>
      </c>
      <c r="K47" s="1">
        <v>1.0</v>
      </c>
      <c r="L47" s="1">
        <v>600.0</v>
      </c>
      <c r="X47" s="1">
        <v>40.0</v>
      </c>
      <c r="BJ47" s="1">
        <v>1.0</v>
      </c>
      <c r="BL47" s="1">
        <v>810020.0</v>
      </c>
      <c r="BM47" s="1">
        <v>20107.0</v>
      </c>
      <c r="BN47" s="1" t="s">
        <v>351</v>
      </c>
      <c r="BO47" s="1" t="s">
        <v>352</v>
      </c>
    </row>
    <row r="48" ht="15.75" customHeight="1">
      <c r="A48" s="1">
        <v>47.0</v>
      </c>
      <c r="B48" s="1" t="s">
        <v>353</v>
      </c>
      <c r="C48" s="1">
        <v>815013.0</v>
      </c>
      <c r="H48" s="1" t="s">
        <v>180</v>
      </c>
      <c r="I48" s="1">
        <v>40.0</v>
      </c>
      <c r="K48" s="1">
        <v>1.0</v>
      </c>
      <c r="L48" s="1">
        <v>600.0</v>
      </c>
      <c r="X48" s="1">
        <v>50.0</v>
      </c>
      <c r="BJ48" s="1">
        <v>1.0</v>
      </c>
      <c r="BL48" s="1">
        <v>810020.0</v>
      </c>
      <c r="BM48" s="1">
        <v>20107.0</v>
      </c>
      <c r="BO48" s="1" t="s">
        <v>357</v>
      </c>
    </row>
    <row r="49" ht="15.75" customHeight="1">
      <c r="A49" s="1">
        <v>48.0</v>
      </c>
      <c r="B49" s="1" t="s">
        <v>358</v>
      </c>
      <c r="C49" s="1">
        <v>815013.0</v>
      </c>
      <c r="H49" s="1" t="s">
        <v>180</v>
      </c>
      <c r="K49" s="1">
        <v>1.0</v>
      </c>
      <c r="L49" s="1">
        <v>600.0</v>
      </c>
      <c r="Y49" s="1">
        <v>10.0</v>
      </c>
      <c r="BJ49" s="1">
        <v>1.0</v>
      </c>
      <c r="BL49" s="1">
        <v>810019.0</v>
      </c>
      <c r="BM49" s="1">
        <v>20107.0</v>
      </c>
      <c r="BN49" s="1" t="s">
        <v>360</v>
      </c>
    </row>
    <row r="50" ht="15.75" customHeight="1">
      <c r="A50" s="1">
        <v>49.0</v>
      </c>
      <c r="B50" s="1" t="s">
        <v>362</v>
      </c>
      <c r="C50" s="1">
        <v>815013.0</v>
      </c>
      <c r="H50" s="1" t="s">
        <v>180</v>
      </c>
      <c r="I50" s="1">
        <v>10.0</v>
      </c>
      <c r="K50" s="1">
        <v>1.0</v>
      </c>
      <c r="L50" s="1">
        <v>600.0</v>
      </c>
      <c r="Y50" s="1">
        <v>20.0</v>
      </c>
      <c r="BJ50" s="1">
        <v>1.0</v>
      </c>
      <c r="BL50" s="1">
        <v>810019.0</v>
      </c>
      <c r="BM50" s="1">
        <v>20107.0</v>
      </c>
      <c r="BN50" s="1" t="s">
        <v>364</v>
      </c>
      <c r="BO50" s="1" t="s">
        <v>365</v>
      </c>
    </row>
    <row r="51" ht="15.75" customHeight="1">
      <c r="A51" s="1">
        <v>50.0</v>
      </c>
      <c r="B51" s="1" t="s">
        <v>366</v>
      </c>
      <c r="C51" s="1">
        <v>815013.0</v>
      </c>
      <c r="H51" s="1" t="s">
        <v>180</v>
      </c>
      <c r="I51" s="1">
        <v>20.0</v>
      </c>
      <c r="K51" s="1">
        <v>1.0</v>
      </c>
      <c r="L51" s="1">
        <v>600.0</v>
      </c>
      <c r="Y51" s="1">
        <v>30.0</v>
      </c>
      <c r="BJ51" s="1">
        <v>1.0</v>
      </c>
      <c r="BL51" s="1">
        <v>810019.0</v>
      </c>
      <c r="BM51" s="1">
        <v>20107.0</v>
      </c>
      <c r="BN51" s="1" t="s">
        <v>369</v>
      </c>
      <c r="BO51" s="1" t="s">
        <v>370</v>
      </c>
    </row>
    <row r="52" ht="15.75" customHeight="1">
      <c r="A52" s="1">
        <v>51.0</v>
      </c>
      <c r="B52" s="1" t="s">
        <v>371</v>
      </c>
      <c r="C52" s="1">
        <v>815013.0</v>
      </c>
      <c r="H52" s="1" t="s">
        <v>180</v>
      </c>
      <c r="I52" s="1">
        <v>30.0</v>
      </c>
      <c r="K52" s="1">
        <v>1.0</v>
      </c>
      <c r="L52" s="1">
        <v>600.0</v>
      </c>
      <c r="Y52" s="1">
        <v>40.0</v>
      </c>
      <c r="BJ52" s="1">
        <v>1.0</v>
      </c>
      <c r="BL52" s="1">
        <v>810019.0</v>
      </c>
      <c r="BM52" s="1">
        <v>20107.0</v>
      </c>
      <c r="BO52" s="1" t="s">
        <v>374</v>
      </c>
    </row>
    <row r="53" ht="15.75" customHeight="1">
      <c r="A53" s="1">
        <v>52.0</v>
      </c>
      <c r="B53" s="1" t="s">
        <v>376</v>
      </c>
      <c r="C53" s="1">
        <v>815013.0</v>
      </c>
      <c r="H53" s="1" t="s">
        <v>180</v>
      </c>
      <c r="I53" s="1">
        <v>15.0</v>
      </c>
      <c r="K53" s="1">
        <v>1.0</v>
      </c>
      <c r="L53" s="1">
        <v>600.0</v>
      </c>
      <c r="AA53" s="1">
        <v>10.0</v>
      </c>
      <c r="BJ53" s="1">
        <v>1.0</v>
      </c>
      <c r="BL53" s="1">
        <v>810008.0</v>
      </c>
      <c r="BM53" s="1">
        <v>20107.0</v>
      </c>
      <c r="BN53" s="1" t="s">
        <v>379</v>
      </c>
    </row>
    <row r="54" ht="15.75" customHeight="1">
      <c r="A54" s="1">
        <v>53.0</v>
      </c>
      <c r="B54" s="1" t="s">
        <v>380</v>
      </c>
      <c r="C54" s="1">
        <v>815013.0</v>
      </c>
      <c r="H54" s="1" t="s">
        <v>180</v>
      </c>
      <c r="I54" s="1">
        <v>25.0</v>
      </c>
      <c r="K54" s="1">
        <v>1.0</v>
      </c>
      <c r="L54" s="1">
        <v>600.0</v>
      </c>
      <c r="AA54" s="1">
        <v>20.0</v>
      </c>
      <c r="BJ54" s="1">
        <v>1.0</v>
      </c>
      <c r="BL54" s="1">
        <v>810008.0</v>
      </c>
      <c r="BM54" s="1">
        <v>20107.0</v>
      </c>
      <c r="BO54" s="1" t="s">
        <v>382</v>
      </c>
    </row>
    <row r="55" ht="15.75" customHeight="1">
      <c r="A55" s="1">
        <v>54.0</v>
      </c>
      <c r="B55" s="1" t="s">
        <v>384</v>
      </c>
      <c r="C55" s="1">
        <v>815013.0</v>
      </c>
      <c r="H55" s="1" t="s">
        <v>180</v>
      </c>
      <c r="I55" s="1">
        <v>25.0</v>
      </c>
      <c r="K55" s="1">
        <v>1.0</v>
      </c>
      <c r="L55" s="1">
        <v>600.0</v>
      </c>
      <c r="Z55" s="1">
        <v>20.0</v>
      </c>
      <c r="BJ55" s="1">
        <v>1.0</v>
      </c>
      <c r="BL55" s="1">
        <v>810008.0</v>
      </c>
      <c r="BM55" s="1">
        <v>20107.0</v>
      </c>
      <c r="BN55" s="1" t="s">
        <v>387</v>
      </c>
    </row>
    <row r="56" ht="15.75" customHeight="1">
      <c r="A56" s="1">
        <v>55.0</v>
      </c>
      <c r="B56" s="1" t="s">
        <v>389</v>
      </c>
      <c r="C56" s="1">
        <v>815013.0</v>
      </c>
      <c r="H56" s="1" t="s">
        <v>180</v>
      </c>
      <c r="I56" s="1">
        <v>35.0</v>
      </c>
      <c r="K56" s="1">
        <v>1.0</v>
      </c>
      <c r="L56" s="1">
        <v>600.0</v>
      </c>
      <c r="Z56" s="1">
        <v>40.0</v>
      </c>
      <c r="BJ56" s="1">
        <v>1.0</v>
      </c>
      <c r="BL56" s="1">
        <v>810008.0</v>
      </c>
      <c r="BM56" s="1">
        <v>20107.0</v>
      </c>
      <c r="BO56" s="1" t="s">
        <v>394</v>
      </c>
    </row>
    <row r="57" ht="15.75" customHeight="1">
      <c r="A57" s="1">
        <v>56.0</v>
      </c>
      <c r="B57" s="1" t="s">
        <v>395</v>
      </c>
      <c r="C57" s="1">
        <v>815045.0</v>
      </c>
      <c r="H57" s="1" t="s">
        <v>180</v>
      </c>
      <c r="I57" s="1">
        <v>20.0</v>
      </c>
      <c r="K57" s="1">
        <v>1.0</v>
      </c>
      <c r="L57" s="1">
        <v>120.0</v>
      </c>
      <c r="AI57" s="1">
        <v>0.02</v>
      </c>
      <c r="BJ57" s="1">
        <v>1.0</v>
      </c>
      <c r="BL57" s="1">
        <v>810032.0</v>
      </c>
      <c r="BM57" s="1">
        <v>20107.0</v>
      </c>
      <c r="BN57" s="1" t="s">
        <v>398</v>
      </c>
    </row>
    <row r="58" ht="15.75" customHeight="1">
      <c r="A58" s="1">
        <v>57.0</v>
      </c>
      <c r="B58" s="1" t="s">
        <v>399</v>
      </c>
      <c r="C58" s="1">
        <v>815045.0</v>
      </c>
      <c r="H58" s="1" t="s">
        <v>180</v>
      </c>
      <c r="I58" s="1">
        <v>35.0</v>
      </c>
      <c r="K58" s="1">
        <v>1.0</v>
      </c>
      <c r="L58" s="1">
        <v>150.0</v>
      </c>
      <c r="AI58" s="1">
        <v>0.04</v>
      </c>
      <c r="BJ58" s="1">
        <v>1.0</v>
      </c>
      <c r="BL58" s="1">
        <v>810032.0</v>
      </c>
      <c r="BM58" s="1">
        <v>20107.0</v>
      </c>
      <c r="BN58" s="1" t="s">
        <v>402</v>
      </c>
      <c r="BO58" s="1" t="s">
        <v>403</v>
      </c>
    </row>
    <row r="59" ht="15.75" customHeight="1">
      <c r="A59" s="1">
        <v>58.0</v>
      </c>
      <c r="B59" s="1" t="s">
        <v>405</v>
      </c>
      <c r="C59" s="1">
        <v>815014.0</v>
      </c>
      <c r="H59" s="1" t="s">
        <v>180</v>
      </c>
      <c r="K59" s="1">
        <v>1.0</v>
      </c>
      <c r="L59" s="1">
        <v>120.0</v>
      </c>
      <c r="BJ59" s="1">
        <v>1.0</v>
      </c>
      <c r="BL59" s="1">
        <v>810007.0</v>
      </c>
      <c r="BM59" s="1">
        <v>20107.0</v>
      </c>
    </row>
    <row r="60" ht="15.75" customHeight="1">
      <c r="A60" s="1">
        <v>59.0</v>
      </c>
      <c r="B60" s="1" t="s">
        <v>409</v>
      </c>
      <c r="C60" s="1">
        <v>815014.0</v>
      </c>
      <c r="H60" s="1" t="s">
        <v>180</v>
      </c>
      <c r="I60" s="1">
        <v>50.0</v>
      </c>
      <c r="K60" s="1">
        <v>0.0</v>
      </c>
      <c r="R60" s="1">
        <v>5000.0</v>
      </c>
      <c r="BJ60" s="1">
        <v>1.0</v>
      </c>
    </row>
    <row r="61" ht="15.75" customHeight="1">
      <c r="A61" s="1">
        <v>60.0</v>
      </c>
      <c r="B61" s="1" t="s">
        <v>412</v>
      </c>
      <c r="C61" s="1">
        <v>815048.0</v>
      </c>
      <c r="E61" s="1" t="s">
        <v>231</v>
      </c>
      <c r="F61" s="1" t="s">
        <v>191</v>
      </c>
      <c r="G61" s="1">
        <v>1.0</v>
      </c>
      <c r="H61" s="1" t="s">
        <v>193</v>
      </c>
      <c r="K61" s="1">
        <v>0.0</v>
      </c>
      <c r="O61" s="1">
        <v>1.0</v>
      </c>
      <c r="Q61" s="1" t="s">
        <v>415</v>
      </c>
    </row>
    <row r="62" ht="15.75" customHeight="1">
      <c r="A62" s="1">
        <v>61.0</v>
      </c>
      <c r="B62" s="1" t="s">
        <v>417</v>
      </c>
      <c r="C62" s="1">
        <v>815027.0</v>
      </c>
      <c r="F62" s="1" t="s">
        <v>191</v>
      </c>
      <c r="G62" s="1">
        <v>1.0</v>
      </c>
      <c r="H62" s="1" t="s">
        <v>193</v>
      </c>
      <c r="K62" s="1">
        <v>3.0</v>
      </c>
      <c r="L62" s="1">
        <v>12.0</v>
      </c>
      <c r="Q62" s="1">
        <v>-15.0</v>
      </c>
    </row>
    <row r="63" ht="15.75" customHeight="1">
      <c r="A63" s="1">
        <v>62.0</v>
      </c>
      <c r="B63" s="1" t="s">
        <v>422</v>
      </c>
      <c r="C63" s="1">
        <v>815008.0</v>
      </c>
      <c r="E63" s="1" t="s">
        <v>231</v>
      </c>
      <c r="F63" s="1" t="s">
        <v>191</v>
      </c>
      <c r="G63" s="1">
        <v>3.0</v>
      </c>
      <c r="H63" s="1" t="s">
        <v>193</v>
      </c>
      <c r="K63" s="1">
        <v>0.0</v>
      </c>
      <c r="M63" s="1">
        <v>1.0</v>
      </c>
      <c r="O63" s="1">
        <v>1.0</v>
      </c>
      <c r="Q63" s="1" t="s">
        <v>424</v>
      </c>
    </row>
    <row r="64" ht="15.75" customHeight="1">
      <c r="A64" s="1">
        <v>63.0</v>
      </c>
      <c r="B64" s="1" t="s">
        <v>428</v>
      </c>
      <c r="C64" s="1">
        <v>815001.0</v>
      </c>
      <c r="H64" s="1" t="s">
        <v>193</v>
      </c>
      <c r="K64" s="1">
        <v>0.0</v>
      </c>
      <c r="O64" s="1">
        <v>1.0</v>
      </c>
      <c r="Q64" s="1">
        <v>-15.0</v>
      </c>
    </row>
    <row r="65" ht="15.75" customHeight="1">
      <c r="A65" s="1">
        <v>64.0</v>
      </c>
      <c r="B65" s="1" t="s">
        <v>430</v>
      </c>
      <c r="C65" s="1">
        <v>815042.0</v>
      </c>
      <c r="E65" s="1" t="s">
        <v>231</v>
      </c>
      <c r="F65" s="1" t="s">
        <v>431</v>
      </c>
      <c r="G65" s="1">
        <v>2.0</v>
      </c>
      <c r="H65" s="1" t="s">
        <v>193</v>
      </c>
      <c r="K65" s="1">
        <v>0.0</v>
      </c>
      <c r="M65" s="1">
        <v>1.0</v>
      </c>
      <c r="O65" s="1">
        <v>1.0</v>
      </c>
      <c r="Q65" s="1" t="s">
        <v>433</v>
      </c>
      <c r="BH65" s="1">
        <v>50000.0</v>
      </c>
    </row>
    <row r="66" ht="15.75" customHeight="1">
      <c r="A66" s="1">
        <v>65.0</v>
      </c>
      <c r="B66" s="1" t="s">
        <v>435</v>
      </c>
      <c r="G66" s="1">
        <v>1.0</v>
      </c>
      <c r="H66" s="1" t="s">
        <v>171</v>
      </c>
      <c r="K66" s="1">
        <v>2.0</v>
      </c>
      <c r="AZ66" s="1">
        <v>180.0</v>
      </c>
    </row>
    <row r="67" ht="15.75" customHeight="1">
      <c r="A67" s="1">
        <v>66.0</v>
      </c>
      <c r="B67" s="1" t="s">
        <v>438</v>
      </c>
      <c r="H67" s="1" t="s">
        <v>171</v>
      </c>
      <c r="K67" s="1">
        <v>1.0</v>
      </c>
      <c r="AJ67" s="1">
        <v>100.0</v>
      </c>
      <c r="BJ67" s="1">
        <v>1.0</v>
      </c>
      <c r="BL67" s="1">
        <v>810032.0</v>
      </c>
      <c r="BM67" s="1">
        <v>20107.0</v>
      </c>
    </row>
    <row r="68" ht="15.75" customHeight="1">
      <c r="A68" s="1">
        <v>67.0</v>
      </c>
      <c r="B68" s="1" t="s">
        <v>440</v>
      </c>
      <c r="H68" s="1" t="s">
        <v>171</v>
      </c>
      <c r="K68" s="1">
        <v>1.0</v>
      </c>
      <c r="AJ68" s="1">
        <v>500.0</v>
      </c>
      <c r="BJ68" s="1">
        <v>1.0</v>
      </c>
      <c r="BL68" s="1">
        <v>810032.0</v>
      </c>
      <c r="BM68" s="1">
        <v>20107.0</v>
      </c>
    </row>
    <row r="69" ht="15.75" customHeight="1">
      <c r="A69" s="1">
        <v>68.0</v>
      </c>
      <c r="B69" s="1" t="s">
        <v>443</v>
      </c>
      <c r="H69" s="1" t="s">
        <v>171</v>
      </c>
      <c r="K69" s="1">
        <v>1.0</v>
      </c>
      <c r="AH69" s="1">
        <v>100.0</v>
      </c>
      <c r="BJ69" s="1">
        <v>1.0</v>
      </c>
      <c r="BL69" s="1">
        <v>810008.0</v>
      </c>
      <c r="BM69" s="1">
        <v>20107.0</v>
      </c>
    </row>
    <row r="70" ht="15.75" customHeight="1">
      <c r="A70" s="1">
        <v>69.0</v>
      </c>
      <c r="B70" s="1" t="s">
        <v>445</v>
      </c>
      <c r="H70" s="1" t="s">
        <v>171</v>
      </c>
      <c r="K70" s="1">
        <v>1.0</v>
      </c>
      <c r="AH70" s="1">
        <v>500.0</v>
      </c>
      <c r="BJ70" s="1">
        <v>1.0</v>
      </c>
      <c r="BL70" s="1">
        <v>810008.0</v>
      </c>
      <c r="BM70" s="1">
        <v>20107.0</v>
      </c>
    </row>
    <row r="71" ht="15.75" customHeight="1">
      <c r="A71" s="1">
        <v>70.0</v>
      </c>
      <c r="B71" s="1" t="s">
        <v>448</v>
      </c>
      <c r="H71" s="1" t="s">
        <v>171</v>
      </c>
      <c r="K71" s="1">
        <v>1.0</v>
      </c>
      <c r="AL71" s="1">
        <v>0.05</v>
      </c>
      <c r="BJ71" s="1">
        <v>1.0</v>
      </c>
      <c r="BL71" s="1">
        <v>810035.0</v>
      </c>
      <c r="BM71" s="1">
        <v>20107.0</v>
      </c>
    </row>
    <row r="72" ht="15.75" customHeight="1">
      <c r="A72" s="1">
        <v>71.0</v>
      </c>
      <c r="B72" s="1" t="s">
        <v>452</v>
      </c>
      <c r="H72" s="1" t="s">
        <v>171</v>
      </c>
      <c r="K72" s="1">
        <v>1.0</v>
      </c>
      <c r="AL72" s="1">
        <v>0.1</v>
      </c>
      <c r="BJ72" s="1">
        <v>1.0</v>
      </c>
      <c r="BL72" s="1">
        <v>810035.0</v>
      </c>
      <c r="BM72" s="1">
        <v>20107.0</v>
      </c>
    </row>
    <row r="73" ht="15.75" customHeight="1">
      <c r="A73" s="1">
        <v>72.0</v>
      </c>
      <c r="B73" s="1" t="s">
        <v>455</v>
      </c>
      <c r="H73" s="1" t="s">
        <v>171</v>
      </c>
      <c r="K73" s="1">
        <v>1.0</v>
      </c>
      <c r="AL73" s="1">
        <v>0.2</v>
      </c>
      <c r="BJ73" s="1">
        <v>1.0</v>
      </c>
      <c r="BL73" s="1">
        <v>810035.0</v>
      </c>
      <c r="BM73" s="1">
        <v>20107.0</v>
      </c>
    </row>
    <row r="74" ht="15.75" customHeight="1">
      <c r="A74" s="1">
        <v>73.0</v>
      </c>
      <c r="B74" s="1" t="s">
        <v>458</v>
      </c>
      <c r="H74" s="1" t="s">
        <v>171</v>
      </c>
      <c r="K74" s="1">
        <v>1.0</v>
      </c>
      <c r="AK74" s="1">
        <v>0.05</v>
      </c>
      <c r="BJ74" s="1">
        <v>1.0</v>
      </c>
      <c r="BL74" s="1">
        <v>810027.0</v>
      </c>
      <c r="BM74" s="1">
        <v>20107.0</v>
      </c>
    </row>
    <row r="75" ht="15.75" customHeight="1">
      <c r="A75" s="1">
        <v>74.0</v>
      </c>
      <c r="B75" s="1" t="s">
        <v>459</v>
      </c>
      <c r="H75" s="1" t="s">
        <v>171</v>
      </c>
      <c r="K75" s="1">
        <v>1.0</v>
      </c>
      <c r="AK75" s="1">
        <v>0.1</v>
      </c>
      <c r="BJ75" s="1">
        <v>1.0</v>
      </c>
      <c r="BL75" s="1">
        <v>810027.0</v>
      </c>
      <c r="BM75" s="1">
        <v>20107.0</v>
      </c>
    </row>
    <row r="76" ht="15.75" customHeight="1">
      <c r="A76" s="1">
        <v>75.0</v>
      </c>
      <c r="B76" s="1" t="s">
        <v>463</v>
      </c>
      <c r="H76" s="1" t="s">
        <v>171</v>
      </c>
      <c r="K76" s="1">
        <v>1.0</v>
      </c>
      <c r="AK76" s="1">
        <v>0.2</v>
      </c>
      <c r="BJ76" s="1">
        <v>1.0</v>
      </c>
      <c r="BL76" s="1">
        <v>810027.0</v>
      </c>
      <c r="BM76" s="1">
        <v>20107.0</v>
      </c>
    </row>
    <row r="77" ht="15.75" customHeight="1">
      <c r="A77" s="1">
        <v>76.0</v>
      </c>
      <c r="B77" s="1" t="s">
        <v>466</v>
      </c>
      <c r="H77" s="1" t="s">
        <v>171</v>
      </c>
      <c r="K77" s="1">
        <v>1.0</v>
      </c>
      <c r="AM77" s="1">
        <v>0.05</v>
      </c>
      <c r="BJ77" s="1">
        <v>1.0</v>
      </c>
      <c r="BL77" s="1">
        <v>810035.0</v>
      </c>
      <c r="BM77" s="1">
        <v>20107.0</v>
      </c>
    </row>
    <row r="78" ht="15.75" customHeight="1">
      <c r="A78" s="1">
        <v>77.0</v>
      </c>
      <c r="B78" s="1" t="s">
        <v>469</v>
      </c>
      <c r="H78" s="1" t="s">
        <v>171</v>
      </c>
      <c r="K78" s="1">
        <v>1.0</v>
      </c>
      <c r="AM78" s="1">
        <v>0.1</v>
      </c>
      <c r="BJ78" s="1">
        <v>1.0</v>
      </c>
      <c r="BL78" s="1">
        <v>810035.0</v>
      </c>
      <c r="BM78" s="1">
        <v>20107.0</v>
      </c>
    </row>
    <row r="79" ht="15.75" customHeight="1">
      <c r="A79" s="1">
        <v>78.0</v>
      </c>
      <c r="B79" s="1" t="s">
        <v>473</v>
      </c>
      <c r="H79" s="1" t="s">
        <v>171</v>
      </c>
      <c r="K79" s="1">
        <v>1.0</v>
      </c>
      <c r="AO79" s="1">
        <v>0.05</v>
      </c>
      <c r="BJ79" s="1">
        <v>1.0</v>
      </c>
      <c r="BL79" s="1">
        <v>810035.0</v>
      </c>
      <c r="BM79" s="1">
        <v>20107.0</v>
      </c>
    </row>
    <row r="80" ht="15.75" customHeight="1">
      <c r="A80" s="1">
        <v>79.0</v>
      </c>
      <c r="B80" s="1" t="s">
        <v>476</v>
      </c>
      <c r="H80" s="1" t="s">
        <v>171</v>
      </c>
      <c r="K80" s="1">
        <v>1.0</v>
      </c>
      <c r="AO80" s="1">
        <v>0.1</v>
      </c>
      <c r="BJ80" s="1">
        <v>1.0</v>
      </c>
      <c r="BL80" s="1">
        <v>810035.0</v>
      </c>
      <c r="BM80" s="1">
        <v>20107.0</v>
      </c>
    </row>
    <row r="81" ht="15.75" customHeight="1">
      <c r="A81" s="1">
        <v>80.0</v>
      </c>
      <c r="B81" s="1" t="s">
        <v>479</v>
      </c>
      <c r="H81" s="1" t="s">
        <v>171</v>
      </c>
      <c r="K81" s="1">
        <v>1.0</v>
      </c>
      <c r="AI81" s="1">
        <v>0.01</v>
      </c>
      <c r="BJ81" s="1">
        <v>1.0</v>
      </c>
      <c r="BL81" s="1">
        <v>810032.0</v>
      </c>
      <c r="BM81" s="1">
        <v>20107.0</v>
      </c>
    </row>
    <row r="82" ht="15.75" customHeight="1">
      <c r="A82" s="1">
        <v>81.0</v>
      </c>
      <c r="B82" s="1" t="s">
        <v>483</v>
      </c>
      <c r="H82" s="1" t="s">
        <v>171</v>
      </c>
      <c r="K82" s="1">
        <v>1.0</v>
      </c>
      <c r="AG82" s="1">
        <v>0.01</v>
      </c>
      <c r="BJ82" s="1">
        <v>1.0</v>
      </c>
      <c r="BL82" s="1">
        <v>810008.0</v>
      </c>
      <c r="BM82" s="1">
        <v>20107.0</v>
      </c>
    </row>
    <row r="83" ht="15.75" customHeight="1">
      <c r="A83" s="1">
        <v>82.0</v>
      </c>
      <c r="B83" s="1" t="s">
        <v>486</v>
      </c>
      <c r="H83" s="1" t="s">
        <v>171</v>
      </c>
      <c r="K83" s="1">
        <v>1.0</v>
      </c>
      <c r="AI83" s="1">
        <v>0.02</v>
      </c>
      <c r="BJ83" s="1">
        <v>1.0</v>
      </c>
      <c r="BL83" s="1">
        <v>810032.0</v>
      </c>
      <c r="BM83" s="1">
        <v>20107.0</v>
      </c>
    </row>
    <row r="84" ht="15.75" customHeight="1">
      <c r="A84" s="1">
        <v>83.0</v>
      </c>
      <c r="B84" s="1" t="s">
        <v>490</v>
      </c>
      <c r="H84" s="1" t="s">
        <v>171</v>
      </c>
      <c r="K84" s="1">
        <v>1.0</v>
      </c>
      <c r="AG84" s="1">
        <v>0.02</v>
      </c>
      <c r="BJ84" s="1">
        <v>1.0</v>
      </c>
      <c r="BL84" s="1">
        <v>810008.0</v>
      </c>
      <c r="BM84" s="1">
        <v>20107.0</v>
      </c>
    </row>
    <row r="85" ht="15.75" customHeight="1">
      <c r="A85" s="1">
        <v>84.0</v>
      </c>
      <c r="B85" s="1" t="s">
        <v>492</v>
      </c>
      <c r="H85" s="1" t="s">
        <v>171</v>
      </c>
      <c r="K85" s="1">
        <v>1.0</v>
      </c>
      <c r="AG85" s="1">
        <v>0.01</v>
      </c>
      <c r="AI85" s="1">
        <v>0.01</v>
      </c>
      <c r="BJ85" s="1">
        <v>1.0</v>
      </c>
      <c r="BL85" s="1">
        <v>810008.0</v>
      </c>
      <c r="BM85" s="1">
        <v>20107.0</v>
      </c>
    </row>
    <row r="86" ht="15.75" customHeight="1">
      <c r="A86" s="1">
        <v>85.0</v>
      </c>
      <c r="B86" s="1" t="s">
        <v>497</v>
      </c>
      <c r="G86" s="1">
        <v>1.0</v>
      </c>
      <c r="H86" s="1" t="s">
        <v>171</v>
      </c>
      <c r="K86" s="1">
        <v>2.0</v>
      </c>
      <c r="AW86" s="1">
        <v>155.0</v>
      </c>
      <c r="AZ86" s="1">
        <v>160.0</v>
      </c>
    </row>
    <row r="87" ht="15.75" customHeight="1">
      <c r="A87" s="1">
        <v>86.0</v>
      </c>
      <c r="B87" s="1" t="s">
        <v>501</v>
      </c>
      <c r="G87" s="1">
        <v>1.0</v>
      </c>
      <c r="H87" s="1" t="s">
        <v>171</v>
      </c>
      <c r="K87" s="1">
        <v>2.0</v>
      </c>
      <c r="AY87" s="1">
        <v>155.0</v>
      </c>
      <c r="AZ87" s="1">
        <v>160.0</v>
      </c>
    </row>
    <row r="88" ht="15.75" customHeight="1">
      <c r="A88" s="1">
        <v>87.0</v>
      </c>
      <c r="B88" s="1" t="s">
        <v>505</v>
      </c>
      <c r="G88" s="1">
        <v>1.0</v>
      </c>
      <c r="H88" s="1" t="s">
        <v>171</v>
      </c>
      <c r="K88" s="1">
        <v>2.0</v>
      </c>
      <c r="AZ88" s="1">
        <v>100.0</v>
      </c>
    </row>
    <row r="89" ht="15.75" customHeight="1">
      <c r="A89" s="1">
        <v>88.0</v>
      </c>
      <c r="B89" s="1" t="s">
        <v>508</v>
      </c>
      <c r="G89" s="1">
        <v>1.0</v>
      </c>
      <c r="H89" s="1" t="s">
        <v>171</v>
      </c>
      <c r="K89" s="1">
        <v>2.0</v>
      </c>
      <c r="AV89" s="1">
        <v>31.0</v>
      </c>
    </row>
    <row r="90" ht="15.75" customHeight="1">
      <c r="A90" s="1">
        <v>89.0</v>
      </c>
      <c r="B90" s="1" t="s">
        <v>510</v>
      </c>
      <c r="G90" s="1">
        <v>1.0</v>
      </c>
      <c r="H90" s="1" t="s">
        <v>171</v>
      </c>
      <c r="K90" s="1">
        <v>2.0</v>
      </c>
      <c r="AV90" s="1">
        <v>32.0</v>
      </c>
    </row>
    <row r="91" ht="15.75" customHeight="1">
      <c r="A91" s="1">
        <v>90.0</v>
      </c>
      <c r="B91" s="1" t="s">
        <v>513</v>
      </c>
      <c r="G91" s="1">
        <v>1.0</v>
      </c>
      <c r="H91" s="1" t="s">
        <v>171</v>
      </c>
      <c r="K91" s="1">
        <v>2.0</v>
      </c>
      <c r="AV91" s="1">
        <v>33.0</v>
      </c>
    </row>
    <row r="92" ht="15.75" customHeight="1">
      <c r="A92" s="1">
        <v>91.0</v>
      </c>
      <c r="B92" s="1" t="s">
        <v>516</v>
      </c>
      <c r="G92" s="1">
        <v>1.0</v>
      </c>
      <c r="H92" s="1" t="s">
        <v>171</v>
      </c>
      <c r="K92" s="1">
        <v>2.0</v>
      </c>
      <c r="AV92" s="1">
        <v>34.0</v>
      </c>
    </row>
    <row r="93" ht="15.75" customHeight="1">
      <c r="A93" s="1">
        <v>92.0</v>
      </c>
      <c r="B93" s="1" t="s">
        <v>520</v>
      </c>
      <c r="G93" s="1">
        <v>1.0</v>
      </c>
      <c r="H93" s="1" t="s">
        <v>171</v>
      </c>
      <c r="K93" s="1">
        <v>2.0</v>
      </c>
      <c r="AV93" s="1">
        <v>35.0</v>
      </c>
    </row>
    <row r="94" ht="15.75" customHeight="1">
      <c r="A94" s="1">
        <v>93.0</v>
      </c>
      <c r="B94" s="1" t="s">
        <v>522</v>
      </c>
      <c r="G94" s="1">
        <v>1.0</v>
      </c>
      <c r="H94" s="1" t="s">
        <v>171</v>
      </c>
      <c r="K94" s="1">
        <v>2.0</v>
      </c>
      <c r="AV94" s="1">
        <v>36.0</v>
      </c>
    </row>
    <row r="95" ht="15.75" customHeight="1">
      <c r="A95" s="1">
        <v>94.0</v>
      </c>
      <c r="B95" s="1" t="s">
        <v>525</v>
      </c>
      <c r="G95" s="1">
        <v>1.0</v>
      </c>
      <c r="H95" s="1" t="s">
        <v>171</v>
      </c>
      <c r="K95" s="1">
        <v>2.0</v>
      </c>
    </row>
    <row r="96" ht="15.75" customHeight="1">
      <c r="A96" s="1">
        <v>95.0</v>
      </c>
      <c r="B96" s="1" t="s">
        <v>527</v>
      </c>
      <c r="G96" s="1">
        <v>1.0</v>
      </c>
      <c r="H96" s="1" t="s">
        <v>171</v>
      </c>
      <c r="K96" s="1">
        <v>2.0</v>
      </c>
      <c r="AU96" s="1">
        <v>1.0</v>
      </c>
    </row>
    <row r="97" ht="15.75" customHeight="1">
      <c r="A97" s="1">
        <v>96.0</v>
      </c>
      <c r="B97" s="1" t="s">
        <v>532</v>
      </c>
      <c r="G97" s="1">
        <v>1.0</v>
      </c>
      <c r="H97" s="1" t="s">
        <v>171</v>
      </c>
      <c r="K97" s="1">
        <v>2.0</v>
      </c>
      <c r="AU97" s="1">
        <v>1.0</v>
      </c>
    </row>
    <row r="98" ht="15.75" customHeight="1">
      <c r="A98" s="1">
        <v>97.0</v>
      </c>
      <c r="B98" s="1" t="s">
        <v>534</v>
      </c>
      <c r="G98" s="1">
        <v>1.0</v>
      </c>
      <c r="H98" s="1" t="s">
        <v>171</v>
      </c>
      <c r="K98" s="1">
        <v>2.0</v>
      </c>
      <c r="AU98" s="1">
        <v>3.0</v>
      </c>
    </row>
    <row r="99" ht="15.75" customHeight="1">
      <c r="A99" s="1">
        <v>98.0</v>
      </c>
      <c r="B99" s="1" t="s">
        <v>539</v>
      </c>
      <c r="G99" s="1">
        <v>1.0</v>
      </c>
      <c r="H99" s="1" t="s">
        <v>171</v>
      </c>
      <c r="K99" s="1">
        <v>2.0</v>
      </c>
      <c r="AU99" s="1">
        <v>2.0</v>
      </c>
    </row>
    <row r="100" ht="15.75" customHeight="1">
      <c r="A100" s="1">
        <v>99.0</v>
      </c>
      <c r="B100" s="1" t="s">
        <v>541</v>
      </c>
      <c r="G100" s="1">
        <v>1.0</v>
      </c>
      <c r="H100" s="1" t="s">
        <v>171</v>
      </c>
      <c r="K100" s="1">
        <v>2.0</v>
      </c>
      <c r="AR100" s="1">
        <v>1.0</v>
      </c>
    </row>
    <row r="101" ht="15.75" customHeight="1">
      <c r="A101" s="1">
        <v>100.0</v>
      </c>
      <c r="B101" s="1" t="s">
        <v>544</v>
      </c>
      <c r="G101" s="1">
        <v>1.0</v>
      </c>
      <c r="H101" s="1" t="s">
        <v>171</v>
      </c>
      <c r="K101" s="1">
        <v>2.0</v>
      </c>
      <c r="AR101" s="1">
        <v>11.0</v>
      </c>
    </row>
    <row r="102" ht="15.75" customHeight="1">
      <c r="A102" s="1">
        <v>101.0</v>
      </c>
      <c r="B102" s="1" t="s">
        <v>464</v>
      </c>
      <c r="C102" s="1">
        <v>815016.0</v>
      </c>
      <c r="H102" s="1" t="s">
        <v>180</v>
      </c>
      <c r="I102" s="1">
        <v>10.0</v>
      </c>
      <c r="K102" s="1">
        <v>1.0</v>
      </c>
      <c r="L102" s="1">
        <v>600.0</v>
      </c>
      <c r="W102" s="1">
        <v>40.0</v>
      </c>
      <c r="BJ102" s="1">
        <v>1.0</v>
      </c>
      <c r="BL102" s="1">
        <v>810018.0</v>
      </c>
      <c r="BM102" s="1">
        <v>20107.0</v>
      </c>
      <c r="BN102" s="1" t="s">
        <v>549</v>
      </c>
      <c r="BO102" s="1" t="s">
        <v>550</v>
      </c>
    </row>
    <row r="103" ht="15.75" customHeight="1">
      <c r="A103" s="1">
        <v>102.0</v>
      </c>
      <c r="B103" s="1" t="s">
        <v>475</v>
      </c>
      <c r="C103" s="1">
        <v>815047.0</v>
      </c>
      <c r="H103" s="1" t="s">
        <v>180</v>
      </c>
      <c r="K103" s="1">
        <v>11.0</v>
      </c>
      <c r="L103" s="1">
        <v>300.0</v>
      </c>
      <c r="BJ103" s="1">
        <v>1.0</v>
      </c>
      <c r="BL103" s="1">
        <v>810034.0</v>
      </c>
      <c r="BM103" s="1">
        <v>20107.0</v>
      </c>
    </row>
    <row r="104" ht="15.75" customHeight="1">
      <c r="A104" s="1">
        <v>103.0</v>
      </c>
      <c r="B104" s="1" t="s">
        <v>481</v>
      </c>
      <c r="C104" s="1">
        <v>815001.0</v>
      </c>
      <c r="E104" s="1" t="s">
        <v>231</v>
      </c>
      <c r="F104" s="1" t="s">
        <v>557</v>
      </c>
      <c r="G104" s="1">
        <v>3.0</v>
      </c>
      <c r="H104" s="1" t="s">
        <v>193</v>
      </c>
      <c r="K104" s="1">
        <v>0.0</v>
      </c>
      <c r="O104" s="1">
        <v>1.0</v>
      </c>
      <c r="Q104" s="1">
        <v>-200.0</v>
      </c>
    </row>
    <row r="105" ht="15.75" customHeight="1">
      <c r="A105" s="1">
        <v>104.0</v>
      </c>
      <c r="B105" s="1" t="s">
        <v>487</v>
      </c>
      <c r="C105" s="1">
        <v>815023.0</v>
      </c>
      <c r="H105" s="1" t="s">
        <v>180</v>
      </c>
      <c r="I105" s="1">
        <v>20.0</v>
      </c>
      <c r="K105" s="1">
        <v>14.0</v>
      </c>
      <c r="L105" s="1">
        <v>600.0</v>
      </c>
      <c r="BJ105" s="1">
        <v>1.0</v>
      </c>
      <c r="BL105" s="1">
        <v>810004.0</v>
      </c>
      <c r="BM105" s="1">
        <v>20107.0</v>
      </c>
      <c r="BO105" s="1" t="s">
        <v>563</v>
      </c>
      <c r="BQ105" s="1">
        <v>114.0</v>
      </c>
    </row>
    <row r="106" ht="15.75" customHeight="1">
      <c r="A106" s="1">
        <v>105.0</v>
      </c>
      <c r="B106" s="1" t="s">
        <v>499</v>
      </c>
      <c r="C106" s="1">
        <v>815013.0</v>
      </c>
      <c r="H106" s="1" t="s">
        <v>180</v>
      </c>
      <c r="I106" s="1">
        <v>20.0</v>
      </c>
      <c r="K106" s="1">
        <v>1.0</v>
      </c>
      <c r="L106" s="1">
        <v>300.0</v>
      </c>
      <c r="AG106" s="1">
        <v>0.04</v>
      </c>
      <c r="BJ106" s="1">
        <v>1.0</v>
      </c>
      <c r="BL106" s="1">
        <v>810008.0</v>
      </c>
      <c r="BM106" s="1">
        <v>20107.0</v>
      </c>
      <c r="BN106" s="1" t="s">
        <v>567</v>
      </c>
      <c r="BO106" s="1" t="s">
        <v>568</v>
      </c>
    </row>
    <row r="107" ht="15.75" customHeight="1">
      <c r="A107" s="1">
        <v>106.0</v>
      </c>
      <c r="B107" s="1" t="s">
        <v>504</v>
      </c>
      <c r="C107" s="1">
        <v>815014.0</v>
      </c>
      <c r="H107" s="1" t="s">
        <v>571</v>
      </c>
      <c r="K107" s="1">
        <v>6.0</v>
      </c>
      <c r="BJ107" s="1">
        <v>1.0</v>
      </c>
    </row>
    <row r="108" ht="15.75" customHeight="1">
      <c r="A108" s="1">
        <v>107.0</v>
      </c>
      <c r="B108" s="1" t="s">
        <v>509</v>
      </c>
      <c r="C108" s="1">
        <v>815012.0</v>
      </c>
      <c r="H108" s="1" t="s">
        <v>180</v>
      </c>
      <c r="K108" s="1">
        <v>5.0</v>
      </c>
      <c r="BE108" s="1">
        <v>11.0</v>
      </c>
      <c r="BF108" s="1">
        <v>10.0</v>
      </c>
      <c r="BG108" s="1">
        <v>10.0</v>
      </c>
      <c r="BJ108" s="1">
        <v>1.0</v>
      </c>
    </row>
    <row r="109" ht="15.75" customHeight="1">
      <c r="A109" s="1">
        <v>108.0</v>
      </c>
      <c r="B109" s="1" t="s">
        <v>521</v>
      </c>
      <c r="C109" s="1">
        <v>815002.0</v>
      </c>
      <c r="E109" s="1" t="s">
        <v>231</v>
      </c>
      <c r="F109" s="1" t="s">
        <v>191</v>
      </c>
      <c r="G109" s="1">
        <v>3.0</v>
      </c>
      <c r="H109" s="1" t="s">
        <v>193</v>
      </c>
      <c r="K109" s="1">
        <v>0.0</v>
      </c>
      <c r="O109" s="1">
        <v>1.0</v>
      </c>
      <c r="Q109" s="1">
        <v>-250.0</v>
      </c>
    </row>
    <row r="110" ht="15.75" customHeight="1">
      <c r="A110" s="1">
        <v>109.0</v>
      </c>
      <c r="B110" s="1" t="s">
        <v>526</v>
      </c>
      <c r="C110" s="1">
        <v>815016.0</v>
      </c>
      <c r="H110" s="1" t="s">
        <v>180</v>
      </c>
      <c r="I110" s="1">
        <v>25.0</v>
      </c>
      <c r="K110" s="1">
        <v>1.0</v>
      </c>
      <c r="L110" s="1">
        <v>600.0</v>
      </c>
      <c r="W110" s="1">
        <v>80.0</v>
      </c>
      <c r="BJ110" s="1">
        <v>1.0</v>
      </c>
      <c r="BL110" s="1">
        <v>810018.0</v>
      </c>
      <c r="BM110" s="1">
        <v>20107.0</v>
      </c>
      <c r="BN110" s="1" t="s">
        <v>583</v>
      </c>
      <c r="BO110" s="1" t="s">
        <v>584</v>
      </c>
    </row>
    <row r="111" ht="15.75" customHeight="1">
      <c r="A111" s="1">
        <v>110.0</v>
      </c>
      <c r="B111" s="1" t="s">
        <v>533</v>
      </c>
      <c r="C111" s="1">
        <v>815004.0</v>
      </c>
      <c r="H111" s="1" t="s">
        <v>193</v>
      </c>
      <c r="K111" s="1">
        <v>0.0</v>
      </c>
      <c r="O111" s="1">
        <v>1.0</v>
      </c>
      <c r="Q111" s="1">
        <v>-300.0</v>
      </c>
    </row>
    <row r="112" ht="15.75" customHeight="1">
      <c r="A112" s="1">
        <v>111.0</v>
      </c>
      <c r="B112" s="1" t="s">
        <v>540</v>
      </c>
      <c r="C112" s="1">
        <v>815013.0</v>
      </c>
      <c r="H112" s="1" t="s">
        <v>180</v>
      </c>
      <c r="I112" s="1">
        <v>30.0</v>
      </c>
      <c r="K112" s="1">
        <v>1.0</v>
      </c>
      <c r="L112" s="1">
        <v>300.0</v>
      </c>
      <c r="AG112" s="1">
        <v>0.06</v>
      </c>
      <c r="BJ112" s="1">
        <v>1.0</v>
      </c>
      <c r="BL112" s="1">
        <v>810008.0</v>
      </c>
      <c r="BM112" s="1">
        <v>20107.0</v>
      </c>
      <c r="BO112" s="1" t="s">
        <v>591</v>
      </c>
    </row>
    <row r="113" ht="15.75" customHeight="1">
      <c r="A113" s="1">
        <v>112.0</v>
      </c>
      <c r="B113" s="1" t="s">
        <v>548</v>
      </c>
      <c r="C113" s="1">
        <v>815016.0</v>
      </c>
      <c r="H113" s="1" t="s">
        <v>180</v>
      </c>
      <c r="I113" s="1">
        <v>35.0</v>
      </c>
      <c r="K113" s="1">
        <v>1.0</v>
      </c>
      <c r="L113" s="1">
        <v>600.0</v>
      </c>
      <c r="W113" s="1">
        <v>100.0</v>
      </c>
      <c r="BJ113" s="1">
        <v>1.0</v>
      </c>
      <c r="BL113" s="1">
        <v>810018.0</v>
      </c>
      <c r="BM113" s="1">
        <v>20107.0</v>
      </c>
      <c r="BO113" s="1" t="s">
        <v>594</v>
      </c>
    </row>
    <row r="114" ht="15.75" customHeight="1">
      <c r="A114" s="1">
        <v>113.0</v>
      </c>
      <c r="B114" s="1" t="s">
        <v>555</v>
      </c>
      <c r="C114" s="1">
        <v>815016.0</v>
      </c>
      <c r="H114" s="1" t="s">
        <v>180</v>
      </c>
      <c r="I114" s="1">
        <v>15.0</v>
      </c>
      <c r="K114" s="1">
        <v>1.0</v>
      </c>
      <c r="L114" s="1">
        <v>600.0</v>
      </c>
      <c r="W114" s="1">
        <v>60.0</v>
      </c>
      <c r="BJ114" s="1">
        <v>1.0</v>
      </c>
      <c r="BL114" s="1">
        <v>810018.0</v>
      </c>
      <c r="BM114" s="1">
        <v>20107.0</v>
      </c>
      <c r="BN114" s="1" t="s">
        <v>598</v>
      </c>
      <c r="BO114" s="1" t="s">
        <v>600</v>
      </c>
    </row>
    <row r="115" ht="15.75" customHeight="1">
      <c r="A115" s="1">
        <v>114.0</v>
      </c>
      <c r="B115" s="1" t="s">
        <v>601</v>
      </c>
      <c r="C115" s="1">
        <v>815001.0</v>
      </c>
      <c r="H115" s="1" t="s">
        <v>193</v>
      </c>
      <c r="K115" s="1">
        <v>0.0</v>
      </c>
      <c r="O115" s="1">
        <v>1.0</v>
      </c>
      <c r="Q115" s="1">
        <v>-30.0</v>
      </c>
    </row>
    <row r="116" ht="15.75" customHeight="1">
      <c r="A116" s="1">
        <v>115.0</v>
      </c>
      <c r="B116" s="1" t="s">
        <v>605</v>
      </c>
      <c r="H116" s="1" t="s">
        <v>193</v>
      </c>
      <c r="K116" s="1">
        <v>13.0</v>
      </c>
      <c r="BK116" s="1">
        <v>0.0</v>
      </c>
      <c r="BS116" s="1">
        <v>116.0</v>
      </c>
      <c r="BT116" s="1">
        <v>7.0</v>
      </c>
    </row>
    <row r="117" ht="15.75" customHeight="1">
      <c r="A117" s="1">
        <v>116.0</v>
      </c>
      <c r="B117" s="1" t="s">
        <v>609</v>
      </c>
      <c r="C117" s="1">
        <v>815002.0</v>
      </c>
      <c r="E117" s="1" t="s">
        <v>231</v>
      </c>
      <c r="F117" s="1" t="s">
        <v>249</v>
      </c>
      <c r="G117" s="1">
        <v>1.0</v>
      </c>
      <c r="H117" s="1" t="s">
        <v>193</v>
      </c>
      <c r="K117" s="1">
        <v>0.0</v>
      </c>
      <c r="O117" s="1">
        <v>1.0</v>
      </c>
      <c r="Q117" s="1">
        <v>-2500.0</v>
      </c>
    </row>
    <row r="118" ht="15.75" customHeight="1">
      <c r="A118" s="1">
        <v>117.0</v>
      </c>
      <c r="B118" s="1" t="s">
        <v>545</v>
      </c>
      <c r="C118" s="1">
        <v>815005.0</v>
      </c>
      <c r="H118" s="1" t="s">
        <v>193</v>
      </c>
      <c r="K118" s="1">
        <v>0.0</v>
      </c>
      <c r="O118" s="1">
        <v>1.0</v>
      </c>
      <c r="Q118" s="1">
        <v>-400.0</v>
      </c>
    </row>
    <row r="119" ht="15.75" customHeight="1">
      <c r="A119" s="1">
        <v>118.0</v>
      </c>
      <c r="B119" s="1" t="s">
        <v>560</v>
      </c>
      <c r="C119" s="1">
        <v>815001.0</v>
      </c>
      <c r="E119" s="1" t="s">
        <v>231</v>
      </c>
      <c r="F119" s="1" t="s">
        <v>260</v>
      </c>
      <c r="G119" s="1">
        <v>2.0</v>
      </c>
      <c r="H119" s="1" t="s">
        <v>198</v>
      </c>
      <c r="K119" s="1">
        <v>7.0</v>
      </c>
      <c r="L119" s="1">
        <v>15.0</v>
      </c>
      <c r="O119" s="1">
        <v>1.0</v>
      </c>
      <c r="Q119" s="1">
        <v>-50.0</v>
      </c>
      <c r="BK119" s="1">
        <v>0.0</v>
      </c>
      <c r="BL119" s="1">
        <v>810011.0</v>
      </c>
      <c r="BM119" s="1">
        <v>20107.0</v>
      </c>
    </row>
    <row r="120" ht="15.75" customHeight="1">
      <c r="A120" s="1">
        <v>119.0</v>
      </c>
      <c r="B120" s="1" t="s">
        <v>566</v>
      </c>
      <c r="C120" s="1">
        <v>815014.0</v>
      </c>
      <c r="H120" s="1" t="s">
        <v>198</v>
      </c>
      <c r="K120" s="1">
        <v>0.0</v>
      </c>
      <c r="Q120" s="1">
        <v>-20.0</v>
      </c>
      <c r="BH120" s="1">
        <v>10000.0</v>
      </c>
    </row>
    <row r="121" ht="15.75" customHeight="1">
      <c r="A121" s="1">
        <v>120.0</v>
      </c>
      <c r="B121" s="1" t="s">
        <v>572</v>
      </c>
      <c r="C121" s="1">
        <v>815016.0</v>
      </c>
      <c r="H121" s="1" t="s">
        <v>171</v>
      </c>
      <c r="K121" s="1">
        <v>1.0</v>
      </c>
      <c r="L121" s="1">
        <v>60.0</v>
      </c>
      <c r="W121" s="1">
        <v>150.0</v>
      </c>
      <c r="Y121" s="1">
        <v>20.0</v>
      </c>
      <c r="BJ121" s="1">
        <v>1.0</v>
      </c>
      <c r="BL121" s="1">
        <v>810001.0</v>
      </c>
      <c r="BM121" s="1">
        <v>20107.0</v>
      </c>
      <c r="BN121" s="1" t="s">
        <v>621</v>
      </c>
    </row>
    <row r="122" ht="15.75" customHeight="1">
      <c r="A122" s="1">
        <v>121.0</v>
      </c>
      <c r="B122" s="1" t="s">
        <v>576</v>
      </c>
      <c r="C122" s="1">
        <v>815024.0</v>
      </c>
      <c r="H122" s="1" t="s">
        <v>171</v>
      </c>
      <c r="K122" s="1">
        <v>4.0</v>
      </c>
      <c r="L122" s="1">
        <v>60.0</v>
      </c>
      <c r="X122" s="1">
        <v>100.0</v>
      </c>
      <c r="AK122" s="1">
        <v>0.2</v>
      </c>
      <c r="BL122" s="1">
        <v>810000.0</v>
      </c>
      <c r="BM122" s="1">
        <v>20107.0</v>
      </c>
      <c r="BN122" s="1" t="s">
        <v>624</v>
      </c>
      <c r="BO122" s="1" t="s">
        <v>626</v>
      </c>
    </row>
    <row r="123" ht="15.75" customHeight="1">
      <c r="A123" s="1">
        <v>122.0</v>
      </c>
      <c r="B123" s="1" t="s">
        <v>580</v>
      </c>
      <c r="C123" s="1">
        <v>815024.0</v>
      </c>
      <c r="H123" s="1" t="s">
        <v>171</v>
      </c>
      <c r="K123" s="1">
        <v>4.0</v>
      </c>
      <c r="L123" s="1">
        <v>90.0</v>
      </c>
      <c r="X123" s="1">
        <v>200.0</v>
      </c>
      <c r="AK123" s="1">
        <v>0.3</v>
      </c>
      <c r="BL123" s="1">
        <v>810000.0</v>
      </c>
      <c r="BM123" s="1">
        <v>20107.0</v>
      </c>
      <c r="BO123" s="1" t="s">
        <v>630</v>
      </c>
    </row>
    <row r="124" ht="15.75" customHeight="1">
      <c r="A124" s="1">
        <v>123.0</v>
      </c>
      <c r="B124" s="1" t="s">
        <v>586</v>
      </c>
      <c r="C124" s="1">
        <v>815016.0</v>
      </c>
      <c r="H124" s="1" t="s">
        <v>171</v>
      </c>
      <c r="K124" s="1">
        <v>1.0</v>
      </c>
      <c r="L124" s="1">
        <v>90.0</v>
      </c>
      <c r="W124" s="1">
        <v>300.0</v>
      </c>
      <c r="Y124" s="1">
        <v>40.0</v>
      </c>
      <c r="BJ124" s="1">
        <v>1.0</v>
      </c>
      <c r="BL124" s="1">
        <v>810001.0</v>
      </c>
      <c r="BM124" s="1">
        <v>20107.0</v>
      </c>
      <c r="BO124" s="1" t="s">
        <v>636</v>
      </c>
    </row>
    <row r="125" ht="15.75" customHeight="1">
      <c r="A125" s="1">
        <v>124.0</v>
      </c>
      <c r="B125" s="1" t="s">
        <v>590</v>
      </c>
      <c r="C125" s="1">
        <v>815048.0</v>
      </c>
      <c r="E125" s="1" t="s">
        <v>231</v>
      </c>
      <c r="H125" s="1" t="s">
        <v>171</v>
      </c>
      <c r="K125" s="1">
        <v>13.0</v>
      </c>
      <c r="L125" s="1">
        <v>30.0</v>
      </c>
      <c r="BL125" s="1">
        <v>810033.0</v>
      </c>
      <c r="BM125" s="1">
        <v>20107.0</v>
      </c>
      <c r="BO125" s="1" t="s">
        <v>626</v>
      </c>
      <c r="BS125" s="1">
        <v>131.0</v>
      </c>
    </row>
    <row r="126" ht="15.75" customHeight="1">
      <c r="A126" s="1">
        <v>125.0</v>
      </c>
      <c r="B126" s="1" t="s">
        <v>597</v>
      </c>
      <c r="C126" s="1">
        <v>815041.0</v>
      </c>
      <c r="H126" s="1" t="s">
        <v>171</v>
      </c>
      <c r="K126" s="1">
        <v>13.0</v>
      </c>
      <c r="L126" s="1">
        <v>60.0</v>
      </c>
      <c r="BL126" s="1">
        <v>810014.0</v>
      </c>
      <c r="BM126" s="1">
        <v>20107.0</v>
      </c>
      <c r="BO126" s="1" t="s">
        <v>641</v>
      </c>
      <c r="BS126" s="1">
        <v>132.0</v>
      </c>
    </row>
    <row r="127" ht="15.75" customHeight="1">
      <c r="A127" s="1">
        <v>126.0</v>
      </c>
      <c r="B127" s="1" t="s">
        <v>606</v>
      </c>
      <c r="C127" s="1">
        <v>815010.0</v>
      </c>
      <c r="F127" s="1" t="s">
        <v>191</v>
      </c>
      <c r="G127" s="1">
        <v>1.0</v>
      </c>
      <c r="H127" s="1" t="s">
        <v>193</v>
      </c>
      <c r="K127" s="1">
        <v>0.0</v>
      </c>
      <c r="M127" s="1">
        <v>1.0</v>
      </c>
      <c r="O127" s="1">
        <v>1.0</v>
      </c>
      <c r="Q127" s="1" t="s">
        <v>646</v>
      </c>
    </row>
    <row r="128" ht="15.75" customHeight="1">
      <c r="A128" s="1">
        <v>127.0</v>
      </c>
      <c r="B128" s="1" t="s">
        <v>612</v>
      </c>
      <c r="C128" s="1">
        <v>815021.0</v>
      </c>
      <c r="H128" s="1" t="s">
        <v>171</v>
      </c>
      <c r="K128" s="1">
        <v>1.0</v>
      </c>
      <c r="L128" s="1">
        <v>60.0</v>
      </c>
      <c r="Z128" s="1">
        <v>100.0</v>
      </c>
      <c r="AK128" s="1">
        <v>0.3</v>
      </c>
      <c r="BL128" s="1">
        <v>810021.0</v>
      </c>
      <c r="BM128" s="1">
        <v>20107.0</v>
      </c>
      <c r="BO128" s="1" t="s">
        <v>651</v>
      </c>
    </row>
    <row r="129" ht="15.75" customHeight="1">
      <c r="A129" s="1">
        <v>128.0</v>
      </c>
      <c r="B129" s="1" t="s">
        <v>616</v>
      </c>
      <c r="C129" s="1">
        <v>815010.0</v>
      </c>
      <c r="F129" s="1" t="s">
        <v>191</v>
      </c>
      <c r="G129" s="1">
        <v>1.0</v>
      </c>
      <c r="H129" s="1" t="s">
        <v>193</v>
      </c>
      <c r="K129" s="1">
        <v>0.0</v>
      </c>
      <c r="M129" s="1">
        <v>1.0</v>
      </c>
      <c r="O129" s="1">
        <v>1.0</v>
      </c>
      <c r="Q129" s="1" t="s">
        <v>656</v>
      </c>
    </row>
    <row r="130" ht="15.75" customHeight="1">
      <c r="A130" s="1">
        <v>129.0</v>
      </c>
      <c r="B130" s="1" t="s">
        <v>618</v>
      </c>
      <c r="C130" s="1">
        <v>815001.0</v>
      </c>
      <c r="E130" s="1" t="s">
        <v>231</v>
      </c>
      <c r="F130" s="1" t="s">
        <v>260</v>
      </c>
      <c r="G130" s="1">
        <v>3.0</v>
      </c>
      <c r="H130" s="1" t="s">
        <v>198</v>
      </c>
      <c r="K130" s="1">
        <v>7.0</v>
      </c>
      <c r="L130" s="1">
        <v>20.0</v>
      </c>
      <c r="O130" s="1">
        <v>1.0</v>
      </c>
      <c r="Q130" s="1">
        <v>-70.0</v>
      </c>
      <c r="BK130" s="1">
        <v>0.0</v>
      </c>
      <c r="BL130" s="1">
        <v>810011.0</v>
      </c>
      <c r="BM130" s="1">
        <v>20107.0</v>
      </c>
    </row>
    <row r="131" ht="15.75" customHeight="1">
      <c r="A131" s="1">
        <v>130.0</v>
      </c>
      <c r="B131" s="1" t="s">
        <v>622</v>
      </c>
      <c r="C131" s="1">
        <v>815040.0</v>
      </c>
      <c r="F131" s="1" t="s">
        <v>260</v>
      </c>
      <c r="G131" s="1">
        <v>4.0</v>
      </c>
      <c r="H131" s="1" t="s">
        <v>198</v>
      </c>
      <c r="K131" s="1">
        <v>7.0</v>
      </c>
      <c r="L131" s="1">
        <v>30.0</v>
      </c>
      <c r="O131" s="1">
        <v>1.0</v>
      </c>
      <c r="Q131" s="1">
        <v>-100.0</v>
      </c>
      <c r="BK131" s="1">
        <v>0.0</v>
      </c>
      <c r="BL131" s="1">
        <v>810011.0</v>
      </c>
      <c r="BM131" s="1">
        <v>20107.0</v>
      </c>
    </row>
    <row r="132" ht="15.75" customHeight="1">
      <c r="A132" s="1">
        <v>131.0</v>
      </c>
      <c r="B132" s="1" t="s">
        <v>666</v>
      </c>
      <c r="C132" s="1">
        <v>815048.0</v>
      </c>
      <c r="E132" s="1" t="s">
        <v>231</v>
      </c>
      <c r="F132" s="1" t="s">
        <v>249</v>
      </c>
      <c r="G132" s="1">
        <v>1.0</v>
      </c>
      <c r="H132" s="1" t="s">
        <v>193</v>
      </c>
      <c r="K132" s="1">
        <v>0.0</v>
      </c>
      <c r="O132" s="1">
        <v>1.0</v>
      </c>
      <c r="Q132" s="1" t="s">
        <v>195</v>
      </c>
    </row>
    <row r="133" ht="15.75" customHeight="1">
      <c r="A133" s="1">
        <v>132.0</v>
      </c>
      <c r="B133" s="1" t="s">
        <v>672</v>
      </c>
      <c r="C133" s="1">
        <v>815027.0</v>
      </c>
      <c r="F133" s="1" t="s">
        <v>191</v>
      </c>
      <c r="G133" s="1">
        <v>1.0</v>
      </c>
      <c r="H133" s="1" t="s">
        <v>193</v>
      </c>
      <c r="K133" s="1">
        <v>3.0</v>
      </c>
      <c r="L133" s="1">
        <v>18.0</v>
      </c>
      <c r="Q133" s="1">
        <v>-35.0</v>
      </c>
    </row>
    <row r="134" ht="15.75" customHeight="1">
      <c r="A134" s="1">
        <v>133.0</v>
      </c>
      <c r="B134" s="1" t="s">
        <v>628</v>
      </c>
      <c r="C134" s="1">
        <v>815046.0</v>
      </c>
      <c r="H134" s="1" t="s">
        <v>171</v>
      </c>
      <c r="K134" s="1">
        <v>0.0</v>
      </c>
      <c r="R134" s="1" t="s">
        <v>676</v>
      </c>
    </row>
    <row r="135" ht="15.75" customHeight="1">
      <c r="A135" s="1">
        <v>134.0</v>
      </c>
      <c r="B135" s="1" t="s">
        <v>635</v>
      </c>
      <c r="C135" s="1">
        <v>815032.0</v>
      </c>
      <c r="H135" s="1" t="s">
        <v>193</v>
      </c>
      <c r="K135" s="1">
        <v>0.0</v>
      </c>
      <c r="O135" s="1">
        <v>1.0</v>
      </c>
      <c r="Q135" s="1" t="s">
        <v>679</v>
      </c>
    </row>
    <row r="136" ht="15.75" customHeight="1">
      <c r="A136" s="1">
        <v>135.0</v>
      </c>
      <c r="B136" s="1" t="s">
        <v>644</v>
      </c>
      <c r="C136" s="1">
        <v>815043.0</v>
      </c>
      <c r="E136" s="1" t="s">
        <v>231</v>
      </c>
      <c r="F136" s="1" t="s">
        <v>249</v>
      </c>
      <c r="G136" s="1">
        <v>1.0</v>
      </c>
      <c r="H136" s="1" t="s">
        <v>193</v>
      </c>
      <c r="K136" s="1">
        <v>0.0</v>
      </c>
      <c r="O136" s="1">
        <v>1.0</v>
      </c>
      <c r="Q136" s="1" t="s">
        <v>684</v>
      </c>
    </row>
    <row r="137" ht="15.75" customHeight="1">
      <c r="A137" s="1">
        <v>136.0</v>
      </c>
      <c r="B137" s="1" t="s">
        <v>649</v>
      </c>
      <c r="C137" s="1">
        <v>815009.0</v>
      </c>
      <c r="E137" s="1" t="s">
        <v>231</v>
      </c>
      <c r="F137" s="1" t="s">
        <v>191</v>
      </c>
      <c r="G137" s="1">
        <v>1.0</v>
      </c>
      <c r="H137" s="1" t="s">
        <v>193</v>
      </c>
      <c r="K137" s="1">
        <v>0.0</v>
      </c>
      <c r="M137" s="1">
        <v>1.0</v>
      </c>
      <c r="O137" s="1">
        <v>1.0</v>
      </c>
      <c r="Q137" s="1" t="s">
        <v>688</v>
      </c>
    </row>
    <row r="138" ht="15.75" customHeight="1">
      <c r="A138" s="1">
        <v>137.0</v>
      </c>
      <c r="B138" s="1" t="s">
        <v>655</v>
      </c>
      <c r="C138" s="1">
        <v>815008.0</v>
      </c>
      <c r="E138" s="1" t="s">
        <v>231</v>
      </c>
      <c r="F138" s="1" t="s">
        <v>191</v>
      </c>
      <c r="G138" s="1">
        <v>1.0</v>
      </c>
      <c r="H138" s="1" t="s">
        <v>193</v>
      </c>
      <c r="K138" s="1">
        <v>0.0</v>
      </c>
      <c r="M138" s="1">
        <v>1.0</v>
      </c>
      <c r="O138" s="1">
        <v>1.0</v>
      </c>
      <c r="Q138" s="1" t="s">
        <v>693</v>
      </c>
    </row>
    <row r="139" ht="15.75" customHeight="1">
      <c r="A139" s="1">
        <v>138.0</v>
      </c>
      <c r="B139" s="1" t="s">
        <v>660</v>
      </c>
      <c r="C139" s="1">
        <v>815020.0</v>
      </c>
      <c r="H139" s="1" t="s">
        <v>171</v>
      </c>
      <c r="K139" s="1">
        <v>1.0</v>
      </c>
      <c r="L139" s="1">
        <v>45.0</v>
      </c>
      <c r="AI139" s="1">
        <v>0.08</v>
      </c>
      <c r="BL139" s="1">
        <v>810005.0</v>
      </c>
      <c r="BM139" s="1">
        <v>20107.0</v>
      </c>
      <c r="BO139" s="1" t="s">
        <v>699</v>
      </c>
    </row>
    <row r="140" ht="15.75" customHeight="1">
      <c r="A140" s="1">
        <v>139.0</v>
      </c>
      <c r="B140" s="1" t="s">
        <v>664</v>
      </c>
      <c r="C140" s="1">
        <v>815028.0</v>
      </c>
      <c r="H140" s="1" t="s">
        <v>180</v>
      </c>
      <c r="I140" s="1">
        <v>50.0</v>
      </c>
      <c r="K140" s="1">
        <v>0.0</v>
      </c>
      <c r="O140" s="1">
        <v>1.0</v>
      </c>
      <c r="Q140" s="1" t="s">
        <v>702</v>
      </c>
      <c r="BJ140" s="1">
        <v>1.0</v>
      </c>
    </row>
    <row r="141" ht="15.75" customHeight="1">
      <c r="A141" s="1">
        <v>140.0</v>
      </c>
      <c r="B141" s="1" t="s">
        <v>704</v>
      </c>
      <c r="H141" s="1" t="s">
        <v>171</v>
      </c>
      <c r="K141" s="1">
        <v>1.0</v>
      </c>
      <c r="AP141" s="1">
        <v>0.1</v>
      </c>
      <c r="BJ141" s="1">
        <v>1.0</v>
      </c>
      <c r="BL141" s="1">
        <v>810035.0</v>
      </c>
      <c r="BM141" s="1">
        <v>20107.0</v>
      </c>
    </row>
    <row r="142" ht="15.75" customHeight="1">
      <c r="A142" s="1">
        <v>141.0</v>
      </c>
      <c r="B142" s="1" t="s">
        <v>708</v>
      </c>
      <c r="C142" s="1">
        <v>815012.0</v>
      </c>
      <c r="H142" s="1" t="s">
        <v>180</v>
      </c>
      <c r="K142" s="1">
        <v>5.0</v>
      </c>
      <c r="BE142" s="1">
        <v>35.0</v>
      </c>
      <c r="BF142" s="1">
        <v>82.0</v>
      </c>
      <c r="BG142" s="1">
        <v>33.0</v>
      </c>
      <c r="BJ142" s="1">
        <v>1.0</v>
      </c>
    </row>
    <row r="143" ht="15.75" customHeight="1">
      <c r="A143" s="1">
        <v>142.0</v>
      </c>
      <c r="B143" s="1" t="s">
        <v>712</v>
      </c>
      <c r="H143" s="1" t="s">
        <v>171</v>
      </c>
      <c r="K143" s="1">
        <v>1.0</v>
      </c>
      <c r="AK143" s="1">
        <v>0.3</v>
      </c>
      <c r="BJ143" s="1">
        <v>1.0</v>
      </c>
      <c r="BL143" s="1">
        <v>810027.0</v>
      </c>
      <c r="BM143" s="1">
        <v>20107.0</v>
      </c>
    </row>
    <row r="144" ht="15.75" customHeight="1">
      <c r="A144" s="1">
        <v>143.0</v>
      </c>
      <c r="B144" s="1" t="s">
        <v>673</v>
      </c>
      <c r="C144" s="1">
        <v>815015.0</v>
      </c>
      <c r="H144" s="1" t="s">
        <v>180</v>
      </c>
      <c r="K144" s="1">
        <v>0.0</v>
      </c>
      <c r="O144" s="1">
        <v>1.0</v>
      </c>
      <c r="Q144" s="1">
        <v>5000.0</v>
      </c>
      <c r="BJ144" s="1">
        <v>1.0</v>
      </c>
    </row>
    <row r="145" ht="15.75" customHeight="1">
      <c r="A145" s="1">
        <v>144.0</v>
      </c>
      <c r="B145" s="1" t="s">
        <v>678</v>
      </c>
      <c r="C145" s="1">
        <v>815038.0</v>
      </c>
      <c r="F145" s="1" t="s">
        <v>260</v>
      </c>
      <c r="G145" s="1">
        <v>5.0</v>
      </c>
      <c r="H145" s="1" t="s">
        <v>198</v>
      </c>
      <c r="K145" s="1">
        <v>8.0</v>
      </c>
      <c r="L145" s="1">
        <v>25.0</v>
      </c>
      <c r="BK145" s="1">
        <v>0.0</v>
      </c>
      <c r="BL145" s="1">
        <v>810024.0</v>
      </c>
      <c r="BM145" s="1">
        <v>20107.0</v>
      </c>
    </row>
    <row r="146" ht="15.75" customHeight="1">
      <c r="A146" s="1">
        <v>145.0</v>
      </c>
      <c r="B146" s="1" t="s">
        <v>683</v>
      </c>
      <c r="C146" s="1">
        <v>815016.0</v>
      </c>
      <c r="H146" s="1" t="s">
        <v>171</v>
      </c>
      <c r="K146" s="1">
        <v>1.0</v>
      </c>
      <c r="L146" s="1">
        <v>180.0</v>
      </c>
      <c r="T146" s="1">
        <v>30000.0</v>
      </c>
      <c r="BJ146" s="1">
        <v>1.0</v>
      </c>
      <c r="BL146" s="1">
        <v>810011.0</v>
      </c>
      <c r="BM146" s="1">
        <v>20107.0</v>
      </c>
    </row>
    <row r="147" ht="15.75" customHeight="1">
      <c r="A147" s="1">
        <v>146.0</v>
      </c>
      <c r="B147" s="1" t="s">
        <v>689</v>
      </c>
      <c r="C147" s="1">
        <v>815026.0</v>
      </c>
      <c r="H147" s="1" t="s">
        <v>171</v>
      </c>
      <c r="K147" s="1">
        <v>1.0</v>
      </c>
      <c r="L147" s="1">
        <v>240.0</v>
      </c>
      <c r="AM147" s="1">
        <v>0.05</v>
      </c>
      <c r="BJ147" s="1">
        <v>1.0</v>
      </c>
      <c r="BL147" s="1">
        <v>810035.0</v>
      </c>
      <c r="BM147" s="1">
        <v>20107.0</v>
      </c>
    </row>
    <row r="148" ht="15.75" customHeight="1">
      <c r="A148" s="1">
        <v>147.0</v>
      </c>
      <c r="B148" s="1" t="s">
        <v>695</v>
      </c>
      <c r="C148" s="1">
        <v>815041.0</v>
      </c>
      <c r="H148" s="1" t="s">
        <v>171</v>
      </c>
      <c r="K148" s="1">
        <v>1.0</v>
      </c>
      <c r="L148" s="1">
        <v>120.0</v>
      </c>
      <c r="AM148" s="1">
        <v>0.1</v>
      </c>
      <c r="AP148" s="1">
        <v>0.1</v>
      </c>
      <c r="BJ148" s="1">
        <v>1.0</v>
      </c>
      <c r="BL148" s="1">
        <v>810035.0</v>
      </c>
      <c r="BM148" s="1">
        <v>20107.0</v>
      </c>
    </row>
    <row r="149" ht="15.75" customHeight="1">
      <c r="A149" s="1">
        <v>148.0</v>
      </c>
      <c r="B149" s="1" t="s">
        <v>700</v>
      </c>
      <c r="C149" s="1">
        <v>815044.0</v>
      </c>
      <c r="F149" s="1" t="s">
        <v>260</v>
      </c>
      <c r="G149" s="1">
        <v>4.0</v>
      </c>
      <c r="H149" s="1" t="s">
        <v>180</v>
      </c>
      <c r="I149" s="1">
        <v>50.0</v>
      </c>
      <c r="K149" s="1">
        <v>1.0</v>
      </c>
      <c r="L149" s="1">
        <v>300.0</v>
      </c>
      <c r="T149" s="1">
        <v>2500.0</v>
      </c>
      <c r="U149" s="1">
        <v>2500.0</v>
      </c>
      <c r="BJ149" s="1">
        <v>1.0</v>
      </c>
      <c r="BL149" s="1">
        <v>810030.0</v>
      </c>
      <c r="BM149" s="1">
        <v>20107.0</v>
      </c>
    </row>
    <row r="150" ht="15.75" customHeight="1">
      <c r="A150" s="1">
        <v>149.0</v>
      </c>
      <c r="B150" s="1" t="s">
        <v>706</v>
      </c>
      <c r="C150" s="1">
        <v>815052.0</v>
      </c>
      <c r="H150" s="1" t="s">
        <v>171</v>
      </c>
      <c r="K150" s="1">
        <v>1.0</v>
      </c>
      <c r="L150" s="1">
        <v>180.0</v>
      </c>
      <c r="AL150" s="1">
        <v>0.25</v>
      </c>
      <c r="BJ150" s="1">
        <v>1.0</v>
      </c>
      <c r="BL150" s="1">
        <v>810035.0</v>
      </c>
      <c r="BM150" s="1">
        <v>20107.0</v>
      </c>
    </row>
    <row r="151" ht="15.75" customHeight="1">
      <c r="A151" s="1">
        <v>150.0</v>
      </c>
      <c r="B151" s="1" t="s">
        <v>714</v>
      </c>
      <c r="C151" s="1">
        <v>815052.0</v>
      </c>
      <c r="H151" s="1" t="s">
        <v>171</v>
      </c>
      <c r="K151" s="1">
        <v>1.0</v>
      </c>
      <c r="L151" s="1">
        <v>180.0</v>
      </c>
      <c r="AL151" s="1">
        <v>0.05</v>
      </c>
      <c r="BJ151" s="1">
        <v>1.0</v>
      </c>
      <c r="BL151" s="1">
        <v>810000.0</v>
      </c>
      <c r="BM151" s="1">
        <v>20107.0</v>
      </c>
    </row>
    <row r="152" ht="15.75" customHeight="1">
      <c r="A152" s="1">
        <v>151.0</v>
      </c>
      <c r="B152" s="1" t="s">
        <v>719</v>
      </c>
      <c r="C152" s="1">
        <v>815014.0</v>
      </c>
      <c r="H152" s="1" t="s">
        <v>198</v>
      </c>
      <c r="K152" s="1">
        <v>0.0</v>
      </c>
      <c r="Q152" s="1">
        <v>-10.0</v>
      </c>
      <c r="BH152" s="1">
        <v>100000.0</v>
      </c>
      <c r="BL152" s="1">
        <v>810000.0</v>
      </c>
      <c r="BM152" s="1">
        <v>20107.0</v>
      </c>
    </row>
    <row r="153" ht="15.75" customHeight="1">
      <c r="A153" s="1">
        <v>152.0</v>
      </c>
      <c r="B153" s="1" t="s">
        <v>723</v>
      </c>
      <c r="C153" s="1">
        <v>815014.0</v>
      </c>
      <c r="H153" s="1" t="s">
        <v>571</v>
      </c>
      <c r="I153" s="1">
        <v>50.0</v>
      </c>
      <c r="K153" s="1">
        <v>0.0</v>
      </c>
      <c r="R153" s="1">
        <v>5000.0</v>
      </c>
      <c r="BJ153" s="1">
        <v>1.0</v>
      </c>
      <c r="BL153" s="1">
        <v>810007.0</v>
      </c>
      <c r="BM153" s="1">
        <v>20107.0</v>
      </c>
    </row>
    <row r="154" ht="15.75" customHeight="1">
      <c r="A154" s="1">
        <v>153.0</v>
      </c>
      <c r="B154" s="1" t="s">
        <v>727</v>
      </c>
      <c r="C154" s="1">
        <v>815051.0</v>
      </c>
      <c r="E154" s="1" t="s">
        <v>231</v>
      </c>
      <c r="F154" s="1" t="s">
        <v>260</v>
      </c>
      <c r="G154" s="1">
        <v>7.0</v>
      </c>
      <c r="H154" s="1" t="s">
        <v>198</v>
      </c>
      <c r="K154" s="1">
        <v>7.0</v>
      </c>
      <c r="L154" s="1">
        <v>30.0</v>
      </c>
      <c r="BL154" s="1">
        <v>810026.0</v>
      </c>
      <c r="BM154" s="1">
        <v>20107.0</v>
      </c>
    </row>
    <row r="155" ht="15.75" customHeight="1">
      <c r="A155" s="1">
        <v>154.0</v>
      </c>
      <c r="B155" s="1" t="s">
        <v>732</v>
      </c>
      <c r="C155" s="1">
        <v>815015.0</v>
      </c>
      <c r="H155" s="1" t="s">
        <v>180</v>
      </c>
      <c r="K155" s="1">
        <v>0.0</v>
      </c>
      <c r="O155" s="1">
        <v>1.0</v>
      </c>
      <c r="Q155" s="1">
        <v>300.0</v>
      </c>
      <c r="BJ155" s="1">
        <v>1.0</v>
      </c>
      <c r="BL155" s="1">
        <v>810006.0</v>
      </c>
      <c r="BM155" s="1">
        <v>20107.0</v>
      </c>
    </row>
    <row r="156" ht="15.75" customHeight="1">
      <c r="A156" s="1">
        <v>155.0</v>
      </c>
      <c r="B156" s="1" t="s">
        <v>736</v>
      </c>
      <c r="C156" s="1">
        <v>815038.0</v>
      </c>
      <c r="F156" s="1" t="s">
        <v>191</v>
      </c>
      <c r="G156" s="1">
        <v>1.0</v>
      </c>
      <c r="H156" s="1" t="s">
        <v>198</v>
      </c>
      <c r="K156" s="1">
        <v>8.0</v>
      </c>
      <c r="L156" s="1">
        <v>25.0</v>
      </c>
      <c r="BJ156" s="1">
        <v>1.0</v>
      </c>
      <c r="BL156" s="1">
        <v>810024.0</v>
      </c>
      <c r="BM156" s="1">
        <v>20107.0</v>
      </c>
    </row>
    <row r="157" ht="15.75" customHeight="1">
      <c r="A157" s="1">
        <v>156.0</v>
      </c>
      <c r="B157" s="1" t="s">
        <v>755</v>
      </c>
      <c r="G157" s="1">
        <v>1.0</v>
      </c>
      <c r="H157" s="1" t="s">
        <v>171</v>
      </c>
      <c r="K157" s="1">
        <v>2.0</v>
      </c>
      <c r="AW157" s="1">
        <v>40.0</v>
      </c>
      <c r="AX157" s="1">
        <v>255.0</v>
      </c>
      <c r="AZ157" s="1">
        <v>160.0</v>
      </c>
    </row>
    <row r="158" ht="15.75" customHeight="1">
      <c r="A158" s="1">
        <v>157.0</v>
      </c>
      <c r="B158" s="1" t="s">
        <v>761</v>
      </c>
      <c r="G158" s="1">
        <v>1.0</v>
      </c>
      <c r="H158" s="1" t="s">
        <v>171</v>
      </c>
      <c r="K158" s="1">
        <v>2.0</v>
      </c>
      <c r="AW158" s="1">
        <v>255.0</v>
      </c>
      <c r="AX158" s="1">
        <v>255.0</v>
      </c>
      <c r="AY158" s="1">
        <v>255.0</v>
      </c>
      <c r="AZ158" s="1">
        <v>180.0</v>
      </c>
    </row>
    <row r="159" ht="15.75" customHeight="1">
      <c r="A159" s="1">
        <v>158.0</v>
      </c>
      <c r="B159" s="1" t="s">
        <v>764</v>
      </c>
      <c r="G159" s="1">
        <v>1.0</v>
      </c>
      <c r="H159" s="1" t="s">
        <v>171</v>
      </c>
      <c r="K159" s="1">
        <v>2.0</v>
      </c>
      <c r="AW159" s="1">
        <v>148.0</v>
      </c>
      <c r="AZ159" s="1">
        <v>209.0</v>
      </c>
    </row>
    <row r="160" ht="15.75" customHeight="1">
      <c r="A160" s="1">
        <v>159.0</v>
      </c>
      <c r="B160" s="1" t="s">
        <v>767</v>
      </c>
      <c r="G160" s="1">
        <v>1.0</v>
      </c>
      <c r="H160" s="1" t="s">
        <v>171</v>
      </c>
      <c r="K160" s="1">
        <v>2.0</v>
      </c>
      <c r="AW160" s="1">
        <v>164.0</v>
      </c>
      <c r="AX160" s="1">
        <v>219.0</v>
      </c>
      <c r="AY160" s="1">
        <v>247.0</v>
      </c>
      <c r="AZ160" s="1">
        <v>200.0</v>
      </c>
    </row>
    <row r="161" ht="15.75" customHeight="1">
      <c r="A161" s="1">
        <v>160.0</v>
      </c>
      <c r="B161" s="1" t="s">
        <v>771</v>
      </c>
      <c r="H161" s="1" t="s">
        <v>171</v>
      </c>
      <c r="K161" s="1">
        <v>1.0</v>
      </c>
      <c r="AH161" s="1">
        <v>1000.0</v>
      </c>
      <c r="BJ161" s="1">
        <v>1.0</v>
      </c>
      <c r="BL161" s="1">
        <v>810008.0</v>
      </c>
      <c r="BM161" s="1">
        <v>20107.0</v>
      </c>
    </row>
    <row r="162" ht="15.75" customHeight="1">
      <c r="A162" s="1">
        <v>161.0</v>
      </c>
      <c r="B162" s="1" t="s">
        <v>775</v>
      </c>
      <c r="H162" s="1" t="s">
        <v>171</v>
      </c>
      <c r="K162" s="1">
        <v>1.0</v>
      </c>
      <c r="AJ162" s="1">
        <v>1000.0</v>
      </c>
      <c r="BJ162" s="1">
        <v>1.0</v>
      </c>
      <c r="BL162" s="1">
        <v>810032.0</v>
      </c>
      <c r="BM162" s="1">
        <v>20107.0</v>
      </c>
    </row>
    <row r="163" ht="15.75" customHeight="1">
      <c r="A163" s="1">
        <v>162.0</v>
      </c>
      <c r="B163" s="1" t="s">
        <v>779</v>
      </c>
      <c r="C163" s="1">
        <v>815041.0</v>
      </c>
      <c r="H163" s="1" t="s">
        <v>171</v>
      </c>
      <c r="K163" s="1">
        <v>13.0</v>
      </c>
      <c r="BL163" s="1">
        <v>810014.0</v>
      </c>
      <c r="BM163" s="1">
        <v>20107.0</v>
      </c>
      <c r="BS163" s="1">
        <v>163.0</v>
      </c>
      <c r="BT163" s="1">
        <v>75.0</v>
      </c>
    </row>
    <row r="164" ht="15.75" customHeight="1">
      <c r="A164" s="1">
        <v>163.0</v>
      </c>
      <c r="B164" s="1" t="s">
        <v>779</v>
      </c>
      <c r="C164" s="1">
        <v>815027.0</v>
      </c>
      <c r="F164" s="1" t="s">
        <v>191</v>
      </c>
      <c r="G164" s="1">
        <v>1.0</v>
      </c>
      <c r="H164" s="1" t="s">
        <v>193</v>
      </c>
      <c r="K164" s="1">
        <v>3.0</v>
      </c>
      <c r="L164" s="1">
        <v>20.0</v>
      </c>
      <c r="Q164" s="1">
        <v>-500.0</v>
      </c>
    </row>
    <row r="165" ht="15.75" customHeight="1">
      <c r="A165" s="1">
        <v>164.0</v>
      </c>
      <c r="B165" s="1" t="s">
        <v>784</v>
      </c>
      <c r="H165" s="1" t="s">
        <v>171</v>
      </c>
      <c r="K165" s="1">
        <v>1.0</v>
      </c>
      <c r="AL165" s="1">
        <v>0.13</v>
      </c>
      <c r="BJ165" s="1">
        <v>1.0</v>
      </c>
      <c r="BL165" s="1">
        <v>810035.0</v>
      </c>
      <c r="BM165" s="1">
        <v>20107.0</v>
      </c>
    </row>
    <row r="166" ht="15.75" customHeight="1">
      <c r="A166" s="1">
        <v>165.0</v>
      </c>
      <c r="B166" s="1" t="s">
        <v>740</v>
      </c>
      <c r="C166" s="1">
        <v>815014.0</v>
      </c>
      <c r="H166" s="1" t="s">
        <v>198</v>
      </c>
      <c r="K166" s="1">
        <v>0.0</v>
      </c>
      <c r="Q166" s="1">
        <v>-200.0</v>
      </c>
      <c r="BH166" s="1">
        <v>1000000.0</v>
      </c>
      <c r="BL166" s="1">
        <v>810000.0</v>
      </c>
      <c r="BM166" s="1">
        <v>20107.0</v>
      </c>
    </row>
    <row r="167" ht="15.75" customHeight="1">
      <c r="A167" s="1">
        <v>166.0</v>
      </c>
      <c r="B167" s="1" t="s">
        <v>752</v>
      </c>
      <c r="C167" s="1">
        <v>815031.0</v>
      </c>
      <c r="E167" s="1" t="s">
        <v>231</v>
      </c>
      <c r="F167" s="1" t="s">
        <v>260</v>
      </c>
      <c r="G167" s="1">
        <v>7.0</v>
      </c>
      <c r="H167" s="1" t="s">
        <v>198</v>
      </c>
      <c r="K167" s="1">
        <v>0.0</v>
      </c>
      <c r="O167" s="1">
        <v>1.0</v>
      </c>
      <c r="Q167" s="1" t="s">
        <v>793</v>
      </c>
    </row>
    <row r="168" ht="15.75" customHeight="1">
      <c r="A168" s="1">
        <v>167.0</v>
      </c>
      <c r="B168" s="1" t="s">
        <v>749</v>
      </c>
      <c r="C168" s="1">
        <v>815026.0</v>
      </c>
      <c r="E168" s="1" t="s">
        <v>231</v>
      </c>
      <c r="F168" s="1" t="s">
        <v>431</v>
      </c>
      <c r="G168" s="1">
        <v>7.0</v>
      </c>
      <c r="H168" s="1" t="s">
        <v>198</v>
      </c>
      <c r="K168" s="1">
        <v>0.0</v>
      </c>
      <c r="O168" s="1">
        <v>1.0</v>
      </c>
      <c r="Q168" s="1" t="s">
        <v>797</v>
      </c>
    </row>
    <row r="169" ht="15.75" customHeight="1">
      <c r="A169" s="1">
        <v>168.0</v>
      </c>
      <c r="B169" s="1" t="s">
        <v>745</v>
      </c>
      <c r="C169" s="1">
        <v>815048.0</v>
      </c>
      <c r="E169" s="1" t="s">
        <v>231</v>
      </c>
      <c r="F169" s="1" t="s">
        <v>260</v>
      </c>
      <c r="G169" s="1">
        <v>7.0</v>
      </c>
      <c r="H169" s="1" t="s">
        <v>198</v>
      </c>
      <c r="K169" s="1">
        <v>0.0</v>
      </c>
      <c r="O169" s="1">
        <v>1.0</v>
      </c>
      <c r="Q169" s="1" t="s">
        <v>801</v>
      </c>
    </row>
    <row r="170" ht="15.75" customHeight="1">
      <c r="A170" s="1">
        <v>169.0</v>
      </c>
      <c r="B170" s="1" t="s">
        <v>802</v>
      </c>
      <c r="G170" s="1">
        <v>1.0</v>
      </c>
      <c r="H170" s="1" t="s">
        <v>171</v>
      </c>
      <c r="K170" s="1">
        <v>2.0</v>
      </c>
      <c r="AW170" s="1">
        <v>116.0</v>
      </c>
      <c r="AX170" s="1">
        <v>12.0</v>
      </c>
      <c r="AY170" s="1">
        <v>108.0</v>
      </c>
      <c r="AZ170" s="1">
        <v>145.0</v>
      </c>
    </row>
    <row r="171" ht="15.75" customHeight="1">
      <c r="A171" s="1">
        <v>170.0</v>
      </c>
      <c r="B171" s="1" t="s">
        <v>759</v>
      </c>
      <c r="C171" s="1">
        <v>815030.0</v>
      </c>
      <c r="H171" s="1" t="s">
        <v>180</v>
      </c>
      <c r="I171" s="1">
        <v>50.0</v>
      </c>
      <c r="K171" s="1">
        <v>4.0</v>
      </c>
      <c r="L171" s="1">
        <v>30.0</v>
      </c>
      <c r="T171" s="1">
        <v>2500.0</v>
      </c>
      <c r="U171" s="1">
        <v>2500.0</v>
      </c>
      <c r="W171" s="1">
        <v>200.0</v>
      </c>
      <c r="AG171" s="1">
        <v>0.25</v>
      </c>
      <c r="AI171" s="1">
        <v>0.25</v>
      </c>
      <c r="AL171" s="1">
        <v>0.25</v>
      </c>
      <c r="AM171" s="1">
        <v>0.25</v>
      </c>
      <c r="BJ171" s="1">
        <v>1.0</v>
      </c>
      <c r="BL171" s="1">
        <v>810035.0</v>
      </c>
      <c r="BM171" s="1">
        <v>20107.0</v>
      </c>
      <c r="BN171" s="1" t="s">
        <v>808</v>
      </c>
      <c r="BO171" s="1" t="s">
        <v>809</v>
      </c>
    </row>
    <row r="172" ht="15.75" customHeight="1">
      <c r="A172" s="1">
        <v>171.0</v>
      </c>
      <c r="B172" s="1" t="s">
        <v>765</v>
      </c>
      <c r="C172" s="1">
        <v>815014.0</v>
      </c>
      <c r="H172" s="1" t="s">
        <v>180</v>
      </c>
      <c r="I172" s="1">
        <v>50.0</v>
      </c>
      <c r="K172" s="1">
        <v>4.0</v>
      </c>
      <c r="L172" s="1">
        <v>20.0</v>
      </c>
      <c r="T172" s="1">
        <v>1000.0</v>
      </c>
      <c r="U172" s="1">
        <v>1000.0</v>
      </c>
      <c r="W172" s="1">
        <v>100.0</v>
      </c>
      <c r="AG172" s="1">
        <v>0.1</v>
      </c>
      <c r="AI172" s="1">
        <v>0.1</v>
      </c>
      <c r="AL172" s="1">
        <v>0.1</v>
      </c>
      <c r="AM172" s="1">
        <v>0.1</v>
      </c>
      <c r="BJ172" s="1">
        <v>1.0</v>
      </c>
      <c r="BL172" s="1">
        <v>810007.0</v>
      </c>
      <c r="BM172" s="1">
        <v>20107.0</v>
      </c>
      <c r="BN172" s="1" t="s">
        <v>813</v>
      </c>
    </row>
    <row r="173" ht="15.75" customHeight="1">
      <c r="A173" s="1">
        <v>172.0</v>
      </c>
      <c r="B173" s="1" t="s">
        <v>815</v>
      </c>
      <c r="C173" s="1">
        <v>815012.0</v>
      </c>
      <c r="H173" s="1" t="s">
        <v>180</v>
      </c>
      <c r="I173" s="1">
        <v>50.0</v>
      </c>
      <c r="K173" s="1">
        <v>5.0</v>
      </c>
      <c r="BE173" s="1">
        <v>24.0</v>
      </c>
      <c r="BF173" s="1">
        <v>5.0</v>
      </c>
      <c r="BG173" s="1">
        <v>92.0</v>
      </c>
      <c r="BJ173" s="1">
        <v>1.0</v>
      </c>
    </row>
    <row r="174" ht="15.75" customHeight="1">
      <c r="A174" s="1">
        <v>173.0</v>
      </c>
      <c r="B174" s="1" t="s">
        <v>818</v>
      </c>
      <c r="H174" s="1" t="s">
        <v>171</v>
      </c>
      <c r="K174" s="1">
        <v>1.0</v>
      </c>
      <c r="AP174" s="1">
        <v>0.01</v>
      </c>
      <c r="BJ174" s="1">
        <v>1.0</v>
      </c>
      <c r="BL174" s="1">
        <v>810035.0</v>
      </c>
      <c r="BM174" s="1">
        <v>20107.0</v>
      </c>
    </row>
    <row r="175" ht="15.75" customHeight="1">
      <c r="A175" s="1">
        <v>174.0</v>
      </c>
      <c r="B175" s="1" t="s">
        <v>822</v>
      </c>
      <c r="H175" s="1" t="s">
        <v>171</v>
      </c>
      <c r="K175" s="1">
        <v>1.0</v>
      </c>
      <c r="AP175" s="1">
        <v>0.02</v>
      </c>
      <c r="BJ175" s="1">
        <v>1.0</v>
      </c>
      <c r="BL175" s="1">
        <v>810035.0</v>
      </c>
      <c r="BM175" s="1">
        <v>20107.0</v>
      </c>
    </row>
    <row r="176" ht="15.75" customHeight="1">
      <c r="A176" s="1">
        <v>175.0</v>
      </c>
      <c r="B176" s="1" t="s">
        <v>825</v>
      </c>
      <c r="H176" s="1" t="s">
        <v>171</v>
      </c>
      <c r="K176" s="1">
        <v>1.0</v>
      </c>
      <c r="AP176" s="1">
        <v>0.03</v>
      </c>
      <c r="BJ176" s="1">
        <v>1.0</v>
      </c>
      <c r="BL176" s="1">
        <v>810035.0</v>
      </c>
      <c r="BM176" s="1">
        <v>20107.0</v>
      </c>
    </row>
    <row r="177" ht="15.75" customHeight="1">
      <c r="A177" s="1">
        <v>176.0</v>
      </c>
      <c r="B177" s="1" t="s">
        <v>828</v>
      </c>
      <c r="H177" s="1" t="s">
        <v>171</v>
      </c>
      <c r="K177" s="1">
        <v>1.0</v>
      </c>
      <c r="AP177" s="1">
        <v>0.04</v>
      </c>
      <c r="BJ177" s="1">
        <v>1.0</v>
      </c>
      <c r="BL177" s="1">
        <v>810035.0</v>
      </c>
      <c r="BM177" s="1">
        <v>20107.0</v>
      </c>
    </row>
    <row r="178" ht="15.75" customHeight="1">
      <c r="A178" s="1">
        <v>177.0</v>
      </c>
      <c r="B178" s="1" t="s">
        <v>832</v>
      </c>
      <c r="H178" s="1" t="s">
        <v>171</v>
      </c>
      <c r="K178" s="1">
        <v>1.0</v>
      </c>
      <c r="AP178" s="1">
        <v>0.05</v>
      </c>
      <c r="BJ178" s="1">
        <v>1.0</v>
      </c>
      <c r="BL178" s="1">
        <v>810035.0</v>
      </c>
      <c r="BM178" s="1">
        <v>20107.0</v>
      </c>
    </row>
    <row r="179" ht="15.75" customHeight="1">
      <c r="A179" s="1">
        <v>178.0</v>
      </c>
      <c r="B179" s="1" t="s">
        <v>769</v>
      </c>
      <c r="C179" s="1">
        <v>815014.0</v>
      </c>
      <c r="H179" s="1" t="s">
        <v>180</v>
      </c>
      <c r="I179" s="1">
        <v>50.0</v>
      </c>
      <c r="K179" s="1">
        <v>0.0</v>
      </c>
      <c r="R179" s="1">
        <v>10000.0</v>
      </c>
      <c r="BJ179" s="1">
        <v>1.0</v>
      </c>
    </row>
    <row r="180" ht="15.75" customHeight="1">
      <c r="A180" s="1">
        <v>179.0</v>
      </c>
      <c r="B180" s="1" t="s">
        <v>778</v>
      </c>
      <c r="C180" s="1">
        <v>815052.0</v>
      </c>
      <c r="H180" s="1" t="s">
        <v>180</v>
      </c>
      <c r="K180" s="1">
        <v>1.0</v>
      </c>
      <c r="L180" s="1">
        <v>240.0</v>
      </c>
      <c r="AL180" s="1">
        <v>0.1</v>
      </c>
      <c r="BJ180" s="1">
        <v>1.0</v>
      </c>
      <c r="BL180" s="1">
        <v>810035.0</v>
      </c>
      <c r="BM180" s="1">
        <v>20107.0</v>
      </c>
    </row>
    <row r="181" ht="15.75" customHeight="1">
      <c r="A181" s="1">
        <v>180.0</v>
      </c>
      <c r="B181" s="1" t="s">
        <v>782</v>
      </c>
      <c r="C181" s="1">
        <v>815026.0</v>
      </c>
      <c r="H181" s="1" t="s">
        <v>180</v>
      </c>
      <c r="K181" s="1">
        <v>1.0</v>
      </c>
      <c r="L181" s="1">
        <v>240.0</v>
      </c>
      <c r="AM181" s="1">
        <v>0.1</v>
      </c>
      <c r="BJ181" s="1">
        <v>1.0</v>
      </c>
      <c r="BL181" s="1">
        <v>810035.0</v>
      </c>
      <c r="BM181" s="1">
        <v>20107.0</v>
      </c>
    </row>
    <row r="182" ht="15.75" customHeight="1">
      <c r="A182" s="1">
        <v>181.0</v>
      </c>
      <c r="B182" s="1" t="s">
        <v>787</v>
      </c>
      <c r="C182" s="1">
        <v>815014.0</v>
      </c>
      <c r="E182" s="1" t="s">
        <v>231</v>
      </c>
      <c r="F182" s="1" t="s">
        <v>260</v>
      </c>
      <c r="G182" s="1">
        <v>4.0</v>
      </c>
      <c r="H182" s="1" t="s">
        <v>198</v>
      </c>
      <c r="K182" s="1">
        <v>0.0</v>
      </c>
      <c r="O182" s="1">
        <v>1.0</v>
      </c>
      <c r="Q182" s="1">
        <v>-1000.0</v>
      </c>
      <c r="BH182" s="1">
        <v>1000000.0</v>
      </c>
    </row>
    <row r="183" ht="15.75" customHeight="1">
      <c r="A183" s="1">
        <v>182.0</v>
      </c>
      <c r="B183" s="1" t="s">
        <v>556</v>
      </c>
      <c r="H183" s="1" t="s">
        <v>171</v>
      </c>
      <c r="K183" s="1">
        <v>1.0</v>
      </c>
      <c r="AK183" s="1">
        <v>0.3</v>
      </c>
      <c r="AR183" s="1">
        <v>160.0</v>
      </c>
      <c r="BJ183" s="1">
        <v>1.0</v>
      </c>
      <c r="BL183" s="1">
        <v>810027.0</v>
      </c>
      <c r="BM183" s="1">
        <v>20107.0</v>
      </c>
    </row>
    <row r="184" ht="15.75" customHeight="1">
      <c r="A184" s="1">
        <v>183.0</v>
      </c>
      <c r="B184" s="1" t="s">
        <v>794</v>
      </c>
      <c r="C184" s="1">
        <v>815014.0</v>
      </c>
      <c r="H184" s="1" t="s">
        <v>180</v>
      </c>
      <c r="K184" s="1">
        <v>1.0</v>
      </c>
      <c r="L184" s="1">
        <v>300.0</v>
      </c>
      <c r="AR184" s="1">
        <v>10100.0</v>
      </c>
      <c r="BJ184" s="1">
        <v>1.0</v>
      </c>
      <c r="BL184" s="1">
        <v>810007.0</v>
      </c>
      <c r="BM184" s="1">
        <v>20107.0</v>
      </c>
    </row>
    <row r="185" ht="15.75" customHeight="1">
      <c r="A185" s="1">
        <v>184.0</v>
      </c>
      <c r="B185" s="1" t="s">
        <v>799</v>
      </c>
      <c r="C185" s="1">
        <v>815014.0</v>
      </c>
      <c r="H185" s="1" t="s">
        <v>180</v>
      </c>
      <c r="K185" s="1">
        <v>1.0</v>
      </c>
      <c r="L185" s="1">
        <v>300.0</v>
      </c>
      <c r="AR185" s="1">
        <v>108.0</v>
      </c>
      <c r="BJ185" s="1">
        <v>1.0</v>
      </c>
      <c r="BL185" s="1">
        <v>810007.0</v>
      </c>
      <c r="BM185" s="1">
        <v>20107.0</v>
      </c>
    </row>
    <row r="186" ht="15.75" customHeight="1">
      <c r="A186" s="1">
        <v>185.0</v>
      </c>
      <c r="B186" s="1" t="s">
        <v>846</v>
      </c>
      <c r="C186" s="1">
        <v>815014.0</v>
      </c>
      <c r="H186" s="1" t="s">
        <v>180</v>
      </c>
      <c r="K186" s="1">
        <v>1.0</v>
      </c>
      <c r="L186" s="1">
        <v>300.0</v>
      </c>
      <c r="AR186" s="1">
        <v>120.0</v>
      </c>
      <c r="BJ186" s="1">
        <v>1.0</v>
      </c>
      <c r="BL186" s="1">
        <v>810007.0</v>
      </c>
      <c r="BM186" s="1">
        <v>20107.0</v>
      </c>
    </row>
    <row r="187" ht="15.75" customHeight="1">
      <c r="A187" s="1">
        <v>186.0</v>
      </c>
      <c r="B187" s="1" t="s">
        <v>848</v>
      </c>
      <c r="C187" s="1">
        <v>815016.0</v>
      </c>
      <c r="H187" s="1" t="s">
        <v>171</v>
      </c>
      <c r="K187" s="1">
        <v>1.0</v>
      </c>
      <c r="L187" s="1">
        <v>60.0</v>
      </c>
      <c r="W187" s="1">
        <v>500.0</v>
      </c>
      <c r="BJ187" s="1">
        <v>1.0</v>
      </c>
      <c r="BL187" s="1">
        <v>810018.0</v>
      </c>
      <c r="BM187" s="1">
        <v>20107.0</v>
      </c>
    </row>
    <row r="188" ht="15.75" customHeight="1">
      <c r="A188" s="1">
        <v>187.0</v>
      </c>
      <c r="B188" s="1" t="s">
        <v>851</v>
      </c>
      <c r="C188" s="1">
        <v>815013.0</v>
      </c>
      <c r="H188" s="1" t="s">
        <v>171</v>
      </c>
      <c r="K188" s="1">
        <v>1.0</v>
      </c>
      <c r="L188" s="1">
        <v>60.0</v>
      </c>
      <c r="X188" s="1">
        <v>1000.0</v>
      </c>
      <c r="BJ188" s="1">
        <v>1.0</v>
      </c>
      <c r="BL188" s="1">
        <v>810020.0</v>
      </c>
      <c r="BM188" s="1">
        <v>20107.0</v>
      </c>
    </row>
    <row r="189" ht="15.75" customHeight="1">
      <c r="A189" s="1">
        <v>188.0</v>
      </c>
      <c r="B189" s="1" t="s">
        <v>854</v>
      </c>
      <c r="C189" s="1">
        <v>815052.0</v>
      </c>
      <c r="H189" s="1" t="s">
        <v>171</v>
      </c>
      <c r="K189" s="1">
        <v>1.0</v>
      </c>
      <c r="L189" s="1">
        <v>60.0</v>
      </c>
      <c r="AL189" s="1">
        <v>0.2</v>
      </c>
      <c r="BJ189" s="1">
        <v>1.0</v>
      </c>
      <c r="BL189" s="1">
        <v>810035.0</v>
      </c>
      <c r="BM189" s="1">
        <v>20107.0</v>
      </c>
    </row>
    <row r="190" ht="15.75" customHeight="1">
      <c r="A190" s="1">
        <v>189.0</v>
      </c>
      <c r="B190" s="1" t="s">
        <v>855</v>
      </c>
      <c r="C190" s="1">
        <v>815044.0</v>
      </c>
      <c r="H190" s="1" t="s">
        <v>171</v>
      </c>
      <c r="K190" s="1">
        <v>1.0</v>
      </c>
      <c r="L190" s="1">
        <v>60.0</v>
      </c>
      <c r="T190" s="1">
        <v>5000.0</v>
      </c>
      <c r="U190" s="1">
        <v>5000.0</v>
      </c>
      <c r="BJ190" s="1">
        <v>1.0</v>
      </c>
      <c r="BL190" s="1">
        <v>810030.0</v>
      </c>
      <c r="BM190" s="1">
        <v>20107.0</v>
      </c>
    </row>
    <row r="191" ht="15.75" customHeight="1">
      <c r="A191" s="1">
        <v>190.0</v>
      </c>
      <c r="B191" s="1" t="s">
        <v>858</v>
      </c>
      <c r="C191" s="1">
        <v>815041.0</v>
      </c>
      <c r="H191" s="1" t="s">
        <v>171</v>
      </c>
      <c r="K191" s="1">
        <v>1.0</v>
      </c>
      <c r="L191" s="1">
        <v>60.0</v>
      </c>
      <c r="AP191" s="1">
        <v>0.2</v>
      </c>
      <c r="BJ191" s="1">
        <v>1.0</v>
      </c>
      <c r="BL191" s="1">
        <v>810035.0</v>
      </c>
      <c r="BM191" s="1">
        <v>20107.0</v>
      </c>
    </row>
    <row r="192" ht="15.75" customHeight="1">
      <c r="A192" s="1">
        <v>191.0</v>
      </c>
      <c r="B192" s="1" t="s">
        <v>862</v>
      </c>
      <c r="C192" s="1">
        <v>815024.0</v>
      </c>
      <c r="H192" s="1" t="s">
        <v>171</v>
      </c>
      <c r="K192" s="1">
        <v>1.0</v>
      </c>
      <c r="L192" s="1">
        <v>60.0</v>
      </c>
      <c r="T192" s="1">
        <v>7000.0</v>
      </c>
      <c r="U192" s="1">
        <v>7000.0</v>
      </c>
      <c r="AG192" s="1">
        <v>0.02</v>
      </c>
      <c r="AI192" s="1">
        <v>0.02</v>
      </c>
      <c r="AL192" s="1">
        <v>0.2</v>
      </c>
      <c r="AM192" s="1">
        <v>0.1</v>
      </c>
      <c r="BJ192" s="1">
        <v>1.0</v>
      </c>
      <c r="BL192" s="1">
        <v>810001.0</v>
      </c>
      <c r="BM192" s="1">
        <v>20107.0</v>
      </c>
    </row>
    <row r="193" ht="15.75" customHeight="1">
      <c r="A193" s="1">
        <v>192.0</v>
      </c>
      <c r="B193" s="1" t="s">
        <v>868</v>
      </c>
      <c r="C193" s="1">
        <v>815041.0</v>
      </c>
      <c r="H193" s="1" t="s">
        <v>171</v>
      </c>
      <c r="K193" s="1">
        <v>1.0</v>
      </c>
      <c r="L193" s="1">
        <v>60.0</v>
      </c>
      <c r="AP193" s="1">
        <v>1.0</v>
      </c>
      <c r="BJ193" s="1">
        <v>1.0</v>
      </c>
      <c r="BL193" s="1">
        <v>810035.0</v>
      </c>
      <c r="BM193" s="1">
        <v>20107.0</v>
      </c>
    </row>
    <row r="194" ht="15.75" customHeight="1">
      <c r="A194" s="1">
        <v>193.0</v>
      </c>
      <c r="B194" s="1" t="s">
        <v>872</v>
      </c>
      <c r="C194" s="1">
        <v>815026.0</v>
      </c>
      <c r="H194" s="1" t="s">
        <v>171</v>
      </c>
      <c r="K194" s="1">
        <v>1.0</v>
      </c>
      <c r="L194" s="1">
        <v>60.0</v>
      </c>
      <c r="AM194" s="1">
        <v>0.2</v>
      </c>
      <c r="BJ194" s="1">
        <v>1.0</v>
      </c>
      <c r="BL194" s="1">
        <v>810035.0</v>
      </c>
      <c r="BM194" s="1">
        <v>20107.0</v>
      </c>
    </row>
    <row r="195" ht="15.75" customHeight="1">
      <c r="A195" s="1">
        <v>194.0</v>
      </c>
      <c r="B195" s="1" t="s">
        <v>877</v>
      </c>
      <c r="C195" s="1">
        <v>815045.0</v>
      </c>
      <c r="H195" s="1" t="s">
        <v>171</v>
      </c>
      <c r="K195" s="1">
        <v>1.0</v>
      </c>
      <c r="L195" s="1">
        <v>60.0</v>
      </c>
      <c r="AG195" s="1">
        <v>0.04</v>
      </c>
      <c r="AI195" s="1">
        <v>0.04</v>
      </c>
      <c r="BJ195" s="1">
        <v>1.0</v>
      </c>
      <c r="BL195" s="1">
        <v>810032.0</v>
      </c>
      <c r="BM195" s="1">
        <v>20107.0</v>
      </c>
    </row>
    <row r="196" ht="15.75" customHeight="1">
      <c r="A196" s="1">
        <v>195.0</v>
      </c>
      <c r="B196" s="1" t="s">
        <v>880</v>
      </c>
      <c r="C196" s="1">
        <v>815002.0</v>
      </c>
      <c r="E196" s="1" t="s">
        <v>231</v>
      </c>
      <c r="F196" s="1" t="s">
        <v>431</v>
      </c>
      <c r="G196" s="1">
        <v>4.0</v>
      </c>
      <c r="H196" s="1" t="s">
        <v>193</v>
      </c>
      <c r="K196" s="1">
        <v>0.0</v>
      </c>
      <c r="Q196" s="1">
        <v>-20000.0</v>
      </c>
    </row>
    <row r="197" ht="15.75" customHeight="1">
      <c r="A197" s="1">
        <v>196.0</v>
      </c>
      <c r="B197" s="1" t="s">
        <v>882</v>
      </c>
      <c r="C197" s="1">
        <v>815026.0</v>
      </c>
      <c r="E197" s="1" t="s">
        <v>231</v>
      </c>
      <c r="F197" s="1" t="s">
        <v>191</v>
      </c>
      <c r="G197" s="1">
        <v>1.0</v>
      </c>
      <c r="H197" s="1" t="s">
        <v>193</v>
      </c>
      <c r="K197" s="1">
        <v>0.0</v>
      </c>
      <c r="Q197" s="1">
        <v>-10000.0</v>
      </c>
    </row>
    <row r="198" ht="15.75" customHeight="1">
      <c r="A198" s="1">
        <v>197.0</v>
      </c>
      <c r="B198" s="1" t="s">
        <v>888</v>
      </c>
      <c r="C198" s="1">
        <v>815003.0</v>
      </c>
      <c r="E198" s="1" t="s">
        <v>231</v>
      </c>
      <c r="F198" s="1" t="s">
        <v>431</v>
      </c>
      <c r="G198" s="1">
        <v>5.0</v>
      </c>
      <c r="H198" s="1" t="s">
        <v>193</v>
      </c>
      <c r="K198" s="1">
        <v>0.0</v>
      </c>
      <c r="Q198" s="1">
        <v>-30000.0</v>
      </c>
    </row>
    <row r="199" ht="15.75" customHeight="1">
      <c r="A199" s="1">
        <v>198.0</v>
      </c>
      <c r="B199" s="1" t="s">
        <v>892</v>
      </c>
      <c r="C199" s="1">
        <v>815004.0</v>
      </c>
      <c r="E199" s="1" t="s">
        <v>231</v>
      </c>
      <c r="F199" s="1" t="s">
        <v>232</v>
      </c>
      <c r="G199" s="1">
        <v>4.0</v>
      </c>
      <c r="H199" s="1" t="s">
        <v>193</v>
      </c>
      <c r="K199" s="1">
        <v>0.0</v>
      </c>
      <c r="Q199" s="1">
        <v>-25000.0</v>
      </c>
      <c r="BP199" s="1">
        <v>40.0</v>
      </c>
    </row>
    <row r="200" ht="15.75" customHeight="1">
      <c r="A200" s="1">
        <v>199.0</v>
      </c>
      <c r="B200" s="1" t="s">
        <v>805</v>
      </c>
      <c r="C200" s="1">
        <v>815015.0</v>
      </c>
      <c r="H200" s="1" t="s">
        <v>180</v>
      </c>
      <c r="K200" s="1">
        <v>0.0</v>
      </c>
      <c r="O200" s="1">
        <v>1.0</v>
      </c>
      <c r="Q200" s="1">
        <v>6000.0</v>
      </c>
      <c r="BJ200" s="1">
        <v>1.0</v>
      </c>
      <c r="BL200" s="1">
        <v>810006.0</v>
      </c>
      <c r="BM200" s="1">
        <v>20107.0</v>
      </c>
    </row>
    <row r="201" ht="15.75" customHeight="1">
      <c r="A201" s="1">
        <v>200.0</v>
      </c>
      <c r="B201" s="1" t="s">
        <v>810</v>
      </c>
      <c r="C201" s="1">
        <v>815041.0</v>
      </c>
      <c r="H201" s="1" t="s">
        <v>180</v>
      </c>
      <c r="K201" s="1">
        <v>1.0</v>
      </c>
      <c r="L201" s="1">
        <v>240.0</v>
      </c>
      <c r="AL201" s="1">
        <v>0.05</v>
      </c>
      <c r="BJ201" s="1">
        <v>1.0</v>
      </c>
      <c r="BL201" s="1">
        <v>810027.0</v>
      </c>
      <c r="BM201" s="1">
        <v>20107.0</v>
      </c>
    </row>
    <row r="202" ht="15.75" customHeight="1">
      <c r="A202" s="1">
        <v>201.0</v>
      </c>
      <c r="B202" s="1" t="s">
        <v>814</v>
      </c>
      <c r="H202" s="1" t="s">
        <v>180</v>
      </c>
      <c r="K202" s="1">
        <v>1.0</v>
      </c>
      <c r="L202" s="1">
        <v>300.0</v>
      </c>
      <c r="AG202" s="1">
        <v>0.01</v>
      </c>
      <c r="AI202" s="1">
        <v>0.01</v>
      </c>
      <c r="BJ202" s="1">
        <v>1.0</v>
      </c>
      <c r="BL202" s="1">
        <v>810008.0</v>
      </c>
      <c r="BM202" s="1">
        <v>20107.0</v>
      </c>
    </row>
    <row r="203" ht="15.75" customHeight="1">
      <c r="A203" s="1">
        <v>202.0</v>
      </c>
      <c r="B203" s="1" t="s">
        <v>820</v>
      </c>
      <c r="C203" s="1">
        <v>815016.0</v>
      </c>
      <c r="H203" s="1" t="s">
        <v>180</v>
      </c>
      <c r="K203" s="1">
        <v>1.0</v>
      </c>
      <c r="L203" s="1">
        <v>300.0</v>
      </c>
      <c r="T203" s="1">
        <v>250.0</v>
      </c>
      <c r="U203" s="1">
        <v>500.0</v>
      </c>
      <c r="BJ203" s="1">
        <v>1.0</v>
      </c>
      <c r="BL203" s="1">
        <v>810001.0</v>
      </c>
      <c r="BM203" s="1">
        <v>20107.0</v>
      </c>
    </row>
    <row r="204" ht="15.75" customHeight="1">
      <c r="A204" s="1">
        <v>203.0</v>
      </c>
      <c r="B204" s="1" t="s">
        <v>827</v>
      </c>
      <c r="C204" s="1">
        <v>815013.0</v>
      </c>
      <c r="H204" s="1" t="s">
        <v>180</v>
      </c>
      <c r="K204" s="1">
        <v>1.0</v>
      </c>
      <c r="L204" s="1">
        <v>300.0</v>
      </c>
      <c r="X204" s="1">
        <v>30.0</v>
      </c>
      <c r="AH204" s="1">
        <v>25.0</v>
      </c>
      <c r="AJ204" s="1">
        <v>25.0</v>
      </c>
      <c r="BJ204" s="1">
        <v>1.0</v>
      </c>
      <c r="BL204" s="1">
        <v>810020.0</v>
      </c>
      <c r="BM204" s="1">
        <v>20107.0</v>
      </c>
    </row>
    <row r="205" ht="15.75" customHeight="1">
      <c r="A205" s="1">
        <v>204.0</v>
      </c>
      <c r="B205" s="1" t="s">
        <v>835</v>
      </c>
      <c r="C205" s="1">
        <v>815022.0</v>
      </c>
      <c r="H205" s="1" t="s">
        <v>180</v>
      </c>
      <c r="K205" s="1">
        <v>1.0</v>
      </c>
      <c r="L205" s="1">
        <v>300.0</v>
      </c>
      <c r="AK205" s="1">
        <v>0.05</v>
      </c>
      <c r="BJ205" s="1">
        <v>1.0</v>
      </c>
      <c r="BL205" s="1">
        <v>810021.0</v>
      </c>
      <c r="BM205" s="1">
        <v>20107.0</v>
      </c>
    </row>
    <row r="206" ht="15.75" customHeight="1">
      <c r="A206" s="1">
        <v>205.0</v>
      </c>
      <c r="B206" s="1" t="s">
        <v>837</v>
      </c>
      <c r="C206" s="1">
        <v>815022.0</v>
      </c>
      <c r="H206" s="1" t="s">
        <v>180</v>
      </c>
      <c r="K206" s="1">
        <v>1.0</v>
      </c>
      <c r="L206" s="1">
        <v>300.0</v>
      </c>
      <c r="AN206" s="1">
        <v>0.1</v>
      </c>
      <c r="BJ206" s="1">
        <v>1.0</v>
      </c>
      <c r="BL206" s="1">
        <v>810021.0</v>
      </c>
      <c r="BM206" s="1">
        <v>20107.0</v>
      </c>
    </row>
    <row r="207" ht="15.75" customHeight="1">
      <c r="A207" s="1">
        <v>206.0</v>
      </c>
      <c r="B207" s="1" t="s">
        <v>838</v>
      </c>
      <c r="C207" s="1">
        <v>815045.0</v>
      </c>
      <c r="H207" s="1" t="s">
        <v>171</v>
      </c>
      <c r="K207" s="1">
        <v>1.0</v>
      </c>
      <c r="L207" s="1">
        <v>120.0</v>
      </c>
      <c r="AJ207" s="1">
        <v>50.0</v>
      </c>
      <c r="BJ207" s="1">
        <v>1.0</v>
      </c>
      <c r="BL207" s="1">
        <v>810032.0</v>
      </c>
      <c r="BM207" s="1">
        <v>20107.0</v>
      </c>
    </row>
    <row r="208" ht="15.75" customHeight="1">
      <c r="A208" s="1">
        <v>207.0</v>
      </c>
      <c r="B208" s="1" t="s">
        <v>842</v>
      </c>
      <c r="C208" s="1">
        <v>815013.0</v>
      </c>
      <c r="H208" s="1" t="s">
        <v>171</v>
      </c>
      <c r="K208" s="1">
        <v>1.0</v>
      </c>
      <c r="L208" s="1">
        <v>120.0</v>
      </c>
      <c r="X208" s="1">
        <v>70.0</v>
      </c>
      <c r="BJ208" s="1">
        <v>1.0</v>
      </c>
      <c r="BL208" s="1">
        <v>810020.0</v>
      </c>
      <c r="BM208" s="1">
        <v>20107.0</v>
      </c>
    </row>
    <row r="209" ht="15.75" customHeight="1">
      <c r="A209" s="1">
        <v>208.0</v>
      </c>
      <c r="B209" s="1" t="s">
        <v>845</v>
      </c>
      <c r="C209" s="1">
        <v>815041.0</v>
      </c>
      <c r="H209" s="1" t="s">
        <v>171</v>
      </c>
      <c r="K209" s="1">
        <v>1.0</v>
      </c>
      <c r="L209" s="1">
        <v>120.0</v>
      </c>
      <c r="AO209" s="1">
        <v>0.1</v>
      </c>
      <c r="BJ209" s="1">
        <v>1.0</v>
      </c>
      <c r="BL209" s="1">
        <v>810027.0</v>
      </c>
      <c r="BM209" s="1">
        <v>20107.0</v>
      </c>
    </row>
    <row r="210" ht="15.75" customHeight="1">
      <c r="A210" s="1">
        <v>209.0</v>
      </c>
      <c r="B210" s="1" t="s">
        <v>849</v>
      </c>
      <c r="C210" s="1">
        <v>815013.0</v>
      </c>
      <c r="H210" s="1" t="s">
        <v>171</v>
      </c>
      <c r="K210" s="1">
        <v>1.0</v>
      </c>
      <c r="L210" s="1">
        <v>120.0</v>
      </c>
      <c r="AH210" s="1">
        <v>100.0</v>
      </c>
      <c r="BJ210" s="1">
        <v>1.0</v>
      </c>
      <c r="BL210" s="1">
        <v>810008.0</v>
      </c>
      <c r="BM210" s="1">
        <v>20107.0</v>
      </c>
    </row>
    <row r="211" ht="15.75" customHeight="1">
      <c r="A211" s="1">
        <v>210.0</v>
      </c>
      <c r="B211" s="1" t="s">
        <v>926</v>
      </c>
      <c r="C211" s="1">
        <v>815028.0</v>
      </c>
      <c r="H211" s="1" t="s">
        <v>180</v>
      </c>
      <c r="K211" s="1">
        <v>0.0</v>
      </c>
      <c r="Q211" s="1" t="s">
        <v>928</v>
      </c>
      <c r="R211" s="1" t="s">
        <v>929</v>
      </c>
      <c r="BJ211" s="1">
        <v>1.0</v>
      </c>
    </row>
    <row r="212" ht="15.75" customHeight="1">
      <c r="A212" s="1">
        <v>211.0</v>
      </c>
      <c r="B212" s="1" t="s">
        <v>931</v>
      </c>
      <c r="H212" s="1" t="s">
        <v>171</v>
      </c>
      <c r="K212" s="1">
        <v>1.0</v>
      </c>
      <c r="AM212" s="1">
        <v>0.03</v>
      </c>
      <c r="BJ212" s="1">
        <v>1.0</v>
      </c>
      <c r="BL212" s="1">
        <v>810035.0</v>
      </c>
      <c r="BM212" s="1">
        <v>20107.0</v>
      </c>
    </row>
    <row r="213" ht="15.75" customHeight="1">
      <c r="A213" s="1">
        <v>212.0</v>
      </c>
      <c r="B213" s="1" t="s">
        <v>934</v>
      </c>
      <c r="H213" s="1" t="s">
        <v>171</v>
      </c>
      <c r="K213" s="1">
        <v>1.0</v>
      </c>
      <c r="AL213" s="1">
        <v>0.03</v>
      </c>
      <c r="AM213" s="1">
        <v>0.03</v>
      </c>
      <c r="BJ213" s="1">
        <v>1.0</v>
      </c>
      <c r="BL213" s="1">
        <v>810035.0</v>
      </c>
      <c r="BM213" s="1">
        <v>20107.0</v>
      </c>
    </row>
    <row r="214" ht="15.75" customHeight="1">
      <c r="A214" s="1">
        <v>213.0</v>
      </c>
      <c r="B214" s="1" t="s">
        <v>938</v>
      </c>
      <c r="H214" s="1" t="s">
        <v>171</v>
      </c>
      <c r="K214" s="1">
        <v>1.0</v>
      </c>
      <c r="AL214" s="1">
        <v>0.08</v>
      </c>
      <c r="AP214" s="1">
        <v>0.08</v>
      </c>
      <c r="BJ214" s="1">
        <v>1.0</v>
      </c>
      <c r="BL214" s="1">
        <v>810035.0</v>
      </c>
      <c r="BM214" s="1">
        <v>20107.0</v>
      </c>
    </row>
    <row r="215" ht="15.75" customHeight="1">
      <c r="A215" s="1">
        <v>214.0</v>
      </c>
      <c r="B215" s="1" t="s">
        <v>942</v>
      </c>
      <c r="H215" s="1" t="s">
        <v>171</v>
      </c>
      <c r="K215" s="1">
        <v>1.0</v>
      </c>
      <c r="AL215" s="1">
        <v>0.02</v>
      </c>
      <c r="AP215" s="1">
        <v>0.13</v>
      </c>
      <c r="BJ215" s="1">
        <v>1.0</v>
      </c>
      <c r="BL215" s="1">
        <v>810035.0</v>
      </c>
      <c r="BM215" s="1">
        <v>20107.0</v>
      </c>
    </row>
    <row r="216" ht="15.75" customHeight="1">
      <c r="A216" s="1">
        <v>215.0</v>
      </c>
      <c r="B216" s="1" t="s">
        <v>945</v>
      </c>
      <c r="H216" s="1" t="s">
        <v>171</v>
      </c>
      <c r="K216" s="1">
        <v>1.0</v>
      </c>
      <c r="AL216" s="1">
        <v>0.15</v>
      </c>
      <c r="BJ216" s="1">
        <v>1.0</v>
      </c>
      <c r="BL216" s="1">
        <v>810035.0</v>
      </c>
      <c r="BM216" s="1">
        <v>20107.0</v>
      </c>
    </row>
    <row r="217" ht="15.75" customHeight="1">
      <c r="A217" s="1">
        <v>216.0</v>
      </c>
      <c r="B217" s="1" t="s">
        <v>949</v>
      </c>
      <c r="H217" s="1" t="s">
        <v>171</v>
      </c>
      <c r="K217" s="1">
        <v>1.0</v>
      </c>
      <c r="AM217" s="1">
        <v>0.08</v>
      </c>
      <c r="BJ217" s="1">
        <v>1.0</v>
      </c>
      <c r="BL217" s="1">
        <v>810035.0</v>
      </c>
      <c r="BM217" s="1">
        <v>20107.0</v>
      </c>
    </row>
    <row r="218" ht="15.75" customHeight="1">
      <c r="A218" s="1">
        <v>217.0</v>
      </c>
      <c r="B218" s="1" t="s">
        <v>953</v>
      </c>
      <c r="H218" s="1" t="s">
        <v>171</v>
      </c>
      <c r="K218" s="1">
        <v>1.0</v>
      </c>
      <c r="AL218" s="1">
        <v>0.2</v>
      </c>
      <c r="AM218" s="1">
        <v>0.05</v>
      </c>
      <c r="BJ218" s="1">
        <v>1.0</v>
      </c>
      <c r="BL218" s="1">
        <v>810035.0</v>
      </c>
      <c r="BM218" s="1">
        <v>20107.0</v>
      </c>
    </row>
    <row r="219" ht="15.75" customHeight="1">
      <c r="A219" s="1">
        <v>218.0</v>
      </c>
      <c r="B219" s="1" t="s">
        <v>957</v>
      </c>
      <c r="H219" s="1" t="s">
        <v>171</v>
      </c>
      <c r="K219" s="1">
        <v>1.0</v>
      </c>
      <c r="AM219" s="1">
        <v>0.05</v>
      </c>
      <c r="AP219" s="1">
        <v>0.15</v>
      </c>
      <c r="BJ219" s="1">
        <v>1.0</v>
      </c>
      <c r="BL219" s="1">
        <v>810035.0</v>
      </c>
      <c r="BM219" s="1">
        <v>20107.0</v>
      </c>
    </row>
    <row r="220" ht="15.75" customHeight="1">
      <c r="A220" s="1">
        <v>219.0</v>
      </c>
      <c r="B220" s="1" t="s">
        <v>961</v>
      </c>
      <c r="H220" s="1" t="s">
        <v>171</v>
      </c>
      <c r="K220" s="1">
        <v>1.0</v>
      </c>
      <c r="AL220" s="1">
        <v>0.03</v>
      </c>
      <c r="AM220" s="1">
        <v>0.03</v>
      </c>
      <c r="AP220" s="1">
        <v>0.03</v>
      </c>
      <c r="BJ220" s="1">
        <v>1.0</v>
      </c>
      <c r="BL220" s="1">
        <v>810035.0</v>
      </c>
      <c r="BM220" s="1">
        <v>20107.0</v>
      </c>
    </row>
    <row r="221" ht="15.75" customHeight="1">
      <c r="A221" s="1">
        <v>220.0</v>
      </c>
      <c r="B221" s="1" t="s">
        <v>852</v>
      </c>
      <c r="C221" s="1">
        <v>815046.0</v>
      </c>
      <c r="H221" s="1" t="s">
        <v>171</v>
      </c>
      <c r="K221" s="1">
        <v>0.0</v>
      </c>
      <c r="R221" s="1" t="s">
        <v>966</v>
      </c>
    </row>
    <row r="222" ht="15.75" customHeight="1">
      <c r="A222" s="1">
        <v>221.0</v>
      </c>
      <c r="B222" s="1" t="s">
        <v>857</v>
      </c>
      <c r="C222" s="1">
        <v>815013.0</v>
      </c>
      <c r="H222" s="1" t="s">
        <v>198</v>
      </c>
      <c r="K222" s="1">
        <v>1.0</v>
      </c>
      <c r="L222" s="1">
        <v>30.0</v>
      </c>
      <c r="AG222" s="1">
        <v>-0.02</v>
      </c>
      <c r="BJ222" s="1">
        <v>1.0</v>
      </c>
      <c r="BK222" s="1">
        <v>0.0</v>
      </c>
      <c r="BL222" s="1">
        <v>810008.0</v>
      </c>
      <c r="BM222" s="1">
        <v>20107.0</v>
      </c>
    </row>
    <row r="223" ht="15.75" customHeight="1">
      <c r="A223" s="1">
        <v>222.0</v>
      </c>
      <c r="B223" s="1" t="s">
        <v>861</v>
      </c>
      <c r="C223" s="1">
        <v>815030.0</v>
      </c>
      <c r="H223" s="1" t="s">
        <v>180</v>
      </c>
      <c r="I223" s="1">
        <v>50.0</v>
      </c>
      <c r="K223" s="1">
        <v>4.0</v>
      </c>
      <c r="L223" s="1">
        <v>20.0</v>
      </c>
      <c r="T223" s="1">
        <v>3500.0</v>
      </c>
      <c r="U223" s="1">
        <v>3500.0</v>
      </c>
      <c r="W223" s="1">
        <v>350.0</v>
      </c>
      <c r="AG223" s="1">
        <v>0.35</v>
      </c>
      <c r="AI223" s="1">
        <v>0.35</v>
      </c>
      <c r="AL223" s="1">
        <v>0.35</v>
      </c>
      <c r="AM223" s="1">
        <v>0.35</v>
      </c>
      <c r="BJ223" s="1">
        <v>1.0</v>
      </c>
      <c r="BL223" s="1">
        <v>810035.0</v>
      </c>
      <c r="BM223" s="1">
        <v>20107.0</v>
      </c>
      <c r="BO223" s="1" t="s">
        <v>975</v>
      </c>
    </row>
    <row r="224" ht="15.75" customHeight="1">
      <c r="A224" s="1">
        <v>223.0</v>
      </c>
      <c r="B224" s="1" t="s">
        <v>867</v>
      </c>
      <c r="C224" s="1">
        <v>815016.0</v>
      </c>
      <c r="H224" s="1" t="s">
        <v>171</v>
      </c>
      <c r="I224" s="1">
        <v>50.0</v>
      </c>
      <c r="K224" s="1">
        <v>1.0</v>
      </c>
      <c r="L224" s="1">
        <v>180.0</v>
      </c>
      <c r="T224" s="1">
        <v>100000.0</v>
      </c>
      <c r="BJ224" s="1">
        <v>1.0</v>
      </c>
      <c r="BL224" s="1">
        <v>810018.0</v>
      </c>
      <c r="BM224" s="1">
        <v>20107.0</v>
      </c>
    </row>
    <row r="225" ht="15.75" customHeight="1">
      <c r="A225" s="1">
        <v>224.0</v>
      </c>
      <c r="B225" s="1" t="s">
        <v>979</v>
      </c>
      <c r="G225" s="1">
        <v>1.0</v>
      </c>
      <c r="H225" s="1" t="s">
        <v>171</v>
      </c>
      <c r="K225" s="1">
        <v>2.0</v>
      </c>
      <c r="AW225" s="1">
        <v>255.0</v>
      </c>
      <c r="AY225" s="1">
        <v>125.0</v>
      </c>
      <c r="AZ225" s="1">
        <v>180.0</v>
      </c>
    </row>
    <row r="226" ht="15.75" customHeight="1">
      <c r="A226" s="1">
        <v>225.0</v>
      </c>
      <c r="B226" s="1" t="s">
        <v>982</v>
      </c>
      <c r="G226" s="1">
        <v>1.0</v>
      </c>
      <c r="H226" s="1" t="s">
        <v>171</v>
      </c>
      <c r="K226" s="1">
        <v>2.0</v>
      </c>
      <c r="AW226" s="1">
        <v>234.0</v>
      </c>
      <c r="AX226" s="1">
        <v>139.0</v>
      </c>
      <c r="AY226" s="1">
        <v>173.0</v>
      </c>
      <c r="AZ226" s="1">
        <v>180.0</v>
      </c>
    </row>
    <row r="227" ht="15.75" customHeight="1">
      <c r="A227" s="1">
        <v>226.0</v>
      </c>
      <c r="B227" s="1" t="s">
        <v>875</v>
      </c>
      <c r="C227" s="1">
        <v>815015.0</v>
      </c>
      <c r="H227" s="1" t="s">
        <v>171</v>
      </c>
      <c r="K227" s="1">
        <v>0.0</v>
      </c>
      <c r="O227" s="1">
        <v>1.0</v>
      </c>
      <c r="Q227" s="1">
        <v>250.0</v>
      </c>
      <c r="BJ227" s="1">
        <v>1.0</v>
      </c>
    </row>
    <row r="228" ht="15.75" customHeight="1">
      <c r="A228" s="1">
        <v>227.0</v>
      </c>
      <c r="B228" s="1" t="s">
        <v>879</v>
      </c>
      <c r="C228" s="1">
        <v>815015.0</v>
      </c>
      <c r="H228" s="1" t="s">
        <v>180</v>
      </c>
      <c r="K228" s="1">
        <v>0.0</v>
      </c>
      <c r="O228" s="1">
        <v>1.0</v>
      </c>
      <c r="Q228" s="1">
        <v>1000.0</v>
      </c>
      <c r="BJ228" s="1">
        <v>1.0</v>
      </c>
    </row>
    <row r="229" ht="15.75" customHeight="1">
      <c r="A229" s="1">
        <v>228.0</v>
      </c>
      <c r="B229" s="1" t="s">
        <v>885</v>
      </c>
      <c r="C229" s="1">
        <v>815000.0</v>
      </c>
      <c r="E229" s="1" t="s">
        <v>231</v>
      </c>
      <c r="F229" s="1" t="s">
        <v>191</v>
      </c>
      <c r="G229" s="1">
        <v>1.0</v>
      </c>
      <c r="H229" s="1" t="s">
        <v>193</v>
      </c>
      <c r="K229" s="1">
        <v>0.0</v>
      </c>
      <c r="O229" s="1">
        <v>1.0</v>
      </c>
      <c r="Q229" s="1">
        <v>-250.0</v>
      </c>
    </row>
    <row r="230" ht="15.75" customHeight="1">
      <c r="A230" s="1">
        <v>229.0</v>
      </c>
      <c r="B230" s="1" t="s">
        <v>893</v>
      </c>
      <c r="C230" s="1">
        <v>815000.0</v>
      </c>
      <c r="E230" s="1" t="s">
        <v>231</v>
      </c>
      <c r="H230" s="1" t="s">
        <v>193</v>
      </c>
      <c r="K230" s="1">
        <v>0.0</v>
      </c>
      <c r="O230" s="1">
        <v>1.0</v>
      </c>
      <c r="Q230" s="1">
        <v>-1000.0</v>
      </c>
    </row>
    <row r="231" ht="15.75" customHeight="1">
      <c r="A231" s="1">
        <v>230.0</v>
      </c>
      <c r="B231" s="1" t="s">
        <v>898</v>
      </c>
      <c r="C231" s="1">
        <v>815000.0</v>
      </c>
      <c r="E231" s="1" t="s">
        <v>231</v>
      </c>
      <c r="F231" s="1" t="s">
        <v>260</v>
      </c>
      <c r="G231" s="1">
        <v>5.0</v>
      </c>
      <c r="H231" s="1" t="s">
        <v>198</v>
      </c>
      <c r="K231" s="1">
        <v>15.0</v>
      </c>
      <c r="BV231" s="1">
        <v>1.0</v>
      </c>
    </row>
    <row r="232" ht="15.75" customHeight="1">
      <c r="A232" s="1">
        <v>231.0</v>
      </c>
      <c r="B232" s="1" t="s">
        <v>901</v>
      </c>
      <c r="C232" s="1">
        <v>815000.0</v>
      </c>
      <c r="E232" s="1" t="s">
        <v>231</v>
      </c>
      <c r="H232" s="1" t="s">
        <v>993</v>
      </c>
      <c r="K232" s="1">
        <v>16.0</v>
      </c>
    </row>
    <row r="233" ht="15.75" customHeight="1">
      <c r="A233" s="1">
        <v>232.0</v>
      </c>
      <c r="B233" s="1" t="s">
        <v>905</v>
      </c>
      <c r="C233" s="1">
        <v>815000.0</v>
      </c>
      <c r="E233" s="1" t="s">
        <v>231</v>
      </c>
      <c r="H233" s="1" t="s">
        <v>571</v>
      </c>
      <c r="K233" s="1">
        <v>17.0</v>
      </c>
    </row>
    <row r="234" ht="15.75" customHeight="1">
      <c r="A234" s="1">
        <v>233.0</v>
      </c>
      <c r="B234" s="1" t="s">
        <v>908</v>
      </c>
      <c r="C234" s="1">
        <v>815000.0</v>
      </c>
      <c r="E234" s="1" t="s">
        <v>231</v>
      </c>
      <c r="H234" s="1" t="s">
        <v>571</v>
      </c>
      <c r="K234" s="1">
        <v>18.0</v>
      </c>
    </row>
    <row r="235" ht="15.75" customHeight="1">
      <c r="A235" s="1">
        <v>234.0</v>
      </c>
      <c r="B235" s="1" t="s">
        <v>912</v>
      </c>
      <c r="C235" s="1">
        <v>815000.0</v>
      </c>
      <c r="E235" s="1" t="s">
        <v>231</v>
      </c>
      <c r="H235" s="1" t="s">
        <v>571</v>
      </c>
      <c r="K235" s="1">
        <v>19.0</v>
      </c>
    </row>
    <row r="236" ht="15.75" customHeight="1">
      <c r="A236" s="1">
        <v>235.0</v>
      </c>
      <c r="B236" s="1" t="s">
        <v>916</v>
      </c>
      <c r="C236" s="1">
        <v>815000.0</v>
      </c>
      <c r="E236" s="1" t="s">
        <v>231</v>
      </c>
      <c r="H236" s="1" t="s">
        <v>571</v>
      </c>
      <c r="K236" s="1">
        <v>20.0</v>
      </c>
    </row>
    <row r="237" ht="15.75" customHeight="1">
      <c r="A237" s="1">
        <v>236.0</v>
      </c>
      <c r="B237" s="1" t="s">
        <v>1001</v>
      </c>
      <c r="G237" s="1">
        <v>1.0</v>
      </c>
      <c r="H237" s="1" t="s">
        <v>171</v>
      </c>
      <c r="K237" s="1">
        <v>2.0</v>
      </c>
      <c r="AX237" s="1">
        <v>255.0</v>
      </c>
      <c r="AZ237" s="1">
        <v>180.0</v>
      </c>
    </row>
    <row r="238" ht="15.75" customHeight="1">
      <c r="A238" s="1">
        <v>237.0</v>
      </c>
      <c r="B238" s="1" t="s">
        <v>1004</v>
      </c>
      <c r="G238" s="1">
        <v>1.0</v>
      </c>
      <c r="H238" s="1" t="s">
        <v>171</v>
      </c>
      <c r="K238" s="1">
        <v>2.0</v>
      </c>
      <c r="AW238" s="1">
        <v>253.0</v>
      </c>
      <c r="AX238" s="1">
        <v>232.0</v>
      </c>
      <c r="AY238" s="1">
        <v>80.0</v>
      </c>
      <c r="AZ238" s="1">
        <v>160.0</v>
      </c>
    </row>
    <row r="239" ht="15.75" customHeight="1">
      <c r="A239" s="1">
        <v>238.0</v>
      </c>
      <c r="B239" s="1" t="s">
        <v>1007</v>
      </c>
      <c r="C239" s="1">
        <v>815012.0</v>
      </c>
      <c r="H239" s="1" t="s">
        <v>180</v>
      </c>
      <c r="I239" s="1">
        <v>0.0</v>
      </c>
      <c r="K239" s="1">
        <v>5.0</v>
      </c>
      <c r="BE239" s="1">
        <v>22.0</v>
      </c>
      <c r="BF239" s="1">
        <v>25.0</v>
      </c>
      <c r="BG239" s="1">
        <v>24.0</v>
      </c>
      <c r="BJ239" s="1">
        <v>1.0</v>
      </c>
    </row>
    <row r="240" ht="15.75" customHeight="1">
      <c r="A240" s="1">
        <v>239.0</v>
      </c>
      <c r="B240" s="1" t="s">
        <v>1011</v>
      </c>
      <c r="G240" s="1">
        <v>1.0</v>
      </c>
      <c r="H240" s="1" t="s">
        <v>171</v>
      </c>
      <c r="K240" s="1">
        <v>2.0</v>
      </c>
      <c r="AW240" s="1">
        <v>25.0</v>
      </c>
      <c r="AX240" s="1">
        <v>25.0</v>
      </c>
      <c r="AY240" s="1">
        <v>65.0</v>
      </c>
      <c r="AZ240" s="1">
        <v>215.0</v>
      </c>
    </row>
    <row r="241" ht="15.75" customHeight="1">
      <c r="A241" s="1">
        <v>240.0</v>
      </c>
      <c r="B241" s="1" t="s">
        <v>1013</v>
      </c>
      <c r="G241" s="1">
        <v>1.0</v>
      </c>
      <c r="H241" s="1" t="s">
        <v>171</v>
      </c>
      <c r="K241" s="1">
        <v>2.0</v>
      </c>
      <c r="AW241" s="1">
        <v>280.0</v>
      </c>
      <c r="AX241" s="1">
        <v>113.0</v>
      </c>
      <c r="AY241" s="1">
        <v>39.0</v>
      </c>
      <c r="AZ241" s="1">
        <v>5180.0</v>
      </c>
    </row>
    <row r="242" ht="15.75" customHeight="1">
      <c r="A242" s="1">
        <v>241.0</v>
      </c>
      <c r="B242" s="1" t="s">
        <v>1015</v>
      </c>
      <c r="G242" s="1">
        <v>1.0</v>
      </c>
      <c r="H242" s="1" t="s">
        <v>171</v>
      </c>
      <c r="K242" s="1">
        <v>2.0</v>
      </c>
      <c r="AW242" s="1">
        <v>300.0</v>
      </c>
      <c r="AX242" s="1">
        <v>300.0</v>
      </c>
      <c r="AY242" s="1">
        <v>300.0</v>
      </c>
      <c r="AZ242" s="1">
        <v>550.0</v>
      </c>
    </row>
    <row r="243" ht="15.75" customHeight="1">
      <c r="A243" s="1">
        <v>242.0</v>
      </c>
      <c r="B243" s="1" t="s">
        <v>920</v>
      </c>
      <c r="C243" s="1">
        <v>815015.0</v>
      </c>
      <c r="H243" s="1" t="s">
        <v>180</v>
      </c>
      <c r="K243" s="1">
        <v>0.0</v>
      </c>
      <c r="O243" s="1">
        <v>1.0</v>
      </c>
      <c r="Q243" s="1">
        <v>10000.0</v>
      </c>
      <c r="BJ243" s="1">
        <v>1.0</v>
      </c>
    </row>
    <row r="244" ht="15.75" customHeight="1">
      <c r="A244" s="1">
        <v>243.0</v>
      </c>
      <c r="B244" s="1" t="s">
        <v>924</v>
      </c>
      <c r="C244" s="1">
        <v>815032.0</v>
      </c>
      <c r="H244" s="1" t="s">
        <v>193</v>
      </c>
      <c r="K244" s="1">
        <v>0.0</v>
      </c>
      <c r="O244" s="1">
        <v>1.0</v>
      </c>
      <c r="Q244" s="1" t="s">
        <v>1020</v>
      </c>
      <c r="BJ244" s="1">
        <v>1.0</v>
      </c>
    </row>
    <row r="245" ht="15.75" customHeight="1">
      <c r="A245" s="1">
        <v>244.0</v>
      </c>
      <c r="B245" s="1" t="s">
        <v>1021</v>
      </c>
      <c r="H245" s="1" t="s">
        <v>171</v>
      </c>
      <c r="K245" s="1">
        <v>1.0</v>
      </c>
      <c r="AM245" s="1">
        <v>0.05</v>
      </c>
      <c r="BJ245" s="1">
        <v>1.0</v>
      </c>
      <c r="BL245" s="1">
        <v>810035.0</v>
      </c>
      <c r="BM245" s="1">
        <v>20107.0</v>
      </c>
    </row>
    <row r="246" ht="15.75" customHeight="1">
      <c r="A246" s="1">
        <v>245.0</v>
      </c>
      <c r="B246" s="1" t="s">
        <v>1024</v>
      </c>
      <c r="H246" s="1" t="s">
        <v>171</v>
      </c>
      <c r="K246" s="1">
        <v>1.0</v>
      </c>
      <c r="AH246" s="1">
        <v>500.0</v>
      </c>
      <c r="AJ246" s="1">
        <v>500.0</v>
      </c>
      <c r="AL246" s="1">
        <v>0.025</v>
      </c>
      <c r="AM246" s="1">
        <v>0.025</v>
      </c>
      <c r="AP246" s="1">
        <v>0.025</v>
      </c>
      <c r="BJ246" s="1">
        <v>1.0</v>
      </c>
      <c r="BL246" s="1">
        <v>810035.0</v>
      </c>
      <c r="BM246" s="1">
        <v>20107.0</v>
      </c>
    </row>
    <row r="247" ht="15.75" customHeight="1">
      <c r="A247" s="1">
        <v>246.0</v>
      </c>
      <c r="B247" s="1" t="s">
        <v>1027</v>
      </c>
      <c r="C247" s="1">
        <v>815012.0</v>
      </c>
      <c r="H247" s="1" t="s">
        <v>180</v>
      </c>
      <c r="I247" s="1">
        <v>0.0</v>
      </c>
      <c r="K247" s="1">
        <v>5.0</v>
      </c>
      <c r="BE247" s="1">
        <v>40.0</v>
      </c>
      <c r="BF247" s="1">
        <v>19.0</v>
      </c>
      <c r="BG247" s="1">
        <v>98.0</v>
      </c>
      <c r="BJ247" s="1">
        <v>1.0</v>
      </c>
    </row>
    <row r="248" ht="15.75" customHeight="1">
      <c r="A248" s="1">
        <v>247.0</v>
      </c>
      <c r="B248" s="1" t="s">
        <v>947</v>
      </c>
      <c r="C248" s="1">
        <v>815046.0</v>
      </c>
      <c r="H248" s="1" t="s">
        <v>171</v>
      </c>
      <c r="K248" s="1">
        <v>0.0</v>
      </c>
      <c r="R248" s="1" t="s">
        <v>1029</v>
      </c>
    </row>
    <row r="249" ht="15.75" customHeight="1">
      <c r="A249" s="1">
        <v>248.0</v>
      </c>
      <c r="B249" s="1" t="s">
        <v>954</v>
      </c>
      <c r="C249" s="1">
        <v>815014.0</v>
      </c>
      <c r="H249" s="1" t="s">
        <v>571</v>
      </c>
      <c r="I249" s="1">
        <v>50.0</v>
      </c>
      <c r="K249" s="1">
        <v>0.0</v>
      </c>
      <c r="R249" s="1">
        <v>10000.0</v>
      </c>
      <c r="BJ249" s="1">
        <v>1.0</v>
      </c>
      <c r="BL249" s="1">
        <v>810007.0</v>
      </c>
      <c r="BM249" s="1">
        <v>20107.0</v>
      </c>
    </row>
    <row r="250" ht="15.75" customHeight="1">
      <c r="A250" s="1">
        <v>249.0</v>
      </c>
      <c r="B250" s="1" t="s">
        <v>959</v>
      </c>
      <c r="C250" s="1">
        <v>815014.0</v>
      </c>
      <c r="E250" s="1" t="s">
        <v>231</v>
      </c>
      <c r="F250" s="1" t="s">
        <v>260</v>
      </c>
      <c r="G250" s="1">
        <v>4.0</v>
      </c>
      <c r="H250" s="1" t="s">
        <v>198</v>
      </c>
      <c r="K250" s="1">
        <v>0.0</v>
      </c>
      <c r="Q250" s="1">
        <v>-5000.0</v>
      </c>
      <c r="BH250" s="1">
        <v>5000000.0</v>
      </c>
    </row>
    <row r="251" ht="15.75" customHeight="1">
      <c r="A251" s="1">
        <v>250.0</v>
      </c>
      <c r="B251" s="1" t="s">
        <v>1032</v>
      </c>
      <c r="G251" s="1">
        <v>1.0</v>
      </c>
      <c r="H251" s="1" t="s">
        <v>171</v>
      </c>
      <c r="K251" s="1">
        <v>2.0</v>
      </c>
      <c r="AW251" s="1">
        <v>1.0</v>
      </c>
      <c r="AX251" s="1">
        <v>1.0</v>
      </c>
      <c r="AY251" s="1">
        <v>1.0</v>
      </c>
      <c r="AZ251" s="1">
        <v>255.0</v>
      </c>
    </row>
    <row r="252" ht="15.75" customHeight="1">
      <c r="A252" s="1">
        <v>251.0</v>
      </c>
      <c r="B252" s="1" t="s">
        <v>1034</v>
      </c>
      <c r="C252" s="1">
        <v>815013.0</v>
      </c>
      <c r="E252" s="1" t="s">
        <v>231</v>
      </c>
      <c r="G252" s="1">
        <v>1.0</v>
      </c>
      <c r="H252" s="1" t="s">
        <v>171</v>
      </c>
      <c r="K252" s="1">
        <v>1.0</v>
      </c>
      <c r="L252" s="1">
        <v>1800.0</v>
      </c>
      <c r="AG252" s="1">
        <v>0.02</v>
      </c>
      <c r="BJ252" s="1">
        <v>1.0</v>
      </c>
      <c r="BL252" s="1">
        <v>810008.0</v>
      </c>
      <c r="BM252" s="1">
        <v>20107.0</v>
      </c>
    </row>
    <row r="253" ht="15.75" customHeight="1">
      <c r="A253" s="1">
        <v>252.0</v>
      </c>
      <c r="B253" s="1" t="s">
        <v>1036</v>
      </c>
      <c r="C253" s="1">
        <v>815013.0</v>
      </c>
      <c r="E253" s="1" t="s">
        <v>231</v>
      </c>
      <c r="G253" s="1">
        <v>1.0</v>
      </c>
      <c r="H253" s="1" t="s">
        <v>171</v>
      </c>
      <c r="K253" s="1">
        <v>1.0</v>
      </c>
      <c r="L253" s="1">
        <v>1800.0</v>
      </c>
      <c r="AI253" s="1">
        <v>0.02</v>
      </c>
      <c r="BJ253" s="1">
        <v>1.0</v>
      </c>
      <c r="BL253" s="1">
        <v>810008.0</v>
      </c>
      <c r="BM253" s="1">
        <v>20107.0</v>
      </c>
    </row>
    <row r="254" ht="15.75" customHeight="1">
      <c r="A254" s="1">
        <v>253.0</v>
      </c>
      <c r="B254" s="1" t="s">
        <v>1037</v>
      </c>
      <c r="C254" s="1">
        <v>815013.0</v>
      </c>
      <c r="E254" s="1" t="s">
        <v>231</v>
      </c>
      <c r="G254" s="1">
        <v>1.0</v>
      </c>
      <c r="H254" s="1" t="s">
        <v>171</v>
      </c>
      <c r="K254" s="1">
        <v>1.0</v>
      </c>
      <c r="L254" s="1">
        <v>600.0</v>
      </c>
      <c r="AK254" s="1">
        <v>0.2</v>
      </c>
      <c r="BJ254" s="1">
        <v>1.0</v>
      </c>
      <c r="BL254" s="1">
        <v>810027.0</v>
      </c>
      <c r="BM254" s="1">
        <v>20107.0</v>
      </c>
    </row>
    <row r="255" ht="15.75" customHeight="1">
      <c r="A255" s="1">
        <v>254.0</v>
      </c>
      <c r="B255" s="1" t="s">
        <v>1039</v>
      </c>
      <c r="C255" s="1">
        <v>815052.0</v>
      </c>
      <c r="E255" s="1" t="s">
        <v>231</v>
      </c>
      <c r="G255" s="1">
        <v>1.0</v>
      </c>
      <c r="H255" s="1" t="s">
        <v>171</v>
      </c>
      <c r="K255" s="1">
        <v>1.0</v>
      </c>
      <c r="L255" s="1">
        <v>900.0</v>
      </c>
      <c r="AL255" s="1">
        <v>0.15</v>
      </c>
      <c r="BJ255" s="1">
        <v>1.0</v>
      </c>
      <c r="BL255" s="1">
        <v>810035.0</v>
      </c>
      <c r="BM255" s="1">
        <v>20107.0</v>
      </c>
    </row>
    <row r="256" ht="15.75" customHeight="1">
      <c r="A256" s="1">
        <v>255.0</v>
      </c>
      <c r="B256" s="1" t="s">
        <v>1041</v>
      </c>
      <c r="C256" s="1">
        <v>815041.0</v>
      </c>
      <c r="E256" s="1" t="s">
        <v>231</v>
      </c>
      <c r="G256" s="1">
        <v>1.0</v>
      </c>
      <c r="H256" s="1" t="s">
        <v>171</v>
      </c>
      <c r="K256" s="1">
        <v>1.0</v>
      </c>
      <c r="L256" s="1">
        <v>900.0</v>
      </c>
      <c r="AM256" s="1">
        <v>0.15</v>
      </c>
      <c r="BJ256" s="1">
        <v>1.0</v>
      </c>
      <c r="BL256" s="1">
        <v>810035.0</v>
      </c>
      <c r="BM256" s="1">
        <v>20107.0</v>
      </c>
    </row>
    <row r="257" ht="15.75" customHeight="1">
      <c r="A257" s="1">
        <v>256.0</v>
      </c>
      <c r="B257" s="1" t="s">
        <v>1049</v>
      </c>
      <c r="H257" s="1" t="s">
        <v>171</v>
      </c>
      <c r="K257" s="1">
        <v>1.0</v>
      </c>
      <c r="AG257" s="1">
        <v>0.01</v>
      </c>
      <c r="AM257" s="1">
        <v>0.2</v>
      </c>
      <c r="BJ257" s="1">
        <v>1.0</v>
      </c>
      <c r="BL257" s="1">
        <v>810035.0</v>
      </c>
      <c r="BM257" s="1">
        <v>20107.0</v>
      </c>
    </row>
    <row r="258" ht="15.75" customHeight="1">
      <c r="A258" s="1">
        <v>257.0</v>
      </c>
      <c r="B258" s="1" t="s">
        <v>1051</v>
      </c>
      <c r="H258" s="1" t="s">
        <v>171</v>
      </c>
      <c r="K258" s="1">
        <v>1.0</v>
      </c>
      <c r="AI258" s="1">
        <v>0.01</v>
      </c>
      <c r="AL258" s="1">
        <v>0.2</v>
      </c>
      <c r="BJ258" s="1">
        <v>1.0</v>
      </c>
      <c r="BL258" s="1">
        <v>810035.0</v>
      </c>
      <c r="BM258" s="1">
        <v>20107.0</v>
      </c>
    </row>
    <row r="259" ht="15.75" customHeight="1">
      <c r="A259" s="1">
        <v>258.0</v>
      </c>
      <c r="B259" s="1" t="s">
        <v>1052</v>
      </c>
      <c r="H259" s="1" t="s">
        <v>171</v>
      </c>
      <c r="K259" s="1">
        <v>1.0</v>
      </c>
      <c r="AM259" s="1">
        <v>0.2</v>
      </c>
      <c r="BJ259" s="1">
        <v>1.0</v>
      </c>
      <c r="BL259" s="1">
        <v>810035.0</v>
      </c>
      <c r="BM259" s="1">
        <v>20107.0</v>
      </c>
    </row>
    <row r="260" ht="15.75" customHeight="1">
      <c r="A260" s="2">
        <v>259.0</v>
      </c>
      <c r="B260" s="3" t="s">
        <v>1054</v>
      </c>
      <c r="C260" s="4">
        <v>0.0</v>
      </c>
      <c r="D260" s="4">
        <v>0.0</v>
      </c>
      <c r="E260" s="3" t="s">
        <v>1056</v>
      </c>
      <c r="F260" s="3" t="s">
        <v>1057</v>
      </c>
      <c r="G260" s="4">
        <v>0.0</v>
      </c>
      <c r="H260" s="3" t="s">
        <v>171</v>
      </c>
      <c r="I260" s="3"/>
      <c r="J260" s="3"/>
      <c r="K260" s="3" t="s">
        <v>1058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4">
        <v>128.0</v>
      </c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4">
        <v>50754.0</v>
      </c>
      <c r="BM260" s="4">
        <v>104.0</v>
      </c>
      <c r="BN260" s="5"/>
      <c r="BO260" s="6" t="s">
        <v>1062</v>
      </c>
      <c r="BP260" s="3"/>
      <c r="BQ260" s="3"/>
      <c r="BR260" s="3"/>
      <c r="BS260" s="3"/>
      <c r="BT260" s="3"/>
      <c r="BU260" s="3"/>
      <c r="BV260" s="3"/>
      <c r="BW260" s="3"/>
      <c r="BX260" s="3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4</v>
      </c>
      <c r="C1" s="1" t="s">
        <v>6</v>
      </c>
      <c r="D1" s="1" t="s">
        <v>9</v>
      </c>
      <c r="E1" s="1" t="s">
        <v>11</v>
      </c>
      <c r="F1" s="1" t="s">
        <v>14</v>
      </c>
      <c r="G1" s="1" t="s">
        <v>17</v>
      </c>
      <c r="H1" s="1" t="s">
        <v>20</v>
      </c>
      <c r="I1" s="1" t="s">
        <v>24</v>
      </c>
      <c r="J1" s="1" t="s">
        <v>28</v>
      </c>
      <c r="K1" s="1" t="s">
        <v>32</v>
      </c>
      <c r="L1" s="1" t="s">
        <v>35</v>
      </c>
      <c r="M1" s="1" t="s">
        <v>40</v>
      </c>
      <c r="N1" s="1" t="s">
        <v>44</v>
      </c>
      <c r="O1" s="1" t="s">
        <v>47</v>
      </c>
      <c r="Q1" s="1" t="s">
        <v>49</v>
      </c>
    </row>
    <row r="2">
      <c r="A2" s="1">
        <v>1.0</v>
      </c>
      <c r="B2" s="1" t="s">
        <v>58</v>
      </c>
      <c r="D2" s="1">
        <v>0.0</v>
      </c>
      <c r="E2" s="1">
        <v>31.0</v>
      </c>
      <c r="G2" s="1">
        <v>810006.0</v>
      </c>
      <c r="H2" s="1">
        <v>20107.0</v>
      </c>
      <c r="K2" s="1">
        <v>5.0</v>
      </c>
      <c r="O2" s="1">
        <v>3.0</v>
      </c>
      <c r="Q2" s="1" t="str">
        <f>LOOKUP(O2, 'Spell Effects'!A:A, 'Spell Effects'!B:B)</f>
        <v>Healing 1</v>
      </c>
    </row>
    <row r="3">
      <c r="A3" s="1">
        <v>2.0</v>
      </c>
      <c r="B3" s="1" t="s">
        <v>109</v>
      </c>
      <c r="D3" s="1">
        <v>0.0</v>
      </c>
      <c r="E3" s="1">
        <v>31.0</v>
      </c>
      <c r="F3" s="1">
        <v>30000.0</v>
      </c>
      <c r="G3" s="1">
        <v>810018.0</v>
      </c>
      <c r="H3" s="1">
        <v>20107.0</v>
      </c>
      <c r="K3" s="1">
        <v>20.0</v>
      </c>
      <c r="O3" s="1">
        <v>4.0</v>
      </c>
      <c r="Q3" s="1" t="str">
        <f>LOOKUP(O3, 'Spell Effects'!A:A, 'Spell Effects'!B:B)</f>
        <v>Fortify 1</v>
      </c>
    </row>
    <row r="4">
      <c r="A4" s="1">
        <v>3.0</v>
      </c>
      <c r="B4" s="1" t="s">
        <v>136</v>
      </c>
      <c r="D4" s="1">
        <v>1.0</v>
      </c>
      <c r="E4" s="1">
        <v>59.0</v>
      </c>
      <c r="F4" s="1">
        <v>18000.0</v>
      </c>
      <c r="G4" s="1">
        <v>810000.0</v>
      </c>
      <c r="H4" s="1">
        <v>20107.0</v>
      </c>
      <c r="K4" s="1">
        <v>20.0</v>
      </c>
      <c r="O4" s="1">
        <v>5.0</v>
      </c>
      <c r="Q4" s="1" t="str">
        <f>LOOKUP(O4, 'Spell Effects'!A:A, 'Spell Effects'!B:B)</f>
        <v>Backstab 1</v>
      </c>
    </row>
    <row r="5">
      <c r="A5" s="1">
        <v>4.0</v>
      </c>
      <c r="B5" s="1" t="s">
        <v>156</v>
      </c>
      <c r="D5" s="1">
        <v>0.0</v>
      </c>
      <c r="E5" s="1">
        <v>55.0</v>
      </c>
      <c r="F5" s="1">
        <v>5000.0</v>
      </c>
      <c r="G5" s="1">
        <v>810000.0</v>
      </c>
      <c r="H5" s="1">
        <v>20107.0</v>
      </c>
      <c r="K5" s="1">
        <v>10.0</v>
      </c>
      <c r="O5" s="1">
        <v>6.0</v>
      </c>
      <c r="Q5" s="1" t="str">
        <f>LOOKUP(O5, 'Spell Effects'!A:A, 'Spell Effects'!B:B)</f>
        <v>Taunt 1</v>
      </c>
    </row>
    <row r="6">
      <c r="A6" s="1">
        <v>5.0</v>
      </c>
      <c r="B6" s="1" t="s">
        <v>172</v>
      </c>
      <c r="D6" s="1">
        <v>0.0</v>
      </c>
      <c r="E6" s="1">
        <v>47.0</v>
      </c>
      <c r="F6" s="1">
        <v>500.0</v>
      </c>
      <c r="G6" s="1">
        <v>810012.0</v>
      </c>
      <c r="H6" s="1">
        <v>20107.0</v>
      </c>
      <c r="K6" s="1">
        <v>5.0</v>
      </c>
      <c r="O6" s="1">
        <v>7.0</v>
      </c>
      <c r="Q6" s="1" t="str">
        <f>LOOKUP(O6, 'Spell Effects'!A:A, 'Spell Effects'!B:B)</f>
        <v>Elemental Strike 1</v>
      </c>
    </row>
    <row r="7">
      <c r="A7" s="1">
        <v>6.0</v>
      </c>
      <c r="B7" s="1" t="s">
        <v>176</v>
      </c>
      <c r="D7" s="1">
        <v>0.0</v>
      </c>
      <c r="E7" s="1">
        <v>47.0</v>
      </c>
      <c r="F7" s="1">
        <v>500.0</v>
      </c>
      <c r="G7" s="1">
        <v>810013.0</v>
      </c>
      <c r="H7" s="1">
        <v>20107.0</v>
      </c>
      <c r="K7" s="1">
        <v>10.0</v>
      </c>
      <c r="O7" s="1">
        <v>8.0</v>
      </c>
      <c r="Q7" s="1" t="str">
        <f>LOOKUP(O7, 'Spell Effects'!A:A, 'Spell Effects'!B:B)</f>
        <v>Elemental Strike 2</v>
      </c>
    </row>
    <row r="8">
      <c r="A8" s="1">
        <v>7.0</v>
      </c>
      <c r="B8" s="1" t="s">
        <v>184</v>
      </c>
      <c r="D8" s="1">
        <v>0.0</v>
      </c>
      <c r="E8" s="1">
        <v>47.0</v>
      </c>
      <c r="F8" s="1">
        <v>10000.0</v>
      </c>
      <c r="G8" s="1">
        <v>810018.0</v>
      </c>
      <c r="H8" s="1">
        <v>20107.0</v>
      </c>
      <c r="K8" s="1">
        <v>20.0</v>
      </c>
      <c r="O8" s="1">
        <v>9.0</v>
      </c>
      <c r="Q8" s="1" t="str">
        <f>LOOKUP(O8, 'Spell Effects'!A:A, 'Spell Effects'!B:B)</f>
        <v>Arcane Shield 1</v>
      </c>
    </row>
    <row r="9">
      <c r="A9" s="1">
        <v>8.0</v>
      </c>
      <c r="B9" s="1" t="s">
        <v>194</v>
      </c>
      <c r="D9" s="1">
        <v>0.0</v>
      </c>
      <c r="E9" s="1">
        <v>47.0</v>
      </c>
      <c r="F9" s="1">
        <v>500.0</v>
      </c>
      <c r="G9" s="1">
        <v>810011.0</v>
      </c>
      <c r="H9" s="1">
        <v>20107.0</v>
      </c>
      <c r="K9" s="1">
        <v>20.0</v>
      </c>
      <c r="O9" s="1">
        <v>10.0</v>
      </c>
      <c r="Q9" s="1" t="str">
        <f>LOOKUP(O9, 'Spell Effects'!A:A, 'Spell Effects'!B:B)</f>
        <v>Elemental Strike 3</v>
      </c>
    </row>
    <row r="10">
      <c r="A10" s="1">
        <v>9.0</v>
      </c>
      <c r="B10" s="1" t="s">
        <v>199</v>
      </c>
      <c r="D10" s="1">
        <v>0.0</v>
      </c>
      <c r="E10" s="1">
        <v>47.0</v>
      </c>
      <c r="F10" s="1">
        <v>10000.0</v>
      </c>
      <c r="G10" s="1">
        <v>810004.0</v>
      </c>
      <c r="H10" s="1">
        <v>20107.0</v>
      </c>
      <c r="K10" s="1">
        <v>20.0</v>
      </c>
      <c r="O10" s="1">
        <v>11.0</v>
      </c>
      <c r="Q10" s="1" t="str">
        <f>LOOKUP(O10, 'Spell Effects'!A:A, 'Spell Effects'!B:B)</f>
        <v>Elemental Shielding 1</v>
      </c>
    </row>
    <row r="11">
      <c r="A11" s="1">
        <v>10.0</v>
      </c>
      <c r="B11" s="1" t="s">
        <v>207</v>
      </c>
      <c r="D11" s="1">
        <v>1.0</v>
      </c>
      <c r="E11" s="1">
        <v>47.0</v>
      </c>
      <c r="F11" s="1">
        <v>10000.0</v>
      </c>
      <c r="G11" s="1">
        <v>810009.0</v>
      </c>
      <c r="H11" s="1">
        <v>20107.0</v>
      </c>
      <c r="K11" s="1">
        <v>20.0</v>
      </c>
      <c r="O11" s="1">
        <v>12.0</v>
      </c>
      <c r="Q11" s="1" t="str">
        <f>LOOKUP(O11, 'Spell Effects'!A:A, 'Spell Effects'!B:B)</f>
        <v>Teleportation</v>
      </c>
    </row>
    <row r="12">
      <c r="A12" s="1">
        <v>11.0</v>
      </c>
      <c r="B12" s="1" t="s">
        <v>212</v>
      </c>
      <c r="D12" s="1">
        <v>0.0</v>
      </c>
      <c r="E12" s="1">
        <v>15.0</v>
      </c>
      <c r="G12" s="1">
        <v>810024.0</v>
      </c>
      <c r="H12" s="1">
        <v>20107.0</v>
      </c>
      <c r="K12" s="1">
        <v>20.0</v>
      </c>
      <c r="O12" s="1">
        <v>13.0</v>
      </c>
      <c r="Q12" s="1" t="str">
        <f>LOOKUP(O12, 'Spell Effects'!A:A, 'Spell Effects'!B:B)</f>
        <v>Root</v>
      </c>
    </row>
    <row r="13">
      <c r="A13" s="1">
        <v>12.0</v>
      </c>
      <c r="B13" s="1" t="s">
        <v>217</v>
      </c>
      <c r="D13" s="1">
        <v>0.0</v>
      </c>
      <c r="E13" s="1">
        <v>47.0</v>
      </c>
      <c r="F13" s="1">
        <v>500.0</v>
      </c>
      <c r="G13" s="1">
        <v>810003.0</v>
      </c>
      <c r="H13" s="1">
        <v>20107.0</v>
      </c>
      <c r="K13" s="1">
        <v>40.0</v>
      </c>
      <c r="O13" s="1">
        <v>14.0</v>
      </c>
      <c r="Q13" s="1" t="str">
        <f>LOOKUP(O13, 'Spell Effects'!A:A, 'Spell Effects'!B:B)</f>
        <v>Elemental Strike 4</v>
      </c>
    </row>
    <row r="14">
      <c r="A14" s="1">
        <v>13.0</v>
      </c>
      <c r="B14" s="1" t="s">
        <v>221</v>
      </c>
      <c r="D14" s="1">
        <v>0.0</v>
      </c>
      <c r="E14" s="1">
        <v>47.0</v>
      </c>
      <c r="G14" s="1">
        <v>810023.0</v>
      </c>
      <c r="H14" s="1">
        <v>20107.0</v>
      </c>
      <c r="K14" s="1">
        <v>50.0</v>
      </c>
      <c r="O14" s="1">
        <v>15.0</v>
      </c>
      <c r="Q14" s="1" t="str">
        <f>LOOKUP(O14, 'Spell Effects'!A:A, 'Spell Effects'!B:B)</f>
        <v>Snare</v>
      </c>
    </row>
    <row r="15">
      <c r="A15" s="1">
        <v>14.0</v>
      </c>
      <c r="B15" s="1" t="s">
        <v>224</v>
      </c>
      <c r="D15" s="1">
        <v>0.0</v>
      </c>
      <c r="E15" s="1">
        <v>47.0</v>
      </c>
      <c r="F15" s="1">
        <v>1000.0</v>
      </c>
      <c r="G15" s="1">
        <v>810012.0</v>
      </c>
      <c r="H15" s="1">
        <v>20107.0</v>
      </c>
      <c r="K15" s="1">
        <v>80.0</v>
      </c>
      <c r="O15" s="1">
        <v>16.0</v>
      </c>
      <c r="Q15" s="1" t="str">
        <f>LOOKUP(O15, 'Spell Effects'!A:A, 'Spell Effects'!B:B)</f>
        <v>Elemental Strike 5</v>
      </c>
    </row>
    <row r="16">
      <c r="A16" s="1">
        <v>15.0</v>
      </c>
      <c r="B16" s="1" t="s">
        <v>229</v>
      </c>
      <c r="D16" s="1">
        <v>1.0</v>
      </c>
      <c r="E16" s="1">
        <v>15.0</v>
      </c>
      <c r="F16" s="1">
        <v>20000.0</v>
      </c>
      <c r="G16" s="1">
        <v>810009.0</v>
      </c>
      <c r="H16" s="1">
        <v>20107.0</v>
      </c>
      <c r="K16" s="1">
        <v>30.0</v>
      </c>
      <c r="O16" s="1">
        <v>17.0</v>
      </c>
      <c r="Q16" s="1" t="str">
        <f>LOOKUP(O16, 'Spell Effects'!A:A, 'Spell Effects'!B:B)</f>
        <v>Gate</v>
      </c>
    </row>
    <row r="17">
      <c r="A17" s="1">
        <v>16.0</v>
      </c>
      <c r="B17" s="1" t="s">
        <v>235</v>
      </c>
      <c r="D17" s="1">
        <v>0.0</v>
      </c>
      <c r="E17" s="1">
        <v>47.0</v>
      </c>
      <c r="F17" s="1">
        <v>90000.0</v>
      </c>
      <c r="G17" s="1">
        <v>810008.0</v>
      </c>
      <c r="H17" s="1">
        <v>20107.0</v>
      </c>
      <c r="K17" s="1">
        <v>80.0</v>
      </c>
      <c r="O17" s="1">
        <v>18.0</v>
      </c>
      <c r="Q17" s="1" t="str">
        <f>LOOKUP(O17, 'Spell Effects'!A:A, 'Spell Effects'!B:B)</f>
        <v>Regeneration 1</v>
      </c>
    </row>
    <row r="18">
      <c r="A18" s="1">
        <v>17.0</v>
      </c>
      <c r="B18" s="1" t="s">
        <v>240</v>
      </c>
      <c r="D18" s="1">
        <v>1.0</v>
      </c>
      <c r="E18" s="1">
        <v>15.0</v>
      </c>
      <c r="F18" s="1">
        <v>20000.0</v>
      </c>
      <c r="G18" s="1">
        <v>810007.0</v>
      </c>
      <c r="H18" s="1">
        <v>20107.0</v>
      </c>
      <c r="K18" s="1">
        <v>80.0</v>
      </c>
      <c r="O18" s="1">
        <v>19.0</v>
      </c>
      <c r="Q18" s="1" t="str">
        <f>LOOKUP(O18, 'Spell Effects'!A:A, 'Spell Effects'!B:B)</f>
        <v>Bind Self</v>
      </c>
    </row>
    <row r="19">
      <c r="A19" s="1">
        <v>18.0</v>
      </c>
      <c r="B19" s="1" t="s">
        <v>245</v>
      </c>
      <c r="D19" s="1">
        <v>2.0</v>
      </c>
      <c r="E19" s="1">
        <v>47.0</v>
      </c>
      <c r="F19" s="1">
        <v>120000.0</v>
      </c>
      <c r="G19" s="1">
        <v>810009.0</v>
      </c>
      <c r="H19" s="1">
        <v>20107.0</v>
      </c>
      <c r="K19" s="1">
        <v>100.0</v>
      </c>
      <c r="O19" s="1">
        <v>12.0</v>
      </c>
      <c r="Q19" s="1" t="str">
        <f>LOOKUP(O19, 'Spell Effects'!A:A, 'Spell Effects'!B:B)</f>
        <v>Teleportation</v>
      </c>
    </row>
    <row r="20">
      <c r="A20" s="1">
        <v>19.0</v>
      </c>
      <c r="B20" s="1" t="s">
        <v>248</v>
      </c>
      <c r="D20" s="1">
        <v>0.0</v>
      </c>
      <c r="E20" s="1">
        <v>47.0</v>
      </c>
      <c r="F20" s="1">
        <v>1000.0</v>
      </c>
      <c r="G20" s="1">
        <v>810013.0</v>
      </c>
      <c r="H20" s="1">
        <v>20107.0</v>
      </c>
      <c r="K20" s="1">
        <v>160.0</v>
      </c>
      <c r="O20" s="1">
        <v>20.0</v>
      </c>
      <c r="Q20" s="1" t="str">
        <f>LOOKUP(O20, 'Spell Effects'!A:A, 'Spell Effects'!B:B)</f>
        <v>Elemental Strike 6</v>
      </c>
    </row>
    <row r="21" ht="15.75" customHeight="1">
      <c r="A21" s="1">
        <v>20.0</v>
      </c>
      <c r="B21" s="1" t="s">
        <v>251</v>
      </c>
      <c r="D21" s="1">
        <v>1.0</v>
      </c>
      <c r="E21" s="1">
        <v>55.0</v>
      </c>
      <c r="F21" s="1">
        <v>120000.0</v>
      </c>
      <c r="G21" s="1">
        <v>810033.0</v>
      </c>
      <c r="H21" s="1">
        <v>20107.0</v>
      </c>
      <c r="K21" s="1">
        <v>30.0</v>
      </c>
      <c r="O21" s="1">
        <v>21.0</v>
      </c>
      <c r="Q21" s="1" t="str">
        <f>LOOKUP(O21, 'Spell Effects'!A:A, 'Spell Effects'!B:B)</f>
        <v>Rampant Rage</v>
      </c>
    </row>
    <row r="22" ht="15.75" customHeight="1">
      <c r="A22" s="1">
        <v>21.0</v>
      </c>
      <c r="B22" s="1" t="s">
        <v>256</v>
      </c>
      <c r="D22" s="1">
        <v>1.0</v>
      </c>
      <c r="E22" s="1">
        <v>55.0</v>
      </c>
      <c r="F22" s="1">
        <v>180000.0</v>
      </c>
      <c r="G22" s="1">
        <v>810007.0</v>
      </c>
      <c r="H22" s="1">
        <v>20107.0</v>
      </c>
      <c r="K22" s="1">
        <v>30.0</v>
      </c>
      <c r="O22" s="1">
        <v>22.0</v>
      </c>
      <c r="Q22" s="1" t="str">
        <f>LOOKUP(O22, 'Spell Effects'!A:A, 'Spell Effects'!B:B)</f>
        <v>Insight</v>
      </c>
    </row>
    <row r="23" ht="15.75" customHeight="1">
      <c r="A23" s="1">
        <v>22.0</v>
      </c>
      <c r="B23" s="1" t="s">
        <v>259</v>
      </c>
      <c r="D23" s="1">
        <v>1.0</v>
      </c>
      <c r="E23" s="1">
        <v>55.0</v>
      </c>
      <c r="F23" s="1">
        <v>10000.0</v>
      </c>
      <c r="G23" s="1">
        <v>810000.0</v>
      </c>
      <c r="H23" s="1">
        <v>20107.0</v>
      </c>
      <c r="K23" s="1">
        <v>40.0</v>
      </c>
      <c r="O23" s="1">
        <v>23.0</v>
      </c>
      <c r="Q23" s="1" t="str">
        <f>LOOKUP(O23, 'Spell Effects'!A:A, 'Spell Effects'!B:B)</f>
        <v>Area Taunt</v>
      </c>
    </row>
    <row r="24" ht="15.75" customHeight="1">
      <c r="A24" s="1">
        <v>23.0</v>
      </c>
      <c r="B24" s="1" t="s">
        <v>263</v>
      </c>
      <c r="D24" s="1">
        <v>1.0</v>
      </c>
      <c r="E24" s="1">
        <v>55.0</v>
      </c>
      <c r="F24" s="1">
        <v>180000.0</v>
      </c>
      <c r="G24" s="1">
        <v>810011.0</v>
      </c>
      <c r="H24" s="1">
        <v>20107.0</v>
      </c>
      <c r="K24" s="1">
        <v>50.0</v>
      </c>
      <c r="O24" s="1">
        <v>24.0</v>
      </c>
      <c r="Q24" s="1" t="str">
        <f>LOOKUP(O24, 'Spell Effects'!A:A, 'Spell Effects'!B:B)</f>
        <v>Ground Slam 1</v>
      </c>
    </row>
    <row r="25" ht="15.75" customHeight="1">
      <c r="A25" s="1">
        <v>24.0</v>
      </c>
      <c r="B25" s="1" t="s">
        <v>268</v>
      </c>
      <c r="D25" s="1">
        <v>1.0</v>
      </c>
      <c r="E25" s="1">
        <v>55.0</v>
      </c>
      <c r="F25" s="1">
        <v>225000.0</v>
      </c>
      <c r="G25" s="1">
        <v>810000.0</v>
      </c>
      <c r="H25" s="1">
        <v>20107.0</v>
      </c>
      <c r="K25" s="1">
        <v>50.0</v>
      </c>
      <c r="O25" s="1">
        <v>25.0</v>
      </c>
      <c r="Q25" s="1" t="str">
        <f>LOOKUP(O25, 'Spell Effects'!A:A, 'Spell Effects'!B:B)</f>
        <v>Berserker 1</v>
      </c>
    </row>
    <row r="26" ht="15.75" customHeight="1">
      <c r="A26" s="1">
        <v>25.0</v>
      </c>
      <c r="B26" s="1" t="s">
        <v>271</v>
      </c>
      <c r="D26" s="1">
        <v>1.0</v>
      </c>
      <c r="E26" s="1">
        <v>59.0</v>
      </c>
      <c r="F26" s="1">
        <v>120000.0</v>
      </c>
      <c r="G26" s="1">
        <v>810014.0</v>
      </c>
      <c r="H26" s="1">
        <v>20107.0</v>
      </c>
      <c r="K26" s="1">
        <v>30.0</v>
      </c>
      <c r="O26" s="1">
        <v>26.0</v>
      </c>
      <c r="Q26" s="1" t="str">
        <f>LOOKUP(O26, 'Spell Effects'!A:A, 'Spell Effects'!B:B)</f>
        <v>Poison Weapon 1</v>
      </c>
    </row>
    <row r="27" ht="15.75" customHeight="1">
      <c r="A27" s="1">
        <v>26.0</v>
      </c>
      <c r="B27" s="1" t="s">
        <v>276</v>
      </c>
      <c r="D27" s="1">
        <v>1.0</v>
      </c>
      <c r="E27" s="1">
        <v>59.0</v>
      </c>
      <c r="F27" s="1">
        <v>23000.0</v>
      </c>
      <c r="G27" s="1">
        <v>810000.0</v>
      </c>
      <c r="H27" s="1">
        <v>20107.0</v>
      </c>
      <c r="K27" s="1">
        <v>40.0</v>
      </c>
      <c r="O27" s="1">
        <v>27.0</v>
      </c>
      <c r="Q27" s="1" t="str">
        <f>LOOKUP(O27, 'Spell Effects'!A:A, 'Spell Effects'!B:B)</f>
        <v>Backstab 2</v>
      </c>
    </row>
    <row r="28" ht="15.75" customHeight="1">
      <c r="A28" s="1">
        <v>27.0</v>
      </c>
      <c r="B28" s="1" t="s">
        <v>281</v>
      </c>
      <c r="D28" s="1">
        <v>1.0</v>
      </c>
      <c r="E28" s="1">
        <v>59.0</v>
      </c>
      <c r="F28" s="1">
        <v>90000.0</v>
      </c>
      <c r="G28" s="1">
        <v>810021.0</v>
      </c>
      <c r="H28" s="1">
        <v>20107.0</v>
      </c>
      <c r="K28" s="1">
        <v>50.0</v>
      </c>
      <c r="O28" s="1">
        <v>28.0</v>
      </c>
      <c r="Q28" s="1" t="str">
        <f>LOOKUP(O28, 'Spell Effects'!A:A, 'Spell Effects'!B:B)</f>
        <v>Nimble 1</v>
      </c>
    </row>
    <row r="29" ht="15.75" customHeight="1">
      <c r="A29" s="1">
        <v>28.0</v>
      </c>
      <c r="B29" s="1" t="s">
        <v>286</v>
      </c>
      <c r="D29" s="1">
        <v>1.0</v>
      </c>
      <c r="E29" s="1">
        <v>59.0</v>
      </c>
      <c r="F29" s="1">
        <v>27000.0</v>
      </c>
      <c r="G29" s="1">
        <v>810000.0</v>
      </c>
      <c r="H29" s="1">
        <v>20107.0</v>
      </c>
      <c r="K29" s="1">
        <v>60.0</v>
      </c>
      <c r="O29" s="1">
        <v>29.0</v>
      </c>
      <c r="Q29" s="1" t="str">
        <f>LOOKUP(O29, 'Spell Effects'!A:A, 'Spell Effects'!B:B)</f>
        <v>Backstab 3</v>
      </c>
    </row>
    <row r="30" ht="15.75" customHeight="1">
      <c r="A30" s="1">
        <v>29.0</v>
      </c>
      <c r="B30" s="1" t="s">
        <v>290</v>
      </c>
      <c r="D30" s="1">
        <v>0.0</v>
      </c>
      <c r="F30" s="1">
        <v>300000.0</v>
      </c>
      <c r="G30" s="1">
        <v>810007.0</v>
      </c>
      <c r="H30" s="1">
        <v>20107.0</v>
      </c>
      <c r="K30" s="1">
        <v>100.0</v>
      </c>
      <c r="O30" s="1">
        <v>30.0</v>
      </c>
      <c r="Q30" s="1" t="str">
        <f>LOOKUP(O30, 'Spell Effects'!A:A, 'Spell Effects'!B:B)</f>
        <v>Illusion: Snowman</v>
      </c>
    </row>
    <row r="31" ht="15.75" customHeight="1">
      <c r="A31" s="1">
        <v>30.0</v>
      </c>
      <c r="B31" s="1" t="s">
        <v>301</v>
      </c>
      <c r="D31" s="1">
        <v>0.0</v>
      </c>
      <c r="E31" s="1">
        <v>31.0</v>
      </c>
      <c r="G31" s="1">
        <v>810006.0</v>
      </c>
      <c r="H31" s="1">
        <v>20107.0</v>
      </c>
      <c r="K31" s="1">
        <v>10.0</v>
      </c>
      <c r="O31" s="1">
        <v>35.0</v>
      </c>
      <c r="Q31" s="1" t="str">
        <f>LOOKUP(O31, 'Spell Effects'!A:A, 'Spell Effects'!B:B)</f>
        <v>Healing 2</v>
      </c>
    </row>
    <row r="32" ht="15.75" customHeight="1">
      <c r="A32" s="1">
        <v>31.0</v>
      </c>
      <c r="B32" s="1" t="s">
        <v>302</v>
      </c>
      <c r="D32" s="1">
        <v>0.0</v>
      </c>
      <c r="E32" s="1">
        <v>31.0</v>
      </c>
      <c r="G32" s="1">
        <v>810006.0</v>
      </c>
      <c r="H32" s="1">
        <v>20107.0</v>
      </c>
      <c r="K32" s="1">
        <v>25.0</v>
      </c>
      <c r="O32" s="1">
        <v>36.0</v>
      </c>
      <c r="Q32" s="1" t="str">
        <f>LOOKUP(O32, 'Spell Effects'!A:A, 'Spell Effects'!B:B)</f>
        <v>Healing 3</v>
      </c>
    </row>
    <row r="33" ht="15.75" customHeight="1">
      <c r="A33" s="1">
        <v>32.0</v>
      </c>
      <c r="B33" s="1" t="s">
        <v>304</v>
      </c>
      <c r="D33" s="1">
        <v>0.0</v>
      </c>
      <c r="E33" s="1">
        <v>31.0</v>
      </c>
      <c r="G33" s="1">
        <v>810006.0</v>
      </c>
      <c r="H33" s="1">
        <v>20107.0</v>
      </c>
      <c r="K33" s="1">
        <v>50.0</v>
      </c>
      <c r="O33" s="1">
        <v>37.0</v>
      </c>
      <c r="Q33" s="1" t="str">
        <f>LOOKUP(O33, 'Spell Effects'!A:A, 'Spell Effects'!B:B)</f>
        <v>Healing 4</v>
      </c>
    </row>
    <row r="34" ht="15.75" customHeight="1">
      <c r="A34" s="1">
        <v>33.0</v>
      </c>
      <c r="B34" s="1" t="s">
        <v>306</v>
      </c>
      <c r="D34" s="1">
        <v>0.0</v>
      </c>
      <c r="E34" s="1">
        <v>31.0</v>
      </c>
      <c r="G34" s="1">
        <v>810006.0</v>
      </c>
      <c r="H34" s="1">
        <v>20107.0</v>
      </c>
      <c r="K34" s="1">
        <v>100.0</v>
      </c>
      <c r="O34" s="1">
        <v>38.0</v>
      </c>
      <c r="Q34" s="1" t="str">
        <f>LOOKUP(O34, 'Spell Effects'!A:A, 'Spell Effects'!B:B)</f>
        <v>Healing 5</v>
      </c>
    </row>
    <row r="35" ht="15.75" customHeight="1">
      <c r="A35" s="1">
        <v>34.0</v>
      </c>
      <c r="B35" s="1" t="s">
        <v>310</v>
      </c>
      <c r="D35" s="1">
        <v>0.0</v>
      </c>
      <c r="E35" s="1">
        <v>31.0</v>
      </c>
      <c r="F35" s="1">
        <v>5000.0</v>
      </c>
      <c r="G35" s="1">
        <v>810018.0</v>
      </c>
      <c r="H35" s="1">
        <v>20107.0</v>
      </c>
      <c r="K35" s="1">
        <v>50.0</v>
      </c>
      <c r="O35" s="1">
        <v>39.0</v>
      </c>
      <c r="Q35" s="1" t="str">
        <f>LOOKUP(O35, 'Spell Effects'!A:A, 'Spell Effects'!B:B)</f>
        <v>Fortify 2</v>
      </c>
    </row>
    <row r="36" ht="15.75" customHeight="1">
      <c r="A36" s="1">
        <v>35.0</v>
      </c>
      <c r="B36" s="1" t="s">
        <v>317</v>
      </c>
      <c r="D36" s="1">
        <v>0.0</v>
      </c>
      <c r="E36" s="1">
        <v>31.0</v>
      </c>
      <c r="F36" s="1">
        <v>5000.0</v>
      </c>
      <c r="G36" s="1">
        <v>810018.0</v>
      </c>
      <c r="H36" s="1">
        <v>20107.0</v>
      </c>
      <c r="K36" s="1">
        <v>100.0</v>
      </c>
      <c r="O36" s="1">
        <v>40.0</v>
      </c>
      <c r="Q36" s="1" t="str">
        <f>LOOKUP(O36, 'Spell Effects'!A:A, 'Spell Effects'!B:B)</f>
        <v>Fortify 3</v>
      </c>
    </row>
    <row r="37" ht="15.75" customHeight="1">
      <c r="A37" s="1">
        <v>36.0</v>
      </c>
      <c r="B37" s="1" t="s">
        <v>323</v>
      </c>
      <c r="D37" s="1">
        <v>0.0</v>
      </c>
      <c r="E37" s="1">
        <v>31.0</v>
      </c>
      <c r="F37" s="1">
        <v>5000.0</v>
      </c>
      <c r="G37" s="1">
        <v>810018.0</v>
      </c>
      <c r="H37" s="1">
        <v>20107.0</v>
      </c>
      <c r="K37" s="1">
        <v>150.0</v>
      </c>
      <c r="O37" s="1">
        <v>41.0</v>
      </c>
      <c r="Q37" s="1" t="str">
        <f>LOOKUP(O37, 'Spell Effects'!A:A, 'Spell Effects'!B:B)</f>
        <v>Fortify 4</v>
      </c>
    </row>
    <row r="38" ht="15.75" customHeight="1">
      <c r="A38" s="1">
        <v>37.0</v>
      </c>
      <c r="B38" s="1" t="s">
        <v>329</v>
      </c>
      <c r="D38" s="1">
        <v>0.0</v>
      </c>
      <c r="E38" s="1">
        <v>31.0</v>
      </c>
      <c r="F38" s="1">
        <v>5000.0</v>
      </c>
      <c r="G38" s="1">
        <v>810018.0</v>
      </c>
      <c r="H38" s="1">
        <v>20107.0</v>
      </c>
      <c r="K38" s="1">
        <v>300.0</v>
      </c>
      <c r="O38" s="1">
        <v>42.0</v>
      </c>
      <c r="Q38" s="1" t="str">
        <f>LOOKUP(O38, 'Spell Effects'!A:A, 'Spell Effects'!B:B)</f>
        <v>Fortify 5</v>
      </c>
    </row>
    <row r="39" ht="15.75" customHeight="1">
      <c r="A39" s="1">
        <v>38.0</v>
      </c>
      <c r="B39" s="1" t="s">
        <v>334</v>
      </c>
      <c r="D39" s="1">
        <v>0.0</v>
      </c>
      <c r="E39" s="1">
        <v>31.0</v>
      </c>
      <c r="F39" s="1">
        <v>5000.0</v>
      </c>
      <c r="G39" s="1">
        <v>810020.0</v>
      </c>
      <c r="H39" s="1">
        <v>20107.0</v>
      </c>
      <c r="K39" s="1">
        <v>20.0</v>
      </c>
      <c r="O39" s="1">
        <v>43.0</v>
      </c>
      <c r="Q39" s="1" t="str">
        <f>LOOKUP(O39, 'Spell Effects'!A:A, 'Spell Effects'!B:B)</f>
        <v>Strength 1</v>
      </c>
    </row>
    <row r="40" ht="15.75" customHeight="1">
      <c r="A40" s="1">
        <v>39.0</v>
      </c>
      <c r="B40" s="1" t="s">
        <v>338</v>
      </c>
      <c r="D40" s="1">
        <v>0.0</v>
      </c>
      <c r="E40" s="1">
        <v>31.0</v>
      </c>
      <c r="F40" s="1">
        <v>5000.0</v>
      </c>
      <c r="G40" s="1">
        <v>810020.0</v>
      </c>
      <c r="H40" s="1">
        <v>20107.0</v>
      </c>
      <c r="K40" s="1">
        <v>50.0</v>
      </c>
      <c r="O40" s="1">
        <v>44.0</v>
      </c>
      <c r="Q40" s="1" t="str">
        <f>LOOKUP(O40, 'Spell Effects'!A:A, 'Spell Effects'!B:B)</f>
        <v>Strength 2</v>
      </c>
    </row>
    <row r="41" ht="15.75" customHeight="1">
      <c r="A41" s="1">
        <v>40.0</v>
      </c>
      <c r="B41" s="1" t="s">
        <v>345</v>
      </c>
      <c r="D41" s="1">
        <v>0.0</v>
      </c>
      <c r="E41" s="1">
        <v>31.0</v>
      </c>
      <c r="F41" s="1">
        <v>5000.0</v>
      </c>
      <c r="G41" s="1">
        <v>810020.0</v>
      </c>
      <c r="H41" s="1">
        <v>20107.0</v>
      </c>
      <c r="K41" s="1">
        <v>75.0</v>
      </c>
      <c r="O41" s="1">
        <v>45.0</v>
      </c>
      <c r="Q41" s="1" t="str">
        <f>LOOKUP(O41, 'Spell Effects'!A:A, 'Spell Effects'!B:B)</f>
        <v>Strength 3</v>
      </c>
    </row>
    <row r="42" ht="15.75" customHeight="1">
      <c r="A42" s="1">
        <v>41.0</v>
      </c>
      <c r="B42" s="1" t="s">
        <v>350</v>
      </c>
      <c r="D42" s="1">
        <v>0.0</v>
      </c>
      <c r="E42" s="1">
        <v>31.0</v>
      </c>
      <c r="F42" s="1">
        <v>5000.0</v>
      </c>
      <c r="G42" s="1">
        <v>810020.0</v>
      </c>
      <c r="H42" s="1">
        <v>20107.0</v>
      </c>
      <c r="K42" s="1">
        <v>100.0</v>
      </c>
      <c r="O42" s="1">
        <v>46.0</v>
      </c>
      <c r="Q42" s="1" t="str">
        <f>LOOKUP(O42, 'Spell Effects'!A:A, 'Spell Effects'!B:B)</f>
        <v>Strength 4</v>
      </c>
    </row>
    <row r="43" ht="15.75" customHeight="1">
      <c r="A43" s="1">
        <v>42.0</v>
      </c>
      <c r="B43" s="1" t="s">
        <v>353</v>
      </c>
      <c r="D43" s="1">
        <v>0.0</v>
      </c>
      <c r="E43" s="1">
        <v>31.0</v>
      </c>
      <c r="F43" s="1">
        <v>5000.0</v>
      </c>
      <c r="G43" s="1">
        <v>810020.0</v>
      </c>
      <c r="H43" s="1">
        <v>20107.0</v>
      </c>
      <c r="K43" s="1">
        <v>150.0</v>
      </c>
      <c r="O43" s="1">
        <v>47.0</v>
      </c>
      <c r="Q43" s="1" t="str">
        <f>LOOKUP(O43, 'Spell Effects'!A:A, 'Spell Effects'!B:B)</f>
        <v>Strength 5</v>
      </c>
    </row>
    <row r="44" ht="15.75" customHeight="1">
      <c r="A44" s="1">
        <v>43.0</v>
      </c>
      <c r="B44" s="1" t="s">
        <v>358</v>
      </c>
      <c r="D44" s="1">
        <v>0.0</v>
      </c>
      <c r="E44" s="1">
        <v>31.0</v>
      </c>
      <c r="F44" s="1">
        <v>5000.0</v>
      </c>
      <c r="G44" s="1">
        <v>810019.0</v>
      </c>
      <c r="H44" s="1">
        <v>20107.0</v>
      </c>
      <c r="K44" s="1">
        <v>20.0</v>
      </c>
      <c r="O44" s="1">
        <v>48.0</v>
      </c>
      <c r="Q44" s="1" t="str">
        <f>LOOKUP(O44, 'Spell Effects'!A:A, 'Spell Effects'!B:B)</f>
        <v>Stamina 1</v>
      </c>
    </row>
    <row r="45" ht="15.75" customHeight="1">
      <c r="A45" s="1">
        <v>44.0</v>
      </c>
      <c r="B45" s="1" t="s">
        <v>362</v>
      </c>
      <c r="D45" s="1">
        <v>0.0</v>
      </c>
      <c r="E45" s="1">
        <v>31.0</v>
      </c>
      <c r="F45" s="1">
        <v>5000.0</v>
      </c>
      <c r="G45" s="1">
        <v>810019.0</v>
      </c>
      <c r="H45" s="1">
        <v>20107.0</v>
      </c>
      <c r="K45" s="1">
        <v>50.0</v>
      </c>
      <c r="O45" s="1">
        <v>49.0</v>
      </c>
      <c r="Q45" s="1" t="str">
        <f>LOOKUP(O45, 'Spell Effects'!A:A, 'Spell Effects'!B:B)</f>
        <v>Stamina 2</v>
      </c>
    </row>
    <row r="46" ht="15.75" customHeight="1">
      <c r="A46" s="1">
        <v>45.0</v>
      </c>
      <c r="B46" s="1" t="s">
        <v>366</v>
      </c>
      <c r="D46" s="1">
        <v>0.0</v>
      </c>
      <c r="E46" s="1">
        <v>31.0</v>
      </c>
      <c r="F46" s="1">
        <v>5000.0</v>
      </c>
      <c r="G46" s="1">
        <v>810019.0</v>
      </c>
      <c r="H46" s="1">
        <v>20107.0</v>
      </c>
      <c r="K46" s="1">
        <v>75.0</v>
      </c>
      <c r="O46" s="1">
        <v>50.0</v>
      </c>
      <c r="Q46" s="1" t="str">
        <f>LOOKUP(O46, 'Spell Effects'!A:A, 'Spell Effects'!B:B)</f>
        <v>Stamina 3</v>
      </c>
    </row>
    <row r="47" ht="15.75" customHeight="1">
      <c r="A47" s="1">
        <v>46.0</v>
      </c>
      <c r="B47" s="1" t="s">
        <v>371</v>
      </c>
      <c r="D47" s="1">
        <v>0.0</v>
      </c>
      <c r="E47" s="1">
        <v>31.0</v>
      </c>
      <c r="F47" s="1">
        <v>5000.0</v>
      </c>
      <c r="G47" s="1">
        <v>810019.0</v>
      </c>
      <c r="H47" s="1">
        <v>20107.0</v>
      </c>
      <c r="K47" s="1">
        <v>100.0</v>
      </c>
      <c r="O47" s="1">
        <v>51.0</v>
      </c>
      <c r="Q47" s="1" t="str">
        <f>LOOKUP(O47, 'Spell Effects'!A:A, 'Spell Effects'!B:B)</f>
        <v>Stamina 4</v>
      </c>
    </row>
    <row r="48" ht="15.75" customHeight="1">
      <c r="A48" s="1">
        <v>47.0</v>
      </c>
      <c r="B48" s="1" t="s">
        <v>376</v>
      </c>
      <c r="D48" s="1">
        <v>0.0</v>
      </c>
      <c r="E48" s="1">
        <v>31.0</v>
      </c>
      <c r="F48" s="1">
        <v>5000.0</v>
      </c>
      <c r="G48" s="1">
        <v>810008.0</v>
      </c>
      <c r="H48" s="1">
        <v>20107.0</v>
      </c>
      <c r="K48" s="1">
        <v>50.0</v>
      </c>
      <c r="O48" s="1">
        <v>52.0</v>
      </c>
      <c r="Q48" s="1" t="str">
        <f>LOOKUP(O48, 'Spell Effects'!A:A, 'Spell Effects'!B:B)</f>
        <v>Intelligence 1</v>
      </c>
    </row>
    <row r="49" ht="15.75" customHeight="1">
      <c r="A49" s="1">
        <v>48.0</v>
      </c>
      <c r="B49" s="1" t="s">
        <v>380</v>
      </c>
      <c r="D49" s="1">
        <v>0.0</v>
      </c>
      <c r="E49" s="1">
        <v>31.0</v>
      </c>
      <c r="F49" s="1">
        <v>5000.0</v>
      </c>
      <c r="G49" s="1">
        <v>810008.0</v>
      </c>
      <c r="H49" s="1">
        <v>20107.0</v>
      </c>
      <c r="K49" s="1">
        <v>100.0</v>
      </c>
      <c r="O49" s="1">
        <v>53.0</v>
      </c>
      <c r="Q49" s="1" t="str">
        <f>LOOKUP(O49, 'Spell Effects'!A:A, 'Spell Effects'!B:B)</f>
        <v>Intelligence 2</v>
      </c>
    </row>
    <row r="50" ht="15.75" customHeight="1">
      <c r="A50" s="1">
        <v>49.0</v>
      </c>
      <c r="B50" s="1" t="s">
        <v>384</v>
      </c>
      <c r="D50" s="1">
        <v>0.0</v>
      </c>
      <c r="E50" s="1">
        <v>31.0</v>
      </c>
      <c r="F50" s="1">
        <v>5000.0</v>
      </c>
      <c r="G50" s="1">
        <v>810008.0</v>
      </c>
      <c r="H50" s="1">
        <v>20107.0</v>
      </c>
      <c r="K50" s="1">
        <v>75.0</v>
      </c>
      <c r="O50" s="1">
        <v>54.0</v>
      </c>
      <c r="Q50" s="1" t="str">
        <f>LOOKUP(O50, 'Spell Effects'!A:A, 'Spell Effects'!B:B)</f>
        <v>Dexterity 1</v>
      </c>
    </row>
    <row r="51" ht="15.75" customHeight="1">
      <c r="A51" s="1">
        <v>50.0</v>
      </c>
      <c r="B51" s="1" t="s">
        <v>389</v>
      </c>
      <c r="D51" s="1">
        <v>0.0</v>
      </c>
      <c r="E51" s="1">
        <v>31.0</v>
      </c>
      <c r="F51" s="1">
        <v>5000.0</v>
      </c>
      <c r="G51" s="1">
        <v>810008.0</v>
      </c>
      <c r="H51" s="1">
        <v>20107.0</v>
      </c>
      <c r="K51" s="1">
        <v>150.0</v>
      </c>
      <c r="O51" s="1">
        <v>55.0</v>
      </c>
      <c r="Q51" s="1" t="str">
        <f>LOOKUP(O51, 'Spell Effects'!A:A, 'Spell Effects'!B:B)</f>
        <v>Dexterity 2</v>
      </c>
    </row>
    <row r="52" ht="15.75" customHeight="1">
      <c r="A52" s="1">
        <v>51.0</v>
      </c>
      <c r="B52" s="1" t="s">
        <v>395</v>
      </c>
      <c r="D52" s="1">
        <v>0.0</v>
      </c>
      <c r="E52" s="1">
        <v>31.0</v>
      </c>
      <c r="F52" s="1">
        <v>55000.0</v>
      </c>
      <c r="G52" s="1">
        <v>810032.0</v>
      </c>
      <c r="H52" s="1">
        <v>20107.0</v>
      </c>
      <c r="K52" s="1">
        <v>100.0</v>
      </c>
      <c r="O52" s="1">
        <v>56.0</v>
      </c>
      <c r="Q52" s="1" t="str">
        <f>LOOKUP(O52, 'Spell Effects'!A:A, 'Spell Effects'!B:B)</f>
        <v>Mana Regeneration 1</v>
      </c>
    </row>
    <row r="53" ht="15.75" customHeight="1">
      <c r="A53" s="1">
        <v>52.0</v>
      </c>
      <c r="B53" s="1" t="s">
        <v>399</v>
      </c>
      <c r="D53" s="1">
        <v>0.0</v>
      </c>
      <c r="E53" s="1">
        <v>31.0</v>
      </c>
      <c r="F53" s="1">
        <v>105000.0</v>
      </c>
      <c r="G53" s="1">
        <v>810032.0</v>
      </c>
      <c r="H53" s="1">
        <v>20107.0</v>
      </c>
      <c r="K53" s="1">
        <v>250.0</v>
      </c>
      <c r="O53" s="1">
        <v>57.0</v>
      </c>
      <c r="Q53" s="1" t="str">
        <f>LOOKUP(O53, 'Spell Effects'!A:A, 'Spell Effects'!B:B)</f>
        <v>Mana Regeneration 2</v>
      </c>
    </row>
    <row r="54" ht="15.75" customHeight="1">
      <c r="A54" s="1">
        <v>53.0</v>
      </c>
      <c r="B54" s="1" t="s">
        <v>405</v>
      </c>
      <c r="D54" s="1">
        <v>0.0</v>
      </c>
      <c r="E54" s="1">
        <v>31.0</v>
      </c>
      <c r="F54" s="1">
        <v>5000.0</v>
      </c>
      <c r="G54" s="1">
        <v>810007.0</v>
      </c>
      <c r="H54" s="1">
        <v>20107.0</v>
      </c>
      <c r="K54" s="1">
        <v>20.0</v>
      </c>
      <c r="O54" s="1">
        <v>58.0</v>
      </c>
      <c r="Q54" s="1" t="str">
        <f>LOOKUP(O54, 'Spell Effects'!A:A, 'Spell Effects'!B:B)</f>
        <v>See Invisible</v>
      </c>
    </row>
    <row r="55" ht="15.75" customHeight="1">
      <c r="A55" s="1">
        <v>54.0</v>
      </c>
      <c r="B55" s="1" t="s">
        <v>409</v>
      </c>
      <c r="D55" s="1">
        <v>0.0</v>
      </c>
      <c r="E55" s="1">
        <v>31.0</v>
      </c>
      <c r="F55" s="1">
        <v>200.0</v>
      </c>
      <c r="G55" s="1">
        <v>810007.0</v>
      </c>
      <c r="H55" s="1">
        <v>20107.0</v>
      </c>
      <c r="I55" s="1">
        <v>2500.0</v>
      </c>
      <c r="O55" s="1">
        <v>59.0</v>
      </c>
      <c r="Q55" s="1" t="str">
        <f>LOOKUP(O55, 'Spell Effects'!A:A, 'Spell Effects'!B:B)</f>
        <v>Sacrifice</v>
      </c>
    </row>
    <row r="56" ht="15.75" customHeight="1">
      <c r="A56" s="1">
        <v>55.0</v>
      </c>
      <c r="B56" s="1" t="s">
        <v>422</v>
      </c>
      <c r="D56" s="1">
        <v>1.0</v>
      </c>
      <c r="E56" s="1">
        <v>59.0</v>
      </c>
      <c r="F56" s="1">
        <v>3000.0</v>
      </c>
      <c r="G56" s="1">
        <v>810014.0</v>
      </c>
      <c r="H56" s="1">
        <v>20107.0</v>
      </c>
      <c r="J56" s="1">
        <v>30.0</v>
      </c>
      <c r="L56" s="1">
        <v>70.0</v>
      </c>
      <c r="O56" s="1">
        <v>62.0</v>
      </c>
      <c r="Q56" s="1" t="str">
        <f>LOOKUP(O56, 'Spell Effects'!A:A, 'Spell Effects'!B:B)</f>
        <v>Fearsome Lash</v>
      </c>
    </row>
    <row r="57" ht="15.75" customHeight="1">
      <c r="A57" s="1">
        <v>56.0</v>
      </c>
      <c r="B57" s="1" t="s">
        <v>430</v>
      </c>
      <c r="D57" s="1">
        <v>1.0</v>
      </c>
      <c r="E57" s="1">
        <v>55.0</v>
      </c>
      <c r="F57" s="1">
        <v>3000.0</v>
      </c>
      <c r="G57" s="1">
        <v>810028.0</v>
      </c>
      <c r="H57" s="1">
        <v>20107.0</v>
      </c>
      <c r="J57" s="1">
        <v>70.0</v>
      </c>
      <c r="K57" s="1">
        <v>300.0</v>
      </c>
      <c r="L57" s="1">
        <v>15.0</v>
      </c>
      <c r="O57" s="1">
        <v>64.0</v>
      </c>
      <c r="Q57" s="1" t="str">
        <f>LOOKUP(O57, 'Spell Effects'!A:A, 'Spell Effects'!B:B)</f>
        <v>Sunder of Spirits</v>
      </c>
    </row>
    <row r="58" ht="15.75" customHeight="1">
      <c r="A58" s="1">
        <v>57.0</v>
      </c>
      <c r="B58" s="1" t="s">
        <v>464</v>
      </c>
      <c r="D58" s="1">
        <v>0.0</v>
      </c>
      <c r="E58" s="1">
        <v>47.0</v>
      </c>
      <c r="F58" s="1">
        <v>10000.0</v>
      </c>
      <c r="G58" s="1">
        <v>810018.0</v>
      </c>
      <c r="H58" s="1">
        <v>20107.0</v>
      </c>
      <c r="K58" s="1">
        <v>40.0</v>
      </c>
      <c r="O58" s="1">
        <v>101.0</v>
      </c>
      <c r="Q58" s="1" t="str">
        <f>LOOKUP(O58, 'Spell Effects'!A:A, 'Spell Effects'!B:B)</f>
        <v>Arcane Shield 2</v>
      </c>
    </row>
    <row r="59" ht="15.75" customHeight="1">
      <c r="A59" s="1">
        <v>58.0</v>
      </c>
      <c r="B59" s="1" t="s">
        <v>470</v>
      </c>
      <c r="D59" s="1">
        <v>2.0</v>
      </c>
      <c r="E59" s="1">
        <v>47.0</v>
      </c>
      <c r="F59" s="1">
        <v>10000.0</v>
      </c>
      <c r="G59" s="1">
        <v>810004.0</v>
      </c>
      <c r="H59" s="1">
        <v>20107.0</v>
      </c>
      <c r="K59" s="1">
        <v>80.0</v>
      </c>
      <c r="O59" s="1">
        <v>11.0</v>
      </c>
      <c r="Q59" s="1" t="str">
        <f>LOOKUP(O59, 'Spell Effects'!A:A, 'Spell Effects'!B:B)</f>
        <v>Elemental Shielding 1</v>
      </c>
    </row>
    <row r="60" ht="15.75" customHeight="1">
      <c r="A60" s="1">
        <v>59.0</v>
      </c>
      <c r="B60" s="1" t="s">
        <v>475</v>
      </c>
      <c r="D60" s="1">
        <v>0.0</v>
      </c>
      <c r="E60" s="1">
        <v>47.0</v>
      </c>
      <c r="F60" s="1">
        <v>5000.0</v>
      </c>
      <c r="G60" s="1">
        <v>810034.0</v>
      </c>
      <c r="H60" s="1">
        <v>20107.0</v>
      </c>
      <c r="K60" s="1">
        <v>80.0</v>
      </c>
      <c r="O60" s="1">
        <v>102.0</v>
      </c>
      <c r="Q60" s="1" t="str">
        <f>LOOKUP(O60, 'Spell Effects'!A:A, 'Spell Effects'!B:B)</f>
        <v>Invisibility</v>
      </c>
    </row>
    <row r="61" ht="15.75" customHeight="1">
      <c r="A61" s="1">
        <v>60.0</v>
      </c>
      <c r="B61" s="1" t="s">
        <v>481</v>
      </c>
      <c r="D61" s="1">
        <v>0.0</v>
      </c>
      <c r="E61" s="1">
        <v>47.0</v>
      </c>
      <c r="F61" s="1">
        <v>1000.0</v>
      </c>
      <c r="G61" s="1">
        <v>810011.0</v>
      </c>
      <c r="H61" s="1">
        <v>20107.0</v>
      </c>
      <c r="K61" s="1">
        <v>280.0</v>
      </c>
      <c r="O61" s="1">
        <v>103.0</v>
      </c>
      <c r="Q61" s="1" t="str">
        <f>LOOKUP(O61, 'Spell Effects'!A:A, 'Spell Effects'!B:B)</f>
        <v>Elemental Strike 7</v>
      </c>
    </row>
    <row r="62" ht="15.75" customHeight="1">
      <c r="A62" s="1">
        <v>61.0</v>
      </c>
      <c r="B62" s="1" t="s">
        <v>487</v>
      </c>
      <c r="D62" s="1">
        <v>0.0</v>
      </c>
      <c r="E62" s="1">
        <v>47.0</v>
      </c>
      <c r="F62" s="1">
        <v>10000.0</v>
      </c>
      <c r="G62" s="1">
        <v>810004.0</v>
      </c>
      <c r="H62" s="1">
        <v>20107.0</v>
      </c>
      <c r="K62" s="1">
        <v>400.0</v>
      </c>
      <c r="O62" s="1">
        <v>104.0</v>
      </c>
      <c r="Q62" s="1" t="str">
        <f>LOOKUP(O62, 'Spell Effects'!A:A, 'Spell Effects'!B:B)</f>
        <v>Elemental Shielding 2</v>
      </c>
    </row>
    <row r="63" ht="15.75" customHeight="1">
      <c r="A63" s="1">
        <v>62.0</v>
      </c>
      <c r="B63" s="1" t="s">
        <v>493</v>
      </c>
      <c r="D63" s="1">
        <v>2.0</v>
      </c>
      <c r="E63" s="1">
        <v>47.0</v>
      </c>
      <c r="F63" s="1">
        <v>10000.0</v>
      </c>
      <c r="G63" s="1">
        <v>810004.0</v>
      </c>
      <c r="H63" s="1">
        <v>20107.0</v>
      </c>
      <c r="K63" s="1">
        <v>800.0</v>
      </c>
      <c r="O63" s="1">
        <v>104.0</v>
      </c>
      <c r="Q63" s="1" t="str">
        <f>LOOKUP(O63, 'Spell Effects'!A:A, 'Spell Effects'!B:B)</f>
        <v>Elemental Shielding 2</v>
      </c>
    </row>
    <row r="64" ht="15.75" customHeight="1">
      <c r="A64" s="1">
        <v>63.0</v>
      </c>
      <c r="B64" s="1" t="s">
        <v>499</v>
      </c>
      <c r="D64" s="1">
        <v>0.0</v>
      </c>
      <c r="E64" s="1">
        <v>47.0</v>
      </c>
      <c r="F64" s="1">
        <v>300000.0</v>
      </c>
      <c r="G64" s="1">
        <v>810008.0</v>
      </c>
      <c r="H64" s="1">
        <v>20107.0</v>
      </c>
      <c r="K64" s="1">
        <v>500.0</v>
      </c>
      <c r="O64" s="1">
        <v>105.0</v>
      </c>
      <c r="Q64" s="1" t="str">
        <f>LOOKUP(O64, 'Spell Effects'!A:A, 'Spell Effects'!B:B)</f>
        <v>Regeneration 2</v>
      </c>
    </row>
    <row r="65" ht="15.75" customHeight="1">
      <c r="A65" s="1">
        <v>64.0</v>
      </c>
      <c r="B65" s="1" t="s">
        <v>504</v>
      </c>
      <c r="D65" s="1">
        <v>0.0</v>
      </c>
      <c r="E65" s="1">
        <v>47.0</v>
      </c>
      <c r="F65" s="1">
        <v>10000.0</v>
      </c>
      <c r="G65" s="1">
        <v>810007.0</v>
      </c>
      <c r="H65" s="1">
        <v>20107.0</v>
      </c>
      <c r="K65" s="1">
        <v>400.0</v>
      </c>
      <c r="O65" s="1">
        <v>106.0</v>
      </c>
      <c r="Q65" s="1" t="str">
        <f>LOOKUP(O65, 'Spell Effects'!A:A, 'Spell Effects'!B:B)</f>
        <v>Bind Other</v>
      </c>
    </row>
    <row r="66" ht="15.75" customHeight="1">
      <c r="A66" s="1">
        <v>65.0</v>
      </c>
      <c r="B66" s="1" t="s">
        <v>509</v>
      </c>
      <c r="D66" s="1">
        <v>1.0</v>
      </c>
      <c r="E66" s="1">
        <v>47.0</v>
      </c>
      <c r="F66" s="1">
        <v>10000.0</v>
      </c>
      <c r="G66" s="1">
        <v>810009.0</v>
      </c>
      <c r="H66" s="1">
        <v>20107.0</v>
      </c>
      <c r="K66" s="1">
        <v>500.0</v>
      </c>
      <c r="O66" s="1">
        <v>107.0</v>
      </c>
      <c r="Q66" s="1" t="str">
        <f>LOOKUP(O66, 'Spell Effects'!A:A, 'Spell Effects'!B:B)</f>
        <v>Otherlands Teleport</v>
      </c>
    </row>
    <row r="67" ht="15.75" customHeight="1">
      <c r="A67" s="1">
        <v>66.0</v>
      </c>
      <c r="B67" s="1" t="s">
        <v>515</v>
      </c>
      <c r="D67" s="1">
        <v>2.0</v>
      </c>
      <c r="E67" s="1">
        <v>47.0</v>
      </c>
      <c r="F67" s="1">
        <v>20000.0</v>
      </c>
      <c r="G67" s="1">
        <v>810009.0</v>
      </c>
      <c r="H67" s="1">
        <v>20107.0</v>
      </c>
      <c r="K67" s="1">
        <v>800.0</v>
      </c>
      <c r="O67" s="1">
        <v>107.0</v>
      </c>
      <c r="Q67" s="1" t="str">
        <f>LOOKUP(O67, 'Spell Effects'!A:A, 'Spell Effects'!B:B)</f>
        <v>Otherlands Teleport</v>
      </c>
    </row>
    <row r="68" ht="15.75" customHeight="1">
      <c r="A68" s="1">
        <v>67.0</v>
      </c>
      <c r="B68" s="1" t="s">
        <v>521</v>
      </c>
      <c r="D68" s="1">
        <v>1.0</v>
      </c>
      <c r="E68" s="1">
        <v>47.0</v>
      </c>
      <c r="F68" s="1">
        <v>4000.0</v>
      </c>
      <c r="G68" s="1">
        <v>810003.0</v>
      </c>
      <c r="H68" s="1">
        <v>20107.0</v>
      </c>
      <c r="K68" s="1">
        <v>400.0</v>
      </c>
      <c r="O68" s="1">
        <v>108.0</v>
      </c>
      <c r="Q68" s="1" t="str">
        <f>LOOKUP(O68, 'Spell Effects'!A:A, 'Spell Effects'!B:B)</f>
        <v>Elemental Strike 8</v>
      </c>
    </row>
    <row r="69" ht="15.75" customHeight="1">
      <c r="A69" s="1">
        <v>68.0</v>
      </c>
      <c r="B69" s="1" t="s">
        <v>526</v>
      </c>
      <c r="D69" s="1">
        <v>0.0</v>
      </c>
      <c r="E69" s="1">
        <v>47.0</v>
      </c>
      <c r="F69" s="1">
        <v>20000.0</v>
      </c>
      <c r="G69" s="1">
        <v>810018.0</v>
      </c>
      <c r="H69" s="1">
        <v>20107.0</v>
      </c>
      <c r="K69" s="1">
        <v>400.0</v>
      </c>
      <c r="O69" s="1">
        <v>109.0</v>
      </c>
      <c r="Q69" s="1" t="str">
        <f>LOOKUP(O69, 'Spell Effects'!A:A, 'Spell Effects'!B:B)</f>
        <v>Arcane Shield 4</v>
      </c>
    </row>
    <row r="70" ht="15.75" customHeight="1">
      <c r="A70" s="1">
        <v>69.0</v>
      </c>
      <c r="B70" s="1" t="s">
        <v>533</v>
      </c>
      <c r="D70" s="1">
        <v>0.0</v>
      </c>
      <c r="E70" s="1">
        <v>47.0</v>
      </c>
      <c r="F70" s="1">
        <v>1000.0</v>
      </c>
      <c r="G70" s="1">
        <v>810015.0</v>
      </c>
      <c r="H70" s="1">
        <v>20107.0</v>
      </c>
      <c r="K70" s="1">
        <v>350.0</v>
      </c>
      <c r="O70" s="1">
        <v>110.0</v>
      </c>
      <c r="Q70" s="1" t="str">
        <f>LOOKUP(O70, 'Spell Effects'!A:A, 'Spell Effects'!B:B)</f>
        <v>Elemental Strike 9</v>
      </c>
    </row>
    <row r="71" ht="15.75" customHeight="1">
      <c r="A71" s="1">
        <v>70.0</v>
      </c>
      <c r="B71" s="1" t="s">
        <v>540</v>
      </c>
      <c r="D71" s="1">
        <v>0.0</v>
      </c>
      <c r="E71" s="1">
        <v>47.0</v>
      </c>
      <c r="F71" s="1">
        <v>330000.0</v>
      </c>
      <c r="G71" s="1">
        <v>810008.0</v>
      </c>
      <c r="H71" s="1">
        <v>20107.0</v>
      </c>
      <c r="K71" s="1">
        <v>800.0</v>
      </c>
      <c r="O71" s="1">
        <v>111.0</v>
      </c>
      <c r="Q71" s="1" t="str">
        <f>LOOKUP(O71, 'Spell Effects'!A:A, 'Spell Effects'!B:B)</f>
        <v>Regeneration 3</v>
      </c>
    </row>
    <row r="72" ht="15.75" customHeight="1">
      <c r="A72" s="1">
        <v>71.0</v>
      </c>
      <c r="B72" s="1" t="s">
        <v>545</v>
      </c>
      <c r="D72" s="1">
        <v>0.0</v>
      </c>
      <c r="E72" s="1">
        <v>47.0</v>
      </c>
      <c r="F72" s="1">
        <v>1000.0</v>
      </c>
      <c r="G72" s="1">
        <v>810015.0</v>
      </c>
      <c r="H72" s="1">
        <v>20107.0</v>
      </c>
      <c r="K72" s="1">
        <v>450.0</v>
      </c>
      <c r="O72" s="1">
        <v>117.0</v>
      </c>
      <c r="Q72" s="1" t="str">
        <f>LOOKUP(O72, 'Spell Effects'!A:A, 'Spell Effects'!B:B)</f>
        <v>Elemental Strike 10</v>
      </c>
    </row>
    <row r="73" ht="15.75" customHeight="1">
      <c r="A73" s="1">
        <v>72.0</v>
      </c>
      <c r="B73" s="1" t="s">
        <v>548</v>
      </c>
      <c r="D73" s="1">
        <v>0.0</v>
      </c>
      <c r="E73" s="1">
        <v>47.0</v>
      </c>
      <c r="F73" s="1">
        <v>20000.0</v>
      </c>
      <c r="G73" s="1">
        <v>810018.0</v>
      </c>
      <c r="H73" s="1">
        <v>20107.0</v>
      </c>
      <c r="K73" s="1">
        <v>800.0</v>
      </c>
      <c r="O73" s="1">
        <v>112.0</v>
      </c>
      <c r="Q73" s="1" t="str">
        <f>LOOKUP(O73, 'Spell Effects'!A:A, 'Spell Effects'!B:B)</f>
        <v>Arcane Shield 5</v>
      </c>
    </row>
    <row r="74" ht="15.75" customHeight="1">
      <c r="A74" s="1">
        <v>73.0</v>
      </c>
      <c r="B74" s="1" t="s">
        <v>555</v>
      </c>
      <c r="D74" s="1">
        <v>0.0</v>
      </c>
      <c r="E74" s="1">
        <v>47.0</v>
      </c>
      <c r="F74" s="1">
        <v>20000.0</v>
      </c>
      <c r="G74" s="1">
        <v>810018.0</v>
      </c>
      <c r="H74" s="1">
        <v>20107.0</v>
      </c>
      <c r="K74" s="1">
        <v>200.0</v>
      </c>
      <c r="O74" s="1">
        <v>113.0</v>
      </c>
      <c r="Q74" s="1" t="str">
        <f>LOOKUP(O74, 'Spell Effects'!A:A, 'Spell Effects'!B:B)</f>
        <v>Arcane Shield 3</v>
      </c>
    </row>
    <row r="75" ht="15.75" customHeight="1">
      <c r="A75" s="1">
        <v>74.0</v>
      </c>
      <c r="B75" s="1" t="s">
        <v>560</v>
      </c>
      <c r="D75" s="1">
        <v>1.0</v>
      </c>
      <c r="E75" s="1">
        <v>55.0</v>
      </c>
      <c r="F75" s="1">
        <v>180000.0</v>
      </c>
      <c r="G75" s="1">
        <v>810011.0</v>
      </c>
      <c r="H75" s="1">
        <v>20107.0</v>
      </c>
      <c r="K75" s="1">
        <v>100.0</v>
      </c>
      <c r="O75" s="1">
        <v>118.0</v>
      </c>
      <c r="Q75" s="1" t="str">
        <f>LOOKUP(O75, 'Spell Effects'!A:A, 'Spell Effects'!B:B)</f>
        <v>Ground Slam 2</v>
      </c>
    </row>
    <row r="76" ht="15.75" customHeight="1">
      <c r="A76" s="1">
        <v>75.0</v>
      </c>
      <c r="B76" s="1" t="s">
        <v>566</v>
      </c>
      <c r="D76" s="1">
        <v>0.0</v>
      </c>
      <c r="E76" s="1">
        <v>55.0</v>
      </c>
      <c r="F76" s="1">
        <v>5000.0</v>
      </c>
      <c r="G76" s="1">
        <v>810000.0</v>
      </c>
      <c r="H76" s="1">
        <v>20107.0</v>
      </c>
      <c r="K76" s="1">
        <v>60.0</v>
      </c>
      <c r="O76" s="1">
        <v>119.0</v>
      </c>
      <c r="Q76" s="1" t="str">
        <f>LOOKUP(O76, 'Spell Effects'!A:A, 'Spell Effects'!B:B)</f>
        <v>Taunt 2</v>
      </c>
    </row>
    <row r="77" ht="15.75" customHeight="1">
      <c r="A77" s="1">
        <v>76.0</v>
      </c>
      <c r="B77" s="1" t="s">
        <v>572</v>
      </c>
      <c r="D77" s="1">
        <v>1.0</v>
      </c>
      <c r="E77" s="1">
        <v>55.0</v>
      </c>
      <c r="F77" s="1">
        <v>180000.0</v>
      </c>
      <c r="G77" s="1">
        <v>810001.0</v>
      </c>
      <c r="H77" s="1">
        <v>20107.0</v>
      </c>
      <c r="K77" s="1">
        <v>130.0</v>
      </c>
      <c r="O77" s="1">
        <v>120.0</v>
      </c>
      <c r="Q77" s="1" t="str">
        <f>LOOKUP(O77, 'Spell Effects'!A:A, 'Spell Effects'!B:B)</f>
        <v>Fortitude 1</v>
      </c>
    </row>
    <row r="78" ht="15.75" customHeight="1">
      <c r="A78" s="1">
        <v>77.0</v>
      </c>
      <c r="B78" s="1" t="s">
        <v>576</v>
      </c>
      <c r="D78" s="1">
        <v>1.0</v>
      </c>
      <c r="E78" s="1">
        <v>55.0</v>
      </c>
      <c r="F78" s="1">
        <v>240000.0</v>
      </c>
      <c r="G78" s="1">
        <v>810000.0</v>
      </c>
      <c r="H78" s="1">
        <v>20107.0</v>
      </c>
      <c r="K78" s="1">
        <v>150.0</v>
      </c>
      <c r="O78" s="1">
        <v>121.0</v>
      </c>
      <c r="Q78" s="1" t="str">
        <f>LOOKUP(O78, 'Spell Effects'!A:A, 'Spell Effects'!B:B)</f>
        <v>Berserker 2</v>
      </c>
    </row>
    <row r="79" ht="15.75" customHeight="1">
      <c r="A79" s="1">
        <v>78.0</v>
      </c>
      <c r="B79" s="1" t="s">
        <v>580</v>
      </c>
      <c r="D79" s="1">
        <v>1.0</v>
      </c>
      <c r="E79" s="1">
        <v>55.0</v>
      </c>
      <c r="F79" s="1">
        <v>270000.0</v>
      </c>
      <c r="G79" s="1">
        <v>810000.0</v>
      </c>
      <c r="H79" s="1">
        <v>20107.0</v>
      </c>
      <c r="K79" s="1">
        <v>300.0</v>
      </c>
      <c r="O79" s="1">
        <v>122.0</v>
      </c>
      <c r="Q79" s="1" t="str">
        <f>LOOKUP(O79, 'Spell Effects'!A:A, 'Spell Effects'!B:B)</f>
        <v>Berserker 3</v>
      </c>
    </row>
    <row r="80" ht="15.75" customHeight="1">
      <c r="A80" s="1">
        <v>79.0</v>
      </c>
      <c r="B80" s="1" t="s">
        <v>586</v>
      </c>
      <c r="D80" s="1">
        <v>1.0</v>
      </c>
      <c r="E80" s="1">
        <v>55.0</v>
      </c>
      <c r="F80" s="1">
        <v>180000.0</v>
      </c>
      <c r="G80" s="1">
        <v>810001.0</v>
      </c>
      <c r="H80" s="1">
        <v>20107.0</v>
      </c>
      <c r="K80" s="1">
        <v>400.0</v>
      </c>
      <c r="O80" s="1">
        <v>123.0</v>
      </c>
      <c r="Q80" s="1" t="str">
        <f>LOOKUP(O80, 'Spell Effects'!A:A, 'Spell Effects'!B:B)</f>
        <v>Fortitude 2</v>
      </c>
    </row>
    <row r="81" ht="15.75" customHeight="1">
      <c r="A81" s="1">
        <v>80.0</v>
      </c>
      <c r="B81" s="1" t="s">
        <v>590</v>
      </c>
      <c r="D81" s="1">
        <v>1.0</v>
      </c>
      <c r="E81" s="1">
        <v>55.0</v>
      </c>
      <c r="F81" s="1">
        <v>180000.0</v>
      </c>
      <c r="G81" s="1">
        <v>810033.0</v>
      </c>
      <c r="H81" s="1">
        <v>20107.0</v>
      </c>
      <c r="K81" s="1">
        <v>500.0</v>
      </c>
      <c r="O81" s="1">
        <v>124.0</v>
      </c>
      <c r="Q81" s="1" t="str">
        <f>LOOKUP(O81, 'Spell Effects'!A:A, 'Spell Effects'!B:B)</f>
        <v>Savage Fury</v>
      </c>
    </row>
    <row r="82" ht="15.75" customHeight="1">
      <c r="A82" s="1">
        <v>81.0</v>
      </c>
      <c r="B82" s="1" t="s">
        <v>475</v>
      </c>
      <c r="D82" s="1">
        <v>1.0</v>
      </c>
      <c r="E82" s="1">
        <v>59.0</v>
      </c>
      <c r="F82" s="1">
        <v>60000.0</v>
      </c>
      <c r="G82" s="1">
        <v>810034.0</v>
      </c>
      <c r="H82" s="1">
        <v>20107.0</v>
      </c>
      <c r="K82" s="1">
        <v>80.0</v>
      </c>
      <c r="O82" s="1">
        <v>102.0</v>
      </c>
      <c r="Q82" s="1" t="str">
        <f>LOOKUP(O82, 'Spell Effects'!A:A, 'Spell Effects'!B:B)</f>
        <v>Invisibility</v>
      </c>
    </row>
    <row r="83" ht="15.75" customHeight="1">
      <c r="A83" s="1">
        <v>82.0</v>
      </c>
      <c r="B83" s="1" t="s">
        <v>597</v>
      </c>
      <c r="D83" s="1">
        <v>1.0</v>
      </c>
      <c r="E83" s="1">
        <v>59.0</v>
      </c>
      <c r="F83" s="1">
        <v>120000.0</v>
      </c>
      <c r="G83" s="1">
        <v>810014.0</v>
      </c>
      <c r="H83" s="1">
        <v>20107.0</v>
      </c>
      <c r="K83" s="1">
        <v>100.0</v>
      </c>
      <c r="O83" s="1">
        <v>125.0</v>
      </c>
      <c r="Q83" s="1" t="str">
        <f>LOOKUP(O83, 'Spell Effects'!A:A, 'Spell Effects'!B:B)</f>
        <v>Poison Weapon 2</v>
      </c>
    </row>
    <row r="84" ht="15.75" customHeight="1">
      <c r="A84" s="1">
        <v>83.0</v>
      </c>
      <c r="B84" s="1" t="s">
        <v>606</v>
      </c>
      <c r="D84" s="1">
        <v>1.0</v>
      </c>
      <c r="E84" s="1">
        <v>59.0</v>
      </c>
      <c r="F84" s="1">
        <v>23000.0</v>
      </c>
      <c r="G84" s="1">
        <v>810000.0</v>
      </c>
      <c r="H84" s="1">
        <v>20107.0</v>
      </c>
      <c r="K84" s="1">
        <v>160.0</v>
      </c>
      <c r="O84" s="1">
        <v>126.0</v>
      </c>
      <c r="Q84" s="1" t="str">
        <f>LOOKUP(O84, 'Spell Effects'!A:A, 'Spell Effects'!B:B)</f>
        <v>Backstab 4</v>
      </c>
    </row>
    <row r="85" ht="15.75" customHeight="1">
      <c r="A85" s="1">
        <v>84.0</v>
      </c>
      <c r="B85" s="1" t="s">
        <v>612</v>
      </c>
      <c r="D85" s="1">
        <v>1.0</v>
      </c>
      <c r="E85" s="1">
        <v>59.0</v>
      </c>
      <c r="F85" s="1">
        <v>90000.0</v>
      </c>
      <c r="G85" s="1">
        <v>810021.0</v>
      </c>
      <c r="H85" s="1">
        <v>20107.0</v>
      </c>
      <c r="K85" s="1">
        <v>200.0</v>
      </c>
      <c r="O85" s="1">
        <v>127.0</v>
      </c>
      <c r="Q85" s="1" t="str">
        <f>LOOKUP(O85, 'Spell Effects'!A:A, 'Spell Effects'!B:B)</f>
        <v>Nimble 2</v>
      </c>
    </row>
    <row r="86" ht="15.75" customHeight="1">
      <c r="A86" s="1">
        <v>85.0</v>
      </c>
      <c r="B86" s="1" t="s">
        <v>616</v>
      </c>
      <c r="D86" s="1">
        <v>1.0</v>
      </c>
      <c r="E86" s="1">
        <v>59.0</v>
      </c>
      <c r="F86" s="1">
        <v>18000.0</v>
      </c>
      <c r="G86" s="1">
        <v>810000.0</v>
      </c>
      <c r="H86" s="1">
        <v>20107.0</v>
      </c>
      <c r="K86" s="1">
        <v>320.0</v>
      </c>
      <c r="O86" s="1">
        <v>128.0</v>
      </c>
      <c r="Q86" s="1" t="str">
        <f>LOOKUP(O86, 'Spell Effects'!A:A, 'Spell Effects'!B:B)</f>
        <v>Backstab 5</v>
      </c>
    </row>
    <row r="87" ht="15.75" customHeight="1">
      <c r="A87" s="1">
        <v>86.0</v>
      </c>
      <c r="B87" s="1" t="s">
        <v>618</v>
      </c>
      <c r="D87" s="1">
        <v>1.0</v>
      </c>
      <c r="E87" s="1">
        <v>55.0</v>
      </c>
      <c r="F87" s="1">
        <v>180000.0</v>
      </c>
      <c r="G87" s="1">
        <v>810011.0</v>
      </c>
      <c r="H87" s="1">
        <v>20107.0</v>
      </c>
      <c r="K87" s="1">
        <v>200.0</v>
      </c>
      <c r="O87" s="1">
        <v>129.0</v>
      </c>
      <c r="Q87" s="1" t="str">
        <f>LOOKUP(O87, 'Spell Effects'!A:A, 'Spell Effects'!B:B)</f>
        <v>Ground Slam 3</v>
      </c>
    </row>
    <row r="88" ht="15.75" customHeight="1">
      <c r="A88" s="1">
        <v>87.0</v>
      </c>
      <c r="B88" s="1" t="s">
        <v>622</v>
      </c>
      <c r="D88" s="1">
        <v>1.0</v>
      </c>
      <c r="E88" s="1">
        <v>55.0</v>
      </c>
      <c r="F88" s="1">
        <v>180000.0</v>
      </c>
      <c r="G88" s="1">
        <v>810011.0</v>
      </c>
      <c r="H88" s="1">
        <v>20107.0</v>
      </c>
      <c r="K88" s="1">
        <v>300.0</v>
      </c>
      <c r="O88" s="1">
        <v>130.0</v>
      </c>
      <c r="Q88" s="1" t="str">
        <f>LOOKUP(O88, 'Spell Effects'!A:A, 'Spell Effects'!B:B)</f>
        <v>Ground Slam 4</v>
      </c>
    </row>
    <row r="89" ht="15.75" customHeight="1">
      <c r="A89" s="1">
        <v>88.0</v>
      </c>
      <c r="B89" s="1" t="s">
        <v>628</v>
      </c>
      <c r="D89" s="1">
        <v>1.0</v>
      </c>
      <c r="E89" s="1">
        <v>47.0</v>
      </c>
      <c r="F89" s="1">
        <v>4000.0</v>
      </c>
      <c r="G89" s="1">
        <v>810031.0</v>
      </c>
      <c r="H89" s="1">
        <v>20107.0</v>
      </c>
      <c r="J89" s="1">
        <v>50.0</v>
      </c>
      <c r="O89" s="1">
        <v>133.0</v>
      </c>
      <c r="Q89" s="1" t="str">
        <f>LOOKUP(O89, 'Spell Effects'!A:A, 'Spell Effects'!B:B)</f>
        <v>Covenant</v>
      </c>
    </row>
    <row r="90" ht="15.75" customHeight="1">
      <c r="A90" s="1">
        <v>89.0</v>
      </c>
      <c r="B90" s="1" t="s">
        <v>635</v>
      </c>
      <c r="D90" s="1">
        <v>0.0</v>
      </c>
      <c r="E90" s="1">
        <v>47.0</v>
      </c>
      <c r="F90" s="1">
        <v>2000.0</v>
      </c>
      <c r="G90" s="1">
        <v>810036.0</v>
      </c>
      <c r="H90" s="1">
        <v>20107.0</v>
      </c>
      <c r="L90" s="1">
        <v>100.0</v>
      </c>
      <c r="O90" s="1">
        <v>134.0</v>
      </c>
      <c r="Q90" s="1" t="str">
        <f>LOOKUP(O90, 'Spell Effects'!A:A, 'Spell Effects'!B:B)</f>
        <v>Arcane Blast</v>
      </c>
    </row>
    <row r="91" ht="15.75" customHeight="1">
      <c r="A91" s="1">
        <v>90.0</v>
      </c>
      <c r="B91" s="1" t="s">
        <v>644</v>
      </c>
      <c r="D91" s="1">
        <v>0.0</v>
      </c>
      <c r="E91" s="1">
        <v>47.0</v>
      </c>
      <c r="F91" s="1">
        <v>3000.0</v>
      </c>
      <c r="G91" s="1">
        <v>810029.0</v>
      </c>
      <c r="H91" s="1">
        <v>20107.0</v>
      </c>
      <c r="L91" s="1">
        <v>80.0</v>
      </c>
      <c r="O91" s="1">
        <v>135.0</v>
      </c>
      <c r="Q91" s="1" t="str">
        <f>LOOKUP(O91, 'Spell Effects'!A:A, 'Spell Effects'!B:B)</f>
        <v>Arcane Assault</v>
      </c>
    </row>
    <row r="92" ht="15.75" customHeight="1">
      <c r="A92" s="1">
        <v>91.0</v>
      </c>
      <c r="B92" s="1" t="s">
        <v>649</v>
      </c>
      <c r="D92" s="1">
        <v>1.0</v>
      </c>
      <c r="E92" s="1">
        <v>55.0</v>
      </c>
      <c r="F92" s="1">
        <v>1500.0</v>
      </c>
      <c r="G92" s="1">
        <v>810016.0</v>
      </c>
      <c r="H92" s="1">
        <v>20107.0</v>
      </c>
      <c r="J92" s="1">
        <v>90.0</v>
      </c>
      <c r="K92" s="1">
        <v>400.0</v>
      </c>
      <c r="O92" s="1">
        <v>136.0</v>
      </c>
      <c r="Q92" s="1" t="str">
        <f>LOOKUP(O92, 'Spell Effects'!A:A, 'Spell Effects'!B:B)</f>
        <v>Spirit Strike</v>
      </c>
    </row>
    <row r="93" ht="15.75" customHeight="1">
      <c r="A93" s="1">
        <v>92.0</v>
      </c>
      <c r="B93" s="1" t="s">
        <v>655</v>
      </c>
      <c r="D93" s="1">
        <v>1.0</v>
      </c>
      <c r="E93" s="1">
        <v>59.0</v>
      </c>
      <c r="F93" s="1">
        <v>1000.0</v>
      </c>
      <c r="G93" s="1">
        <v>810014.0</v>
      </c>
      <c r="H93" s="1">
        <v>20107.0</v>
      </c>
      <c r="J93" s="1">
        <v>50.0</v>
      </c>
      <c r="L93" s="1">
        <v>50.0</v>
      </c>
      <c r="O93" s="1">
        <v>137.0</v>
      </c>
      <c r="Q93" s="1" t="str">
        <f>LOOKUP(O93, 'Spell Effects'!A:A, 'Spell Effects'!B:B)</f>
        <v>Critical Strike</v>
      </c>
    </row>
    <row r="94" ht="15.75" customHeight="1">
      <c r="A94" s="1">
        <v>93.0</v>
      </c>
      <c r="B94" s="1" t="s">
        <v>660</v>
      </c>
      <c r="D94" s="1">
        <v>1.0</v>
      </c>
      <c r="E94" s="1">
        <v>31.0</v>
      </c>
      <c r="F94" s="1">
        <v>2000.0</v>
      </c>
      <c r="G94" s="1">
        <v>810005.0</v>
      </c>
      <c r="H94" s="1">
        <v>20107.0</v>
      </c>
      <c r="K94" s="1">
        <v>500.0</v>
      </c>
      <c r="O94" s="1">
        <v>138.0</v>
      </c>
      <c r="Q94" s="1" t="str">
        <f>LOOKUP(O94, 'Spell Effects'!A:A, 'Spell Effects'!B:B)</f>
        <v>Rejuvination</v>
      </c>
    </row>
    <row r="95" ht="15.75" customHeight="1">
      <c r="A95" s="1">
        <v>94.0</v>
      </c>
      <c r="B95" s="1" t="s">
        <v>664</v>
      </c>
      <c r="D95" s="1">
        <v>0.0</v>
      </c>
      <c r="E95" s="1">
        <v>31.0</v>
      </c>
      <c r="F95" s="1">
        <v>3000.0</v>
      </c>
      <c r="G95" s="1">
        <v>810010.0</v>
      </c>
      <c r="H95" s="1">
        <v>20107.0</v>
      </c>
      <c r="L95" s="1">
        <v>60.0</v>
      </c>
      <c r="O95" s="1">
        <v>139.0</v>
      </c>
      <c r="Q95" s="1" t="str">
        <f>LOOKUP(O95, 'Spell Effects'!A:A, 'Spell Effects'!B:B)</f>
        <v>Restore Health</v>
      </c>
    </row>
    <row r="96" ht="15.75" customHeight="1">
      <c r="A96" s="1">
        <v>95.0</v>
      </c>
      <c r="B96" s="1" t="s">
        <v>669</v>
      </c>
      <c r="D96" s="1">
        <v>2.0</v>
      </c>
      <c r="E96" s="1">
        <v>47.0</v>
      </c>
      <c r="F96" s="1">
        <v>20000.0</v>
      </c>
      <c r="G96" s="1">
        <v>810009.0</v>
      </c>
      <c r="H96" s="1">
        <v>20107.0</v>
      </c>
      <c r="K96" s="1">
        <v>5000.0</v>
      </c>
      <c r="O96" s="1">
        <v>141.0</v>
      </c>
      <c r="Q96" s="1" t="str">
        <f>LOOKUP(O96, 'Spell Effects'!A:A, 'Spell Effects'!B:B)</f>
        <v>Paradise Teleportation</v>
      </c>
    </row>
    <row r="97" ht="15.75" customHeight="1">
      <c r="A97" s="1">
        <v>96.0</v>
      </c>
      <c r="B97" s="1" t="s">
        <v>673</v>
      </c>
      <c r="D97" s="1">
        <v>0.0</v>
      </c>
      <c r="E97" s="1">
        <v>31.0</v>
      </c>
      <c r="G97" s="1">
        <v>810006.0</v>
      </c>
      <c r="H97" s="1">
        <v>20107.0</v>
      </c>
      <c r="K97" s="1">
        <v>500.0</v>
      </c>
      <c r="O97" s="1">
        <v>143.0</v>
      </c>
      <c r="Q97" s="1" t="str">
        <f>LOOKUP(O97, 'Spell Effects'!A:A, 'Spell Effects'!B:B)</f>
        <v>Ancient Healing</v>
      </c>
    </row>
    <row r="98" ht="15.75" customHeight="1">
      <c r="A98" s="1">
        <v>97.0</v>
      </c>
      <c r="B98" s="1" t="s">
        <v>678</v>
      </c>
      <c r="D98" s="1">
        <v>0.0</v>
      </c>
      <c r="E98" s="1">
        <v>47.0</v>
      </c>
      <c r="F98" s="1">
        <v>30000.0</v>
      </c>
      <c r="G98" s="1">
        <v>810024.0</v>
      </c>
      <c r="H98" s="1">
        <v>20107.0</v>
      </c>
      <c r="K98" s="1">
        <v>1000.0</v>
      </c>
      <c r="O98" s="1">
        <v>144.0</v>
      </c>
      <c r="Q98" s="1" t="str">
        <f>LOOKUP(O98, 'Spell Effects'!A:A, 'Spell Effects'!B:B)</f>
        <v>Ancient Root</v>
      </c>
    </row>
    <row r="99" ht="15.75" customHeight="1">
      <c r="A99" s="1">
        <v>98.0</v>
      </c>
      <c r="B99" s="1" t="s">
        <v>683</v>
      </c>
      <c r="D99" s="1">
        <v>1.0</v>
      </c>
      <c r="E99" s="1">
        <v>47.0</v>
      </c>
      <c r="F99" s="1">
        <v>1800000.0</v>
      </c>
      <c r="G99" s="1">
        <v>810011.0</v>
      </c>
      <c r="H99" s="1">
        <v>20107.0</v>
      </c>
      <c r="K99" s="1">
        <v>20000.0</v>
      </c>
      <c r="O99" s="1">
        <v>145.0</v>
      </c>
      <c r="Q99" s="1" t="str">
        <f>LOOKUP(O99, 'Spell Effects'!A:A, 'Spell Effects'!B:B)</f>
        <v>Ancient Sturdiness</v>
      </c>
    </row>
    <row r="100" ht="15.75" customHeight="1">
      <c r="A100" s="1">
        <v>99.0</v>
      </c>
      <c r="B100" s="1" t="s">
        <v>689</v>
      </c>
      <c r="D100" s="1">
        <v>1.0</v>
      </c>
      <c r="E100" s="1">
        <v>59.0</v>
      </c>
      <c r="F100" s="1">
        <v>240000.0</v>
      </c>
      <c r="G100" s="1">
        <v>810035.0</v>
      </c>
      <c r="H100" s="1">
        <v>20107.0</v>
      </c>
      <c r="K100" s="1">
        <v>10000.0</v>
      </c>
      <c r="O100" s="1">
        <v>146.0</v>
      </c>
      <c r="Q100" s="1" t="str">
        <f>LOOKUP(O100, 'Spell Effects'!A:A, 'Spell Effects'!B:B)</f>
        <v>Ancient Criticality</v>
      </c>
    </row>
    <row r="101" ht="15.75" customHeight="1">
      <c r="A101" s="1">
        <v>100.0</v>
      </c>
      <c r="B101" s="1" t="s">
        <v>695</v>
      </c>
      <c r="D101" s="1">
        <v>1.0</v>
      </c>
      <c r="E101" s="1">
        <v>55.0</v>
      </c>
      <c r="F101" s="1">
        <v>240000.0</v>
      </c>
      <c r="G101" s="1">
        <v>810035.0</v>
      </c>
      <c r="H101" s="1">
        <v>20107.0</v>
      </c>
      <c r="K101" s="1">
        <v>4000.0</v>
      </c>
      <c r="O101" s="1">
        <v>147.0</v>
      </c>
      <c r="Q101" s="1" t="str">
        <f>LOOKUP(O101, 'Spell Effects'!A:A, 'Spell Effects'!B:B)</f>
        <v>Ancient Augmentation</v>
      </c>
    </row>
    <row r="102" ht="15.75" customHeight="1">
      <c r="A102" s="1">
        <v>101.0</v>
      </c>
      <c r="B102" s="1" t="s">
        <v>700</v>
      </c>
      <c r="D102" s="1">
        <v>1.0</v>
      </c>
      <c r="E102" s="1">
        <v>31.0</v>
      </c>
      <c r="F102" s="1">
        <v>120000.0</v>
      </c>
      <c r="G102" s="1">
        <v>810030.0</v>
      </c>
      <c r="H102" s="1">
        <v>20107.0</v>
      </c>
      <c r="K102" s="1">
        <v>30000.0</v>
      </c>
      <c r="O102" s="1">
        <v>148.0</v>
      </c>
      <c r="Q102" s="1" t="str">
        <f>LOOKUP(O102, 'Spell Effects'!A:A, 'Spell Effects'!B:B)</f>
        <v>Ancient Protection</v>
      </c>
    </row>
    <row r="103" ht="15.75" customHeight="1">
      <c r="A103" s="1">
        <v>102.0</v>
      </c>
      <c r="B103" s="1" t="s">
        <v>706</v>
      </c>
      <c r="D103" s="1">
        <v>1.0</v>
      </c>
      <c r="E103" s="1">
        <v>47.0</v>
      </c>
      <c r="F103" s="1">
        <v>300000.0</v>
      </c>
      <c r="G103" s="1">
        <v>810035.0</v>
      </c>
      <c r="H103" s="1">
        <v>20107.0</v>
      </c>
      <c r="K103" s="1">
        <v>45000.0</v>
      </c>
      <c r="O103" s="1">
        <v>149.0</v>
      </c>
      <c r="Q103" s="1" t="str">
        <f>LOOKUP(O103, 'Spell Effects'!A:A, 'Spell Effects'!B:B)</f>
        <v>Ancient Buffiness</v>
      </c>
    </row>
    <row r="104" ht="15.75" customHeight="1">
      <c r="A104" s="1">
        <v>103.0</v>
      </c>
      <c r="B104" s="1" t="s">
        <v>714</v>
      </c>
      <c r="D104" s="1">
        <v>1.0</v>
      </c>
      <c r="E104" s="1">
        <v>59.0</v>
      </c>
      <c r="F104" s="1">
        <v>300000.0</v>
      </c>
      <c r="G104" s="1">
        <v>810000.0</v>
      </c>
      <c r="H104" s="1">
        <v>20107.0</v>
      </c>
      <c r="K104" s="1">
        <v>10000.0</v>
      </c>
      <c r="O104" s="1">
        <v>150.0</v>
      </c>
      <c r="Q104" s="1" t="str">
        <f>LOOKUP(O104, 'Spell Effects'!A:A, 'Spell Effects'!B:B)</f>
        <v>Ancient Damage</v>
      </c>
    </row>
    <row r="105" ht="15.75" customHeight="1">
      <c r="A105" s="1">
        <v>104.0</v>
      </c>
      <c r="B105" s="1" t="s">
        <v>719</v>
      </c>
      <c r="D105" s="1">
        <v>0.0</v>
      </c>
      <c r="E105" s="1">
        <v>55.0</v>
      </c>
      <c r="F105" s="1">
        <v>2000.0</v>
      </c>
      <c r="G105" s="1">
        <v>810000.0</v>
      </c>
      <c r="H105" s="1">
        <v>20107.0</v>
      </c>
      <c r="K105" s="1">
        <v>700.0</v>
      </c>
      <c r="O105" s="1">
        <v>151.0</v>
      </c>
      <c r="Q105" s="1" t="str">
        <f>LOOKUP(O105, 'Spell Effects'!A:A, 'Spell Effects'!B:B)</f>
        <v>Ancient Taunt</v>
      </c>
    </row>
    <row r="106" ht="15.75" customHeight="1">
      <c r="A106" s="1">
        <v>105.0</v>
      </c>
      <c r="B106" s="1" t="s">
        <v>723</v>
      </c>
      <c r="D106" s="1">
        <v>2.0</v>
      </c>
      <c r="E106" s="1">
        <v>31.0</v>
      </c>
      <c r="F106" s="1">
        <v>1400.0</v>
      </c>
      <c r="G106" s="1">
        <v>810007.0</v>
      </c>
      <c r="H106" s="1">
        <v>20107.0</v>
      </c>
      <c r="I106" s="1">
        <v>5000.0</v>
      </c>
      <c r="O106" s="1">
        <v>152.0</v>
      </c>
      <c r="Q106" s="1" t="str">
        <f>LOOKUP(O106, 'Spell Effects'!A:A, 'Spell Effects'!B:B)</f>
        <v>Ancient Sacrifice</v>
      </c>
    </row>
    <row r="107" ht="15.75" customHeight="1">
      <c r="A107" s="1">
        <v>106.0</v>
      </c>
      <c r="B107" s="1" t="s">
        <v>727</v>
      </c>
      <c r="D107" s="1">
        <v>1.0</v>
      </c>
      <c r="E107" s="1">
        <v>59.0</v>
      </c>
      <c r="F107" s="1">
        <v>300000.0</v>
      </c>
      <c r="G107" s="1">
        <v>810014.0</v>
      </c>
      <c r="H107" s="1">
        <v>20107.0</v>
      </c>
      <c r="K107" s="1">
        <v>500.0</v>
      </c>
      <c r="O107" s="1">
        <v>153.0</v>
      </c>
      <c r="Q107" s="1" t="str">
        <f>LOOKUP(O107, 'Spell Effects'!A:A, 'Spell Effects'!B:B)</f>
        <v>Smoke Bomb</v>
      </c>
    </row>
    <row r="108" ht="15.75" customHeight="1">
      <c r="A108" s="1">
        <v>107.0</v>
      </c>
      <c r="B108" s="1" t="s">
        <v>732</v>
      </c>
      <c r="D108" s="1">
        <v>2.0</v>
      </c>
      <c r="E108" s="1">
        <v>31.0</v>
      </c>
      <c r="F108" s="1">
        <v>1000.0</v>
      </c>
      <c r="G108" s="1">
        <v>810006.0</v>
      </c>
      <c r="H108" s="1">
        <v>20107.0</v>
      </c>
      <c r="K108" s="1">
        <v>75.0</v>
      </c>
      <c r="O108" s="1">
        <v>154.0</v>
      </c>
      <c r="Q108" s="1" t="str">
        <f>LOOKUP(O108, 'Spell Effects'!A:A, 'Spell Effects'!B:B)</f>
        <v>Group Heal</v>
      </c>
    </row>
    <row r="109" ht="15.75" customHeight="1">
      <c r="A109" s="1">
        <v>108.0</v>
      </c>
      <c r="B109" s="1" t="s">
        <v>736</v>
      </c>
      <c r="D109" s="1">
        <v>1.0</v>
      </c>
      <c r="E109" s="1">
        <v>55.0</v>
      </c>
      <c r="F109" s="1">
        <v>5000.0</v>
      </c>
      <c r="G109" s="1">
        <v>810024.0</v>
      </c>
      <c r="H109" s="1">
        <v>20107.0</v>
      </c>
      <c r="K109" s="1">
        <v>100.0</v>
      </c>
      <c r="O109" s="1">
        <v>155.0</v>
      </c>
      <c r="Q109" s="1" t="str">
        <f>LOOKUP(O109, 'Spell Effects'!A:A, 'Spell Effects'!B:B)</f>
        <v>Warrior Root</v>
      </c>
    </row>
    <row r="110" ht="15.75" customHeight="1">
      <c r="A110" s="1">
        <v>109.0</v>
      </c>
      <c r="B110" s="1" t="s">
        <v>740</v>
      </c>
      <c r="D110" s="1">
        <v>0.0</v>
      </c>
      <c r="E110" s="1">
        <v>55.0</v>
      </c>
      <c r="F110" s="1">
        <v>4000.0</v>
      </c>
      <c r="G110" s="1">
        <v>810000.0</v>
      </c>
      <c r="H110" s="1">
        <v>20107.0</v>
      </c>
      <c r="K110" s="1">
        <v>1400.0</v>
      </c>
      <c r="O110" s="1">
        <v>165.0</v>
      </c>
      <c r="Q110" s="1" t="str">
        <f>LOOKUP(O110, 'Spell Effects'!A:A, 'Spell Effects'!B:B)</f>
        <v>Ancient Bellow</v>
      </c>
    </row>
    <row r="111" ht="15.75" customHeight="1">
      <c r="A111" s="1">
        <v>110.0</v>
      </c>
      <c r="B111" s="1" t="s">
        <v>745</v>
      </c>
      <c r="D111" s="1">
        <v>1.0</v>
      </c>
      <c r="E111" s="1">
        <v>55.0</v>
      </c>
      <c r="F111" s="1">
        <v>600000.0</v>
      </c>
      <c r="G111" s="1">
        <v>810033.0</v>
      </c>
      <c r="H111" s="1">
        <v>20107.0</v>
      </c>
      <c r="J111" s="1">
        <v>70.0</v>
      </c>
      <c r="K111" s="1">
        <v>15000.0</v>
      </c>
      <c r="L111" s="1">
        <v>90.0</v>
      </c>
      <c r="O111" s="1">
        <v>168.0</v>
      </c>
      <c r="Q111" s="1" t="str">
        <f>LOOKUP(O111, 'Spell Effects'!A:A, 'Spell Effects'!B:B)</f>
        <v>Ancient Awe</v>
      </c>
    </row>
    <row r="112" ht="15.75" customHeight="1">
      <c r="A112" s="1">
        <v>111.0</v>
      </c>
      <c r="B112" s="1" t="s">
        <v>749</v>
      </c>
      <c r="D112" s="1">
        <v>1.0</v>
      </c>
      <c r="E112" s="1">
        <v>59.0</v>
      </c>
      <c r="F112" s="1">
        <v>600000.0</v>
      </c>
      <c r="G112" s="1">
        <v>810017.0</v>
      </c>
      <c r="H112" s="1">
        <v>20107.0</v>
      </c>
      <c r="I112" s="1">
        <v>20000.0</v>
      </c>
      <c r="J112" s="1">
        <v>90.0</v>
      </c>
      <c r="L112" s="1">
        <v>50.0</v>
      </c>
      <c r="O112" s="1">
        <v>167.0</v>
      </c>
      <c r="Q112" s="1" t="str">
        <f>LOOKUP(O112, 'Spell Effects'!A:A, 'Spell Effects'!B:B)</f>
        <v>Ancient Death</v>
      </c>
    </row>
    <row r="113" ht="15.75" customHeight="1">
      <c r="A113" s="1">
        <v>112.0</v>
      </c>
      <c r="B113" s="1" t="s">
        <v>752</v>
      </c>
      <c r="D113" s="1">
        <v>1.0</v>
      </c>
      <c r="E113" s="1">
        <v>47.0</v>
      </c>
      <c r="F113" s="1">
        <v>600000.0</v>
      </c>
      <c r="G113" s="1">
        <v>810029.0</v>
      </c>
      <c r="H113" s="1">
        <v>20107.0</v>
      </c>
      <c r="I113" s="1">
        <v>20000.0</v>
      </c>
      <c r="J113" s="1">
        <v>95.0</v>
      </c>
      <c r="L113" s="1">
        <v>30.0</v>
      </c>
      <c r="O113" s="1">
        <v>166.0</v>
      </c>
      <c r="Q113" s="1" t="str">
        <f>LOOKUP(O113, 'Spell Effects'!A:A, 'Spell Effects'!B:B)</f>
        <v>Ancient Conflagration</v>
      </c>
    </row>
    <row r="114" ht="15.75" customHeight="1">
      <c r="A114" s="1">
        <v>113.0</v>
      </c>
      <c r="B114" s="1" t="s">
        <v>759</v>
      </c>
      <c r="D114" s="1">
        <v>2.0</v>
      </c>
      <c r="E114" s="1">
        <v>31.0</v>
      </c>
      <c r="F114" s="1">
        <v>600000.0</v>
      </c>
      <c r="G114" s="1">
        <v>810035.0</v>
      </c>
      <c r="H114" s="1">
        <v>20107.0</v>
      </c>
      <c r="I114" s="1">
        <v>30000.0</v>
      </c>
      <c r="O114" s="1">
        <v>170.0</v>
      </c>
      <c r="Q114" s="1" t="str">
        <f>LOOKUP(O114, 'Spell Effects'!A:A, 'Spell Effects'!B:B)</f>
        <v>Ancient Blessings</v>
      </c>
    </row>
    <row r="115" ht="15.75" customHeight="1">
      <c r="A115" s="1">
        <v>114.0</v>
      </c>
      <c r="B115" s="1" t="s">
        <v>765</v>
      </c>
      <c r="D115" s="1">
        <v>2.0</v>
      </c>
      <c r="E115" s="1">
        <v>31.0</v>
      </c>
      <c r="F115" s="1">
        <v>600000.0</v>
      </c>
      <c r="G115" s="1">
        <v>810007.0</v>
      </c>
      <c r="H115" s="1">
        <v>20107.0</v>
      </c>
      <c r="K115" s="1">
        <v>5000.0</v>
      </c>
      <c r="O115" s="1">
        <v>171.0</v>
      </c>
      <c r="Q115" s="1" t="str">
        <f>LOOKUP(O115, 'Spell Effects'!A:A, 'Spell Effects'!B:B)</f>
        <v>Spiritual Blessings</v>
      </c>
    </row>
    <row r="116" ht="15.75" customHeight="1">
      <c r="A116" s="1">
        <v>115.0</v>
      </c>
      <c r="B116" s="1" t="s">
        <v>769</v>
      </c>
      <c r="D116" s="1">
        <v>0.0</v>
      </c>
      <c r="E116" s="1">
        <v>31.0</v>
      </c>
      <c r="F116" s="1">
        <v>400.0</v>
      </c>
      <c r="G116" s="1">
        <v>810007.0</v>
      </c>
      <c r="H116" s="1">
        <v>20107.0</v>
      </c>
      <c r="I116" s="1">
        <v>5000.0</v>
      </c>
      <c r="O116" s="1">
        <v>178.0</v>
      </c>
      <c r="Q116" s="1" t="str">
        <f>LOOKUP(O116, 'Spell Effects'!A:A, 'Spell Effects'!B:B)</f>
        <v>Sacrifice II</v>
      </c>
    </row>
    <row r="117" ht="15.75" customHeight="1">
      <c r="A117" s="1">
        <v>116.0</v>
      </c>
      <c r="B117" s="1" t="s">
        <v>778</v>
      </c>
      <c r="D117" s="1">
        <v>2.0</v>
      </c>
      <c r="E117" s="1">
        <v>47.0</v>
      </c>
      <c r="F117" s="1">
        <v>120000.0</v>
      </c>
      <c r="G117" s="1">
        <v>810035.0</v>
      </c>
      <c r="H117" s="1">
        <v>20107.0</v>
      </c>
      <c r="K117" s="1">
        <v>45000.0</v>
      </c>
      <c r="O117" s="1">
        <v>179.0</v>
      </c>
      <c r="Q117" s="1" t="str">
        <f>LOOKUP(O117, 'Spell Effects'!A:A, 'Spell Effects'!B:B)</f>
        <v>Damage of the Bear</v>
      </c>
    </row>
    <row r="118" ht="15.75" customHeight="1">
      <c r="A118" s="1">
        <v>117.0</v>
      </c>
      <c r="B118" s="1" t="s">
        <v>782</v>
      </c>
      <c r="D118" s="1">
        <v>2.0</v>
      </c>
      <c r="E118" s="1">
        <v>59.0</v>
      </c>
      <c r="F118" s="1">
        <v>120000.0</v>
      </c>
      <c r="G118" s="1">
        <v>810035.0</v>
      </c>
      <c r="H118" s="1">
        <v>20107.0</v>
      </c>
      <c r="K118" s="1">
        <v>45000.0</v>
      </c>
      <c r="O118" s="1">
        <v>180.0</v>
      </c>
      <c r="Q118" s="1" t="str">
        <f>LOOKUP(O118, 'Spell Effects'!A:A, 'Spell Effects'!B:B)</f>
        <v>Critical Blow of the Bear</v>
      </c>
    </row>
    <row r="119" ht="15.75" customHeight="1">
      <c r="A119" s="1">
        <v>118.0</v>
      </c>
      <c r="B119" s="1" t="s">
        <v>787</v>
      </c>
      <c r="D119" s="1">
        <v>1.0</v>
      </c>
      <c r="E119" s="1">
        <v>55.0</v>
      </c>
      <c r="F119" s="1">
        <v>5000.0</v>
      </c>
      <c r="G119" s="1">
        <v>810000.0</v>
      </c>
      <c r="H119" s="1">
        <v>20107.0</v>
      </c>
      <c r="K119" s="1">
        <v>4000.0</v>
      </c>
      <c r="O119" s="1">
        <v>181.0</v>
      </c>
      <c r="Q119" s="1" t="str">
        <f>LOOKUP(O119, 'Spell Effects'!A:A, 'Spell Effects'!B:B)</f>
        <v>Roar of the Bear</v>
      </c>
    </row>
    <row r="120" ht="15.75" customHeight="1">
      <c r="A120" s="1">
        <v>119.0</v>
      </c>
      <c r="B120" s="1" t="s">
        <v>794</v>
      </c>
      <c r="D120" s="1">
        <v>0.0</v>
      </c>
      <c r="F120" s="1">
        <v>60000.0</v>
      </c>
      <c r="G120" s="1">
        <v>810007.0</v>
      </c>
      <c r="H120" s="1">
        <v>20107.0</v>
      </c>
      <c r="K120" s="1">
        <v>100.0</v>
      </c>
      <c r="O120" s="1">
        <v>183.0</v>
      </c>
      <c r="Q120" s="1" t="str">
        <f>LOOKUP(O120, 'Spell Effects'!A:A, 'Spell Effects'!B:B)</f>
        <v>Illusion: Bat</v>
      </c>
    </row>
    <row r="121" ht="15.75" customHeight="1">
      <c r="A121" s="1">
        <v>120.0</v>
      </c>
      <c r="B121" s="1" t="s">
        <v>799</v>
      </c>
      <c r="D121" s="1">
        <v>0.0</v>
      </c>
      <c r="F121" s="1">
        <v>60000.0</v>
      </c>
      <c r="G121" s="1">
        <v>810007.0</v>
      </c>
      <c r="H121" s="1">
        <v>20107.0</v>
      </c>
      <c r="K121" s="1">
        <v>100.0</v>
      </c>
      <c r="O121" s="1">
        <v>184.0</v>
      </c>
      <c r="Q121" s="1" t="str">
        <f>LOOKUP(O121, 'Spell Effects'!A:A, 'Spell Effects'!B:B)</f>
        <v>Illusion: Shroom</v>
      </c>
    </row>
    <row r="122" ht="15.75" customHeight="1">
      <c r="A122" s="1">
        <v>121.0</v>
      </c>
      <c r="B122" s="1" t="s">
        <v>805</v>
      </c>
      <c r="D122" s="1">
        <v>2.0</v>
      </c>
      <c r="E122" s="1">
        <v>31.0</v>
      </c>
      <c r="F122" s="1">
        <v>1000.0</v>
      </c>
      <c r="G122" s="1">
        <v>810006.0</v>
      </c>
      <c r="H122" s="1">
        <v>20107.0</v>
      </c>
      <c r="K122" s="1">
        <v>1000.0</v>
      </c>
      <c r="O122" s="1">
        <v>199.0</v>
      </c>
      <c r="Q122" s="1" t="str">
        <f>LOOKUP(O122, 'Spell Effects'!A:A, 'Spell Effects'!B:B)</f>
        <v>Ancient Group Healing</v>
      </c>
    </row>
    <row r="123" ht="15.75" customHeight="1">
      <c r="A123" s="1">
        <v>122.0</v>
      </c>
      <c r="B123" s="1" t="s">
        <v>810</v>
      </c>
      <c r="D123" s="1">
        <v>2.0</v>
      </c>
      <c r="E123" s="1">
        <v>59.0</v>
      </c>
      <c r="F123" s="1">
        <v>300000.0</v>
      </c>
      <c r="G123" s="1">
        <v>810027.0</v>
      </c>
      <c r="H123" s="1">
        <v>20107.0</v>
      </c>
      <c r="K123" s="1">
        <v>35000.0</v>
      </c>
      <c r="O123" s="1">
        <v>200.0</v>
      </c>
      <c r="Q123" s="1" t="str">
        <f>LOOKUP(O123, 'Spell Effects'!A:A, 'Spell Effects'!B:B)</f>
        <v>Ancient Group Damage</v>
      </c>
    </row>
    <row r="124" ht="15.75" customHeight="1">
      <c r="A124" s="1">
        <v>123.0</v>
      </c>
      <c r="B124" s="1" t="s">
        <v>814</v>
      </c>
      <c r="D124" s="1">
        <v>2.0</v>
      </c>
      <c r="E124" s="1">
        <v>47.0</v>
      </c>
      <c r="F124" s="1">
        <v>45000.0</v>
      </c>
      <c r="G124" s="1">
        <v>810035.0</v>
      </c>
      <c r="H124" s="1">
        <v>20107.0</v>
      </c>
      <c r="K124" s="1">
        <v>35000.0</v>
      </c>
      <c r="O124" s="1">
        <v>201.0</v>
      </c>
      <c r="Q124" s="1" t="str">
        <f>LOOKUP(O124, 'Spell Effects'!A:A, 'Spell Effects'!B:B)</f>
        <v>Ancient Regeneration</v>
      </c>
    </row>
    <row r="125" ht="15.75" customHeight="1">
      <c r="A125" s="1">
        <v>124.0</v>
      </c>
      <c r="B125" s="1" t="s">
        <v>820</v>
      </c>
      <c r="D125" s="1">
        <v>2.0</v>
      </c>
      <c r="E125" s="1">
        <v>47.0</v>
      </c>
      <c r="F125" s="1">
        <v>60000.0</v>
      </c>
      <c r="G125" s="1">
        <v>810001.0</v>
      </c>
      <c r="H125" s="1">
        <v>20107.0</v>
      </c>
      <c r="K125" s="1">
        <v>500.0</v>
      </c>
      <c r="O125" s="1">
        <v>202.0</v>
      </c>
      <c r="Q125" s="1" t="str">
        <f>LOOKUP(O125, 'Spell Effects'!A:A, 'Spell Effects'!B:B)</f>
        <v>Augment</v>
      </c>
    </row>
    <row r="126" ht="15.75" customHeight="1">
      <c r="A126" s="1">
        <v>125.0</v>
      </c>
      <c r="B126" s="1" t="s">
        <v>827</v>
      </c>
      <c r="D126" s="1">
        <v>2.0</v>
      </c>
      <c r="E126" s="1">
        <v>31.0</v>
      </c>
      <c r="F126" s="1">
        <v>60000.0</v>
      </c>
      <c r="G126" s="1">
        <v>810020.0</v>
      </c>
      <c r="H126" s="1">
        <v>20107.0</v>
      </c>
      <c r="K126" s="1">
        <v>300.0</v>
      </c>
      <c r="O126" s="1">
        <v>203.0</v>
      </c>
      <c r="Q126" s="1" t="str">
        <f>LOOKUP(O126, 'Spell Effects'!A:A, 'Spell Effects'!B:B)</f>
        <v>Empower</v>
      </c>
    </row>
    <row r="127" ht="15.75" customHeight="1">
      <c r="A127" s="1">
        <v>126.0</v>
      </c>
      <c r="B127" s="1" t="s">
        <v>835</v>
      </c>
      <c r="D127" s="1">
        <v>2.0</v>
      </c>
      <c r="E127" s="1">
        <v>59.0</v>
      </c>
      <c r="F127" s="1">
        <v>600000.0</v>
      </c>
      <c r="G127" s="1">
        <v>810021.0</v>
      </c>
      <c r="H127" s="1">
        <v>20107.0</v>
      </c>
      <c r="K127" s="1">
        <v>100.0</v>
      </c>
      <c r="O127" s="1">
        <v>204.0</v>
      </c>
      <c r="Q127" s="1" t="str">
        <f>LOOKUP(O127, 'Spell Effects'!A:A, 'Spell Effects'!B:B)</f>
        <v>Bustle</v>
      </c>
    </row>
    <row r="128" ht="15.75" customHeight="1">
      <c r="A128" s="1">
        <v>127.0</v>
      </c>
      <c r="B128" s="1" t="s">
        <v>837</v>
      </c>
      <c r="D128" s="1">
        <v>2.0</v>
      </c>
      <c r="E128" s="1">
        <v>55.0</v>
      </c>
      <c r="F128" s="1">
        <v>60000.0</v>
      </c>
      <c r="G128" s="1">
        <v>810021.0</v>
      </c>
      <c r="H128" s="1">
        <v>20107.0</v>
      </c>
      <c r="K128" s="1">
        <v>100.0</v>
      </c>
      <c r="O128" s="1">
        <v>205.0</v>
      </c>
      <c r="Q128" s="1" t="str">
        <f>LOOKUP(O128, 'Spell Effects'!A:A, 'Spell Effects'!B:B)</f>
        <v>Aggravate</v>
      </c>
    </row>
    <row r="129" ht="15.75" customHeight="1">
      <c r="A129" s="1">
        <v>128.0</v>
      </c>
      <c r="B129" s="1" t="s">
        <v>838</v>
      </c>
      <c r="D129" s="1">
        <v>1.0</v>
      </c>
      <c r="E129" s="1">
        <v>47.0</v>
      </c>
      <c r="F129" s="1">
        <v>60000.0</v>
      </c>
      <c r="G129" s="1">
        <v>810032.0</v>
      </c>
      <c r="H129" s="1">
        <v>20107.0</v>
      </c>
      <c r="K129" s="1">
        <v>500.0</v>
      </c>
      <c r="O129" s="1">
        <v>206.0</v>
      </c>
      <c r="Q129" s="1" t="str">
        <f>LOOKUP(O129, 'Spell Effects'!A:A, 'Spell Effects'!B:B)</f>
        <v>Meditate</v>
      </c>
    </row>
    <row r="130" ht="15.75" customHeight="1">
      <c r="A130" s="1">
        <v>129.0</v>
      </c>
      <c r="B130" s="1" t="s">
        <v>842</v>
      </c>
      <c r="D130" s="1">
        <v>1.0</v>
      </c>
      <c r="E130" s="1">
        <v>31.0</v>
      </c>
      <c r="F130" s="1">
        <v>60000.0</v>
      </c>
      <c r="G130" s="1">
        <v>810020.0</v>
      </c>
      <c r="H130" s="1">
        <v>20107.0</v>
      </c>
      <c r="K130" s="1">
        <v>300.0</v>
      </c>
      <c r="O130" s="1">
        <v>207.0</v>
      </c>
      <c r="Q130" s="1" t="str">
        <f>LOOKUP(O130, 'Spell Effects'!A:A, 'Spell Effects'!B:B)</f>
        <v>Bulk</v>
      </c>
    </row>
    <row r="131" ht="15.75" customHeight="1">
      <c r="A131" s="1">
        <v>130.0</v>
      </c>
      <c r="B131" s="1" t="s">
        <v>845</v>
      </c>
      <c r="D131" s="1">
        <v>1.0</v>
      </c>
      <c r="E131" s="1">
        <v>59.0</v>
      </c>
      <c r="F131" s="1">
        <v>600000.0</v>
      </c>
      <c r="G131" s="1">
        <v>810027.0</v>
      </c>
      <c r="H131" s="1">
        <v>20107.0</v>
      </c>
      <c r="K131" s="1">
        <v>100.0</v>
      </c>
      <c r="O131" s="1">
        <v>208.0</v>
      </c>
      <c r="Q131" s="1" t="str">
        <f>LOOKUP(O131, 'Spell Effects'!A:A, 'Spell Effects'!B:B)</f>
        <v>Tumble</v>
      </c>
    </row>
    <row r="132" ht="15.75" customHeight="1">
      <c r="A132" s="1">
        <v>131.0</v>
      </c>
      <c r="B132" s="1" t="s">
        <v>849</v>
      </c>
      <c r="D132" s="1">
        <v>1.0</v>
      </c>
      <c r="E132" s="1">
        <v>55.0</v>
      </c>
      <c r="F132" s="1">
        <v>60000.0</v>
      </c>
      <c r="G132" s="1">
        <v>810008.0</v>
      </c>
      <c r="H132" s="1">
        <v>20107.0</v>
      </c>
      <c r="K132" s="1">
        <v>100.0</v>
      </c>
      <c r="O132" s="1">
        <v>209.0</v>
      </c>
      <c r="Q132" s="1" t="str">
        <f>LOOKUP(O132, 'Spell Effects'!A:A, 'Spell Effects'!B:B)</f>
        <v>Forge</v>
      </c>
    </row>
    <row r="133" ht="15.75" customHeight="1">
      <c r="A133" s="1">
        <v>132.0</v>
      </c>
      <c r="B133" s="1" t="s">
        <v>852</v>
      </c>
      <c r="D133" s="1">
        <v>1.0</v>
      </c>
      <c r="E133" s="1">
        <v>59.0</v>
      </c>
      <c r="F133" s="1">
        <v>6000.0</v>
      </c>
      <c r="G133" s="1">
        <v>810031.0</v>
      </c>
      <c r="H133" s="1">
        <v>20107.0</v>
      </c>
      <c r="J133" s="1">
        <v>25.0</v>
      </c>
      <c r="O133" s="1">
        <v>220.0</v>
      </c>
      <c r="Q133" s="1" t="str">
        <f>LOOKUP(O133, 'Spell Effects'!A:A, 'Spell Effects'!B:B)</f>
        <v>Mischiefs Craft</v>
      </c>
    </row>
    <row r="134" ht="15.75" customHeight="1">
      <c r="A134" s="1">
        <v>133.0</v>
      </c>
      <c r="B134" s="1" t="s">
        <v>857</v>
      </c>
      <c r="D134" s="1">
        <v>0.0</v>
      </c>
      <c r="E134" s="1">
        <v>47.0</v>
      </c>
      <c r="F134" s="1">
        <v>300000.0</v>
      </c>
      <c r="G134" s="1">
        <v>810035.0</v>
      </c>
      <c r="H134" s="1">
        <v>20107.0</v>
      </c>
      <c r="K134" s="1">
        <v>65000.0</v>
      </c>
      <c r="O134" s="1">
        <v>221.0</v>
      </c>
      <c r="Q134" s="1" t="str">
        <f>LOOKUP(O134, 'Spell Effects'!A:A, 'Spell Effects'!B:B)</f>
        <v>Wizards Curse</v>
      </c>
    </row>
    <row r="135" ht="15.75" customHeight="1">
      <c r="A135" s="1">
        <v>134.0</v>
      </c>
      <c r="B135" s="1" t="s">
        <v>861</v>
      </c>
      <c r="D135" s="1">
        <v>2.0</v>
      </c>
      <c r="E135" s="1">
        <v>31.0</v>
      </c>
      <c r="F135" s="1">
        <v>600000.0</v>
      </c>
      <c r="G135" s="1">
        <v>810035.0</v>
      </c>
      <c r="H135" s="1">
        <v>20107.0</v>
      </c>
      <c r="I135" s="1">
        <v>50000.0</v>
      </c>
      <c r="K135" s="1">
        <v>70000.0</v>
      </c>
      <c r="O135" s="1">
        <v>222.0</v>
      </c>
      <c r="Q135" s="1" t="str">
        <f>LOOKUP(O135, 'Spell Effects'!A:A, 'Spell Effects'!B:B)</f>
        <v>Clerics Blessing</v>
      </c>
    </row>
    <row r="136" ht="15.75" customHeight="1">
      <c r="A136" s="1">
        <v>135.0</v>
      </c>
      <c r="B136" s="1" t="s">
        <v>867</v>
      </c>
      <c r="D136" s="1">
        <v>1.0</v>
      </c>
      <c r="E136" s="1">
        <v>55.0</v>
      </c>
      <c r="F136" s="1">
        <v>60000.0</v>
      </c>
      <c r="G136" s="1">
        <v>810018.0</v>
      </c>
      <c r="H136" s="1">
        <v>20107.0</v>
      </c>
      <c r="K136" s="1">
        <v>50000.0</v>
      </c>
      <c r="O136" s="1">
        <v>223.0</v>
      </c>
      <c r="Q136" s="1" t="str">
        <f>LOOKUP(O136, 'Spell Effects'!A:A, 'Spell Effects'!B:B)</f>
        <v>Knights Blessing</v>
      </c>
    </row>
    <row r="137" ht="15.75" customHeight="1">
      <c r="A137" s="1">
        <v>136.0</v>
      </c>
      <c r="B137" s="1" t="s">
        <v>875</v>
      </c>
      <c r="D137" s="1">
        <v>1.0</v>
      </c>
      <c r="F137" s="1">
        <v>250.0</v>
      </c>
      <c r="G137" s="1">
        <v>810006.0</v>
      </c>
      <c r="H137" s="1">
        <v>20107.0</v>
      </c>
      <c r="K137" s="1">
        <v>50.0</v>
      </c>
      <c r="O137" s="1">
        <v>226.0</v>
      </c>
      <c r="Q137" s="1" t="str">
        <f>LOOKUP(O137, 'Spell Effects'!A:A, 'Spell Effects'!B:B)</f>
        <v>First Aid</v>
      </c>
    </row>
    <row r="138" ht="15.75" customHeight="1">
      <c r="A138" s="1">
        <v>137.0</v>
      </c>
      <c r="B138" s="1" t="s">
        <v>879</v>
      </c>
      <c r="D138" s="1">
        <v>0.0</v>
      </c>
      <c r="F138" s="1">
        <v>50.0</v>
      </c>
      <c r="G138" s="1">
        <v>810006.0</v>
      </c>
      <c r="H138" s="1">
        <v>20107.0</v>
      </c>
      <c r="K138" s="1">
        <v>250.0</v>
      </c>
      <c r="O138" s="1">
        <v>227.0</v>
      </c>
      <c r="Q138" s="1" t="str">
        <f>LOOKUP(O138, 'Spell Effects'!A:A, 'Spell Effects'!B:B)</f>
        <v>Recovery</v>
      </c>
    </row>
    <row r="139" ht="15.75" customHeight="1">
      <c r="A139" s="1">
        <v>138.0</v>
      </c>
      <c r="B139" s="1" t="s">
        <v>885</v>
      </c>
      <c r="D139" s="1">
        <v>1.0</v>
      </c>
      <c r="F139" s="1">
        <v>250.0</v>
      </c>
      <c r="G139" s="1">
        <v>810012.0</v>
      </c>
      <c r="H139" s="1">
        <v>20107.0</v>
      </c>
      <c r="K139" s="1">
        <v>50.0</v>
      </c>
      <c r="O139" s="1">
        <v>228.0</v>
      </c>
      <c r="Q139" s="1" t="str">
        <f>LOOKUP(O139, 'Spell Effects'!A:A, 'Spell Effects'!B:B)</f>
        <v>Clobber</v>
      </c>
    </row>
    <row r="140" ht="15.75" customHeight="1">
      <c r="A140" s="1">
        <v>139.0</v>
      </c>
      <c r="B140" s="1" t="s">
        <v>893</v>
      </c>
      <c r="D140" s="1">
        <v>0.0</v>
      </c>
      <c r="F140" s="1">
        <v>50.0</v>
      </c>
      <c r="G140" s="1">
        <v>810012.0</v>
      </c>
      <c r="H140" s="1">
        <v>20107.0</v>
      </c>
      <c r="K140" s="1">
        <v>250.0</v>
      </c>
      <c r="O140" s="1">
        <v>229.0</v>
      </c>
      <c r="Q140" s="1" t="str">
        <f>LOOKUP(O140, 'Spell Effects'!A:A, 'Spell Effects'!B:B)</f>
        <v>Pummel</v>
      </c>
    </row>
    <row r="141" ht="15.75" customHeight="1">
      <c r="A141" s="1">
        <v>140.0</v>
      </c>
      <c r="B141" s="1" t="s">
        <v>898</v>
      </c>
      <c r="D141" s="1">
        <v>1.0</v>
      </c>
      <c r="F141" s="1">
        <v>2.16E7</v>
      </c>
      <c r="G141" s="1">
        <v>810012.0</v>
      </c>
      <c r="H141" s="1">
        <v>20107.0</v>
      </c>
      <c r="O141" s="1">
        <v>230.0</v>
      </c>
      <c r="Q141" s="1" t="str">
        <f>LOOKUP(O141, 'Spell Effects'!A:A, 'Spell Effects'!B:B)</f>
        <v>Tame</v>
      </c>
    </row>
    <row r="142" ht="15.75" customHeight="1">
      <c r="A142" s="1">
        <v>141.0</v>
      </c>
      <c r="B142" s="1" t="s">
        <v>901</v>
      </c>
      <c r="D142" s="1">
        <v>0.0</v>
      </c>
      <c r="G142" s="1">
        <v>810012.0</v>
      </c>
      <c r="H142" s="1">
        <v>20107.0</v>
      </c>
      <c r="O142" s="1">
        <v>231.0</v>
      </c>
      <c r="Q142" s="1" t="str">
        <f>LOOKUP(O142, 'Spell Effects'!A:A, 'Spell Effects'!B:B)</f>
        <v>Pet Attack</v>
      </c>
    </row>
    <row r="143" ht="15.75" customHeight="1">
      <c r="A143" s="1">
        <v>142.0</v>
      </c>
      <c r="B143" s="1" t="s">
        <v>905</v>
      </c>
      <c r="D143" s="1">
        <v>0.0</v>
      </c>
      <c r="G143" s="1">
        <v>810012.0</v>
      </c>
      <c r="H143" s="1">
        <v>20107.0</v>
      </c>
      <c r="O143" s="1">
        <v>232.0</v>
      </c>
      <c r="Q143" s="1" t="str">
        <f>LOOKUP(O143, 'Spell Effects'!A:A, 'Spell Effects'!B:B)</f>
        <v>Pet Defend</v>
      </c>
    </row>
    <row r="144" ht="15.75" customHeight="1">
      <c r="A144" s="1">
        <v>143.0</v>
      </c>
      <c r="B144" s="1" t="s">
        <v>908</v>
      </c>
      <c r="D144" s="1">
        <v>0.0</v>
      </c>
      <c r="G144" s="1">
        <v>810012.0</v>
      </c>
      <c r="H144" s="1">
        <v>20107.0</v>
      </c>
      <c r="O144" s="1">
        <v>233.0</v>
      </c>
      <c r="Q144" s="1" t="str">
        <f>LOOKUP(O144, 'Spell Effects'!A:A, 'Spell Effects'!B:B)</f>
        <v>Pet Recall</v>
      </c>
    </row>
    <row r="145" ht="15.75" customHeight="1">
      <c r="A145" s="1">
        <v>144.0</v>
      </c>
      <c r="B145" s="1" t="s">
        <v>912</v>
      </c>
      <c r="D145" s="1">
        <v>0.0</v>
      </c>
      <c r="G145" s="1">
        <v>810012.0</v>
      </c>
      <c r="H145" s="1">
        <v>20107.0</v>
      </c>
      <c r="O145" s="1">
        <v>234.0</v>
      </c>
      <c r="Q145" s="1" t="str">
        <f>LOOKUP(O145, 'Spell Effects'!A:A, 'Spell Effects'!B:B)</f>
        <v>Pet Follow</v>
      </c>
    </row>
    <row r="146" ht="15.75" customHeight="1">
      <c r="A146" s="1">
        <v>145.0</v>
      </c>
      <c r="B146" s="1" t="s">
        <v>916</v>
      </c>
      <c r="D146" s="1">
        <v>0.0</v>
      </c>
      <c r="G146" s="1">
        <v>810012.0</v>
      </c>
      <c r="H146" s="1">
        <v>20107.0</v>
      </c>
      <c r="O146" s="1">
        <v>235.0</v>
      </c>
      <c r="Q146" s="1" t="str">
        <f>LOOKUP(O146, 'Spell Effects'!A:A, 'Spell Effects'!B:B)</f>
        <v>Pet Neutral</v>
      </c>
    </row>
    <row r="147" ht="15.75" customHeight="1">
      <c r="A147" s="1">
        <v>146.0</v>
      </c>
      <c r="B147" s="1" t="s">
        <v>920</v>
      </c>
      <c r="D147" s="1">
        <v>0.0</v>
      </c>
      <c r="E147" s="1">
        <v>31.0</v>
      </c>
      <c r="G147" s="1">
        <v>810006.0</v>
      </c>
      <c r="H147" s="1">
        <v>20107.0</v>
      </c>
      <c r="K147" s="1">
        <v>1200.0</v>
      </c>
      <c r="O147" s="1">
        <v>242.0</v>
      </c>
      <c r="Q147" s="1" t="str">
        <f>LOOKUP(O147, 'Spell Effects'!A:A, 'Spell Effects'!B:B)</f>
        <v>Ancient Healing 2</v>
      </c>
    </row>
    <row r="148" ht="15.75" customHeight="1">
      <c r="A148" s="1">
        <v>147.0</v>
      </c>
      <c r="B148" s="1" t="s">
        <v>924</v>
      </c>
      <c r="D148" s="1">
        <v>0.0</v>
      </c>
      <c r="G148" s="1">
        <v>810036.0</v>
      </c>
      <c r="H148" s="1">
        <v>20107.0</v>
      </c>
      <c r="O148" s="1">
        <v>243.0</v>
      </c>
      <c r="Q148" s="1" t="str">
        <f>LOOKUP(O148, 'Spell Effects'!A:A, 'Spell Effects'!B:B)</f>
        <v>Death Touch</v>
      </c>
    </row>
    <row r="149" ht="15.75" customHeight="1">
      <c r="A149" s="1">
        <v>148.0</v>
      </c>
      <c r="B149" s="1" t="s">
        <v>932</v>
      </c>
      <c r="D149" s="1">
        <v>2.0</v>
      </c>
      <c r="E149" s="1">
        <v>47.0</v>
      </c>
      <c r="F149" s="1">
        <v>1000.0</v>
      </c>
      <c r="G149" s="1">
        <v>810009.0</v>
      </c>
      <c r="H149" s="1">
        <v>20107.0</v>
      </c>
      <c r="K149" s="1">
        <v>100000.0</v>
      </c>
      <c r="O149" s="1">
        <v>246.0</v>
      </c>
      <c r="Q149" s="1" t="str">
        <f>LOOKUP(O149, 'Spell Effects'!A:A, 'Spell Effects'!B:B)</f>
        <v>Ancients Dungeon Teleport</v>
      </c>
    </row>
    <row r="150" ht="15.75" customHeight="1">
      <c r="A150" s="1">
        <v>149.0</v>
      </c>
      <c r="B150" s="1" t="s">
        <v>708</v>
      </c>
      <c r="D150" s="1">
        <v>1.0</v>
      </c>
      <c r="F150" s="1">
        <v>10000.0</v>
      </c>
      <c r="G150" s="1">
        <v>810009.0</v>
      </c>
      <c r="H150" s="1">
        <v>20107.0</v>
      </c>
      <c r="K150" s="1">
        <v>20.0</v>
      </c>
      <c r="O150" s="1">
        <v>141.0</v>
      </c>
      <c r="Q150" s="1" t="str">
        <f>LOOKUP(O150, 'Spell Effects'!A:A, 'Spell Effects'!B:B)</f>
        <v>Paradise Teleportation</v>
      </c>
    </row>
    <row r="151" ht="15.75" customHeight="1">
      <c r="A151" s="1">
        <v>150.0</v>
      </c>
      <c r="B151" s="1" t="s">
        <v>947</v>
      </c>
      <c r="D151" s="1">
        <v>1.0</v>
      </c>
      <c r="E151" s="1">
        <v>47.0</v>
      </c>
      <c r="F151" s="1">
        <v>1500.0</v>
      </c>
      <c r="G151" s="1">
        <v>810031.0</v>
      </c>
      <c r="H151" s="1">
        <v>20107.0</v>
      </c>
      <c r="J151" s="1">
        <v>65.0</v>
      </c>
      <c r="O151" s="1">
        <v>247.0</v>
      </c>
      <c r="Q151" s="1" t="str">
        <f>LOOKUP(O151, 'Spell Effects'!A:A, 'Spell Effects'!B:B)</f>
        <v>Ancient Covenant</v>
      </c>
    </row>
    <row r="152" ht="15.75" customHeight="1">
      <c r="A152" s="1">
        <v>151.0</v>
      </c>
      <c r="B152" s="1" t="s">
        <v>954</v>
      </c>
      <c r="D152" s="1">
        <v>2.0</v>
      </c>
      <c r="E152" s="1">
        <v>31.0</v>
      </c>
      <c r="F152" s="1">
        <v>1000.0</v>
      </c>
      <c r="G152" s="1">
        <v>810007.0</v>
      </c>
      <c r="H152" s="1">
        <v>20107.0</v>
      </c>
      <c r="I152" s="1">
        <v>10000.0</v>
      </c>
      <c r="O152" s="1">
        <v>248.0</v>
      </c>
      <c r="Q152" s="1" t="str">
        <f>LOOKUP(O152, 'Spell Effects'!A:A, 'Spell Effects'!B:B)</f>
        <v>Ancient Sacrifice 2</v>
      </c>
    </row>
    <row r="153" ht="15.75" customHeight="1">
      <c r="A153" s="1">
        <v>152.0</v>
      </c>
      <c r="B153" s="1" t="s">
        <v>959</v>
      </c>
      <c r="D153" s="1">
        <v>0.0</v>
      </c>
      <c r="E153" s="1">
        <v>55.0</v>
      </c>
      <c r="F153" s="1">
        <v>2000.0</v>
      </c>
      <c r="G153" s="1">
        <v>810000.0</v>
      </c>
      <c r="H153" s="1">
        <v>20107.0</v>
      </c>
      <c r="K153" s="1">
        <v>5000.0</v>
      </c>
      <c r="O153" s="1">
        <v>249.0</v>
      </c>
      <c r="Q153" s="1" t="str">
        <f>LOOKUP(O153, 'Spell Effects'!A:A, 'Spell Effects'!B:B)</f>
        <v>Ancient Taunt 2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6" width="8.71"/>
  </cols>
  <sheetData>
    <row r="1">
      <c r="A1" s="1" t="s">
        <v>2</v>
      </c>
      <c r="B1" s="1" t="s">
        <v>5</v>
      </c>
      <c r="C1" s="1" t="s">
        <v>4</v>
      </c>
      <c r="D1" s="1" t="s">
        <v>6</v>
      </c>
      <c r="E1" s="1" t="s">
        <v>16</v>
      </c>
      <c r="F1" s="1" t="s">
        <v>21</v>
      </c>
      <c r="G1" s="1" t="s">
        <v>26</v>
      </c>
      <c r="H1" s="1" t="s">
        <v>30</v>
      </c>
      <c r="I1" s="1" t="s">
        <v>34</v>
      </c>
      <c r="J1" s="1" t="s">
        <v>37</v>
      </c>
      <c r="K1" s="1" t="s">
        <v>41</v>
      </c>
      <c r="L1" s="1" t="s">
        <v>45</v>
      </c>
      <c r="M1" s="1" t="s">
        <v>51</v>
      </c>
      <c r="N1" s="1" t="s">
        <v>54</v>
      </c>
      <c r="O1" s="1" t="s">
        <v>57</v>
      </c>
      <c r="P1" s="1" t="s">
        <v>60</v>
      </c>
      <c r="Q1" s="1" t="s">
        <v>62</v>
      </c>
      <c r="R1" s="1" t="s">
        <v>64</v>
      </c>
      <c r="S1" s="1" t="s">
        <v>66</v>
      </c>
      <c r="T1" s="1" t="s">
        <v>69</v>
      </c>
      <c r="U1" s="1" t="s">
        <v>71</v>
      </c>
      <c r="V1" s="1" t="s">
        <v>72</v>
      </c>
      <c r="W1" s="1" t="s">
        <v>73</v>
      </c>
      <c r="X1" s="1" t="s">
        <v>75</v>
      </c>
      <c r="Y1" s="1" t="s">
        <v>77</v>
      </c>
      <c r="Z1" s="1" t="s">
        <v>80</v>
      </c>
      <c r="AA1" s="1" t="s">
        <v>82</v>
      </c>
      <c r="AB1" s="1" t="s">
        <v>84</v>
      </c>
      <c r="AC1" s="1" t="s">
        <v>86</v>
      </c>
      <c r="AD1" s="1" t="s">
        <v>88</v>
      </c>
      <c r="AE1" s="1" t="s">
        <v>90</v>
      </c>
      <c r="AF1" s="1" t="s">
        <v>20</v>
      </c>
      <c r="AG1" s="1" t="s">
        <v>94</v>
      </c>
      <c r="AH1" s="1" t="s">
        <v>98</v>
      </c>
      <c r="AI1" s="1" t="s">
        <v>100</v>
      </c>
      <c r="AJ1" s="1" t="s">
        <v>102</v>
      </c>
      <c r="AK1" s="1" t="s">
        <v>104</v>
      </c>
      <c r="AL1" s="1" t="s">
        <v>11</v>
      </c>
      <c r="AM1" s="1" t="s">
        <v>108</v>
      </c>
      <c r="AN1" s="1" t="s">
        <v>112</v>
      </c>
      <c r="AO1" s="1" t="s">
        <v>115</v>
      </c>
      <c r="AP1" s="1" t="s">
        <v>118</v>
      </c>
      <c r="AQ1" s="1" t="s">
        <v>121</v>
      </c>
      <c r="AR1" s="1" t="s">
        <v>124</v>
      </c>
      <c r="AS1" s="1" t="s">
        <v>127</v>
      </c>
      <c r="AT1" s="1" t="s">
        <v>125</v>
      </c>
    </row>
    <row r="2">
      <c r="A2" s="1">
        <v>1.0</v>
      </c>
      <c r="B2" s="1" t="s">
        <v>133</v>
      </c>
      <c r="C2" s="1" t="s">
        <v>135</v>
      </c>
      <c r="AE2" s="1">
        <v>820100.0</v>
      </c>
      <c r="AF2" s="1">
        <v>20398.0</v>
      </c>
    </row>
    <row r="3">
      <c r="A3" s="1">
        <v>2.0</v>
      </c>
      <c r="B3" s="1" t="s">
        <v>137</v>
      </c>
      <c r="C3" s="1" t="s">
        <v>138</v>
      </c>
      <c r="H3" s="1">
        <v>3.0</v>
      </c>
      <c r="X3" s="1" t="s">
        <v>140</v>
      </c>
      <c r="Y3" s="1" t="s">
        <v>141</v>
      </c>
      <c r="Z3" s="1">
        <v>10.0</v>
      </c>
      <c r="AE3" s="1">
        <v>332205.0</v>
      </c>
      <c r="AF3" s="1">
        <v>2278.0</v>
      </c>
      <c r="AG3" s="1">
        <v>2.0</v>
      </c>
    </row>
    <row r="4">
      <c r="A4" s="1">
        <v>3.0</v>
      </c>
      <c r="B4" s="1" t="s">
        <v>148</v>
      </c>
      <c r="C4" s="1" t="s">
        <v>150</v>
      </c>
      <c r="V4" s="1">
        <v>3.0</v>
      </c>
      <c r="X4" s="1" t="s">
        <v>153</v>
      </c>
      <c r="Y4" s="1" t="s">
        <v>155</v>
      </c>
      <c r="Z4" s="1">
        <v>10.0</v>
      </c>
      <c r="AE4" s="1">
        <v>331405.0</v>
      </c>
      <c r="AF4" s="1">
        <v>2270.0</v>
      </c>
      <c r="AG4" s="1">
        <v>1.0</v>
      </c>
      <c r="AN4" s="1">
        <v>4.0</v>
      </c>
    </row>
    <row r="5">
      <c r="A5" s="1">
        <v>4.0</v>
      </c>
      <c r="B5" s="1" t="s">
        <v>163</v>
      </c>
      <c r="C5" s="1" t="s">
        <v>166</v>
      </c>
      <c r="Z5" s="1">
        <v>50.0</v>
      </c>
      <c r="AE5" s="1">
        <v>820115.0</v>
      </c>
      <c r="AF5" s="1">
        <v>20398.0</v>
      </c>
      <c r="AM5" s="1">
        <v>99.0</v>
      </c>
      <c r="AO5" s="1">
        <v>1.0</v>
      </c>
    </row>
    <row r="6">
      <c r="A6" s="1">
        <v>5.0</v>
      </c>
      <c r="B6" s="1" t="s">
        <v>163</v>
      </c>
      <c r="C6" s="1" t="s">
        <v>170</v>
      </c>
      <c r="Z6" s="1">
        <v>50.0</v>
      </c>
      <c r="AE6" s="1">
        <v>820112.0</v>
      </c>
      <c r="AF6" s="1">
        <v>20398.0</v>
      </c>
      <c r="AM6" s="1">
        <v>99.0</v>
      </c>
      <c r="AO6" s="1">
        <v>2.0</v>
      </c>
    </row>
    <row r="7">
      <c r="A7" s="1">
        <v>6.0</v>
      </c>
      <c r="B7" s="1" t="s">
        <v>148</v>
      </c>
      <c r="C7" s="1" t="s">
        <v>175</v>
      </c>
      <c r="E7" s="1">
        <v>5.0</v>
      </c>
      <c r="I7" s="1">
        <v>1.0</v>
      </c>
      <c r="V7" s="1">
        <v>13.0</v>
      </c>
      <c r="X7" s="1" t="s">
        <v>153</v>
      </c>
      <c r="Y7" s="1" t="s">
        <v>155</v>
      </c>
      <c r="Z7" s="1">
        <v>120.0</v>
      </c>
      <c r="AE7" s="1">
        <v>331350.0</v>
      </c>
      <c r="AF7" s="1">
        <v>2269.0</v>
      </c>
      <c r="AG7" s="1">
        <v>60.0</v>
      </c>
      <c r="AN7" s="1">
        <v>4.0</v>
      </c>
    </row>
    <row r="8">
      <c r="A8" s="1">
        <v>7.0</v>
      </c>
      <c r="B8" s="1" t="s">
        <v>177</v>
      </c>
      <c r="C8" s="1" t="s">
        <v>179</v>
      </c>
      <c r="Z8" s="1">
        <v>40.0</v>
      </c>
      <c r="AE8" s="1">
        <v>820601.0</v>
      </c>
      <c r="AF8" s="1">
        <v>20403.0</v>
      </c>
      <c r="AM8" s="1">
        <v>99.0</v>
      </c>
    </row>
    <row r="9">
      <c r="A9" s="1">
        <v>8.0</v>
      </c>
      <c r="B9" s="1" t="s">
        <v>177</v>
      </c>
      <c r="C9" s="1" t="s">
        <v>181</v>
      </c>
      <c r="Z9" s="1">
        <v>80.0</v>
      </c>
      <c r="AE9" s="1">
        <v>820604.0</v>
      </c>
      <c r="AF9" s="1">
        <v>20403.0</v>
      </c>
      <c r="AM9" s="1">
        <v>99.0</v>
      </c>
    </row>
    <row r="10">
      <c r="A10" s="1">
        <v>9.0</v>
      </c>
      <c r="B10" s="1" t="s">
        <v>137</v>
      </c>
      <c r="C10" s="1" t="s">
        <v>185</v>
      </c>
      <c r="E10" s="1">
        <v>20.0</v>
      </c>
      <c r="F10" s="1">
        <v>20.0</v>
      </c>
      <c r="H10" s="1">
        <v>20.0</v>
      </c>
      <c r="I10" s="1">
        <v>3.0</v>
      </c>
      <c r="X10" s="1" t="s">
        <v>186</v>
      </c>
      <c r="AE10" s="1">
        <v>332209.0</v>
      </c>
      <c r="AF10" s="1">
        <v>2278.0</v>
      </c>
      <c r="AG10" s="1">
        <v>3.0</v>
      </c>
    </row>
    <row r="11">
      <c r="A11" s="1">
        <v>10.0</v>
      </c>
      <c r="B11" s="1" t="s">
        <v>190</v>
      </c>
      <c r="C11" s="1" t="s">
        <v>192</v>
      </c>
      <c r="S11" s="1">
        <v>1.0</v>
      </c>
      <c r="Z11" s="1">
        <v>100.0</v>
      </c>
      <c r="AA11" s="1">
        <v>1.0</v>
      </c>
      <c r="AE11" s="1">
        <v>820110.0</v>
      </c>
      <c r="AF11" s="1">
        <v>20398.0</v>
      </c>
      <c r="AL11" s="1">
        <v>31.0</v>
      </c>
      <c r="AQ11" s="1">
        <v>1.0</v>
      </c>
    </row>
    <row r="12">
      <c r="A12" s="1">
        <v>11.0</v>
      </c>
      <c r="B12" s="1" t="s">
        <v>148</v>
      </c>
      <c r="C12" s="1" t="s">
        <v>197</v>
      </c>
      <c r="S12" s="1">
        <v>5.0</v>
      </c>
      <c r="V12" s="1">
        <v>12.0</v>
      </c>
      <c r="X12" s="1" t="s">
        <v>153</v>
      </c>
      <c r="Y12" s="1" t="s">
        <v>155</v>
      </c>
      <c r="Z12" s="1">
        <v>500.0</v>
      </c>
      <c r="AE12" s="1">
        <v>820039.0</v>
      </c>
      <c r="AF12" s="1">
        <v>20397.0</v>
      </c>
      <c r="AG12" s="1">
        <v>5.0</v>
      </c>
      <c r="AL12" s="1">
        <v>22.0</v>
      </c>
      <c r="AN12" s="1">
        <v>4.0</v>
      </c>
    </row>
    <row r="13">
      <c r="A13" s="1">
        <v>12.0</v>
      </c>
      <c r="B13" s="1" t="s">
        <v>148</v>
      </c>
      <c r="C13" s="1" t="s">
        <v>201</v>
      </c>
      <c r="S13" s="1">
        <v>5.0</v>
      </c>
      <c r="V13" s="1">
        <v>9.0</v>
      </c>
      <c r="X13" s="1" t="s">
        <v>202</v>
      </c>
      <c r="Y13" s="1" t="s">
        <v>203</v>
      </c>
      <c r="Z13" s="1">
        <v>500.0</v>
      </c>
      <c r="AE13" s="1">
        <v>820021.0</v>
      </c>
      <c r="AF13" s="1">
        <v>20397.0</v>
      </c>
      <c r="AG13" s="1">
        <v>13.0</v>
      </c>
      <c r="AL13" s="1">
        <v>38.0</v>
      </c>
      <c r="AN13" s="1">
        <v>5.0</v>
      </c>
    </row>
    <row r="14">
      <c r="A14" s="1">
        <v>13.0</v>
      </c>
      <c r="B14" s="1" t="s">
        <v>148</v>
      </c>
      <c r="C14" s="1" t="s">
        <v>206</v>
      </c>
      <c r="S14" s="1">
        <v>5.0</v>
      </c>
      <c r="V14" s="1">
        <v>12.0</v>
      </c>
      <c r="X14" s="1" t="s">
        <v>153</v>
      </c>
      <c r="Y14" s="1" t="s">
        <v>208</v>
      </c>
      <c r="Z14" s="1">
        <v>500.0</v>
      </c>
      <c r="AE14" s="1">
        <v>331379.0</v>
      </c>
      <c r="AF14" s="1">
        <v>2269.0</v>
      </c>
      <c r="AG14" s="1">
        <v>11.0</v>
      </c>
      <c r="AL14" s="1">
        <v>34.0</v>
      </c>
      <c r="AN14" s="1">
        <v>4.0</v>
      </c>
    </row>
    <row r="15">
      <c r="A15" s="1">
        <v>14.0</v>
      </c>
      <c r="B15" s="1" t="s">
        <v>148</v>
      </c>
      <c r="C15" s="1" t="s">
        <v>210</v>
      </c>
      <c r="S15" s="1">
        <v>5.0</v>
      </c>
      <c r="V15" s="1">
        <v>14.0</v>
      </c>
      <c r="X15" s="1" t="s">
        <v>153</v>
      </c>
      <c r="Y15" s="1" t="s">
        <v>211</v>
      </c>
      <c r="Z15" s="1">
        <v>500.0</v>
      </c>
      <c r="AE15" s="1">
        <v>820015.0</v>
      </c>
      <c r="AF15" s="1">
        <v>20397.0</v>
      </c>
      <c r="AG15" s="1">
        <v>10.0</v>
      </c>
      <c r="AL15" s="1">
        <v>50.0</v>
      </c>
      <c r="AN15" s="1">
        <v>4.0</v>
      </c>
    </row>
    <row r="16">
      <c r="A16" s="1">
        <v>15.0</v>
      </c>
      <c r="B16" s="1" t="s">
        <v>148</v>
      </c>
      <c r="C16" s="1" t="s">
        <v>213</v>
      </c>
      <c r="S16" s="1">
        <v>15.0</v>
      </c>
      <c r="V16" s="1">
        <v>15.0</v>
      </c>
      <c r="X16" s="1" t="s">
        <v>153</v>
      </c>
      <c r="Y16" s="1" t="s">
        <v>155</v>
      </c>
      <c r="Z16" s="1">
        <v>1500.0</v>
      </c>
      <c r="AE16" s="1">
        <v>820039.0</v>
      </c>
      <c r="AF16" s="1">
        <v>20397.0</v>
      </c>
      <c r="AG16" s="1">
        <v>5.0</v>
      </c>
      <c r="AL16" s="1">
        <v>22.0</v>
      </c>
      <c r="AN16" s="1">
        <v>4.0</v>
      </c>
    </row>
    <row r="17">
      <c r="A17" s="1">
        <v>16.0</v>
      </c>
      <c r="B17" s="1" t="s">
        <v>148</v>
      </c>
      <c r="C17" s="1" t="s">
        <v>216</v>
      </c>
      <c r="S17" s="1">
        <v>15.0</v>
      </c>
      <c r="V17" s="1">
        <v>15.0</v>
      </c>
      <c r="X17" s="1" t="s">
        <v>202</v>
      </c>
      <c r="Y17" s="1" t="s">
        <v>203</v>
      </c>
      <c r="Z17" s="1">
        <v>1500.0</v>
      </c>
      <c r="AE17" s="1">
        <v>820021.0</v>
      </c>
      <c r="AF17" s="1">
        <v>20397.0</v>
      </c>
      <c r="AG17" s="1">
        <v>13.0</v>
      </c>
      <c r="AL17" s="1">
        <v>38.0</v>
      </c>
      <c r="AN17" s="1">
        <v>5.0</v>
      </c>
    </row>
    <row r="18">
      <c r="A18" s="1">
        <v>17.0</v>
      </c>
      <c r="B18" s="1" t="s">
        <v>148</v>
      </c>
      <c r="C18" s="1" t="s">
        <v>223</v>
      </c>
      <c r="S18" s="1">
        <v>15.0</v>
      </c>
      <c r="V18" s="1">
        <v>19.0</v>
      </c>
      <c r="X18" s="1" t="s">
        <v>153</v>
      </c>
      <c r="Y18" s="1" t="s">
        <v>208</v>
      </c>
      <c r="Z18" s="1">
        <v>1500.0</v>
      </c>
      <c r="AE18" s="1">
        <v>331379.0</v>
      </c>
      <c r="AF18" s="1">
        <v>2269.0</v>
      </c>
      <c r="AG18" s="1">
        <v>11.0</v>
      </c>
      <c r="AL18" s="1">
        <v>34.0</v>
      </c>
      <c r="AN18" s="1">
        <v>4.0</v>
      </c>
    </row>
    <row r="19">
      <c r="A19" s="1">
        <v>18.0</v>
      </c>
      <c r="B19" s="1" t="s">
        <v>148</v>
      </c>
      <c r="C19" s="1" t="s">
        <v>225</v>
      </c>
      <c r="S19" s="1">
        <v>15.0</v>
      </c>
      <c r="V19" s="1">
        <v>24.0</v>
      </c>
      <c r="X19" s="1" t="s">
        <v>153</v>
      </c>
      <c r="Y19" s="1" t="s">
        <v>211</v>
      </c>
      <c r="Z19" s="1">
        <v>1500.0</v>
      </c>
      <c r="AE19" s="1">
        <v>820015.0</v>
      </c>
      <c r="AF19" s="1">
        <v>20397.0</v>
      </c>
      <c r="AG19" s="1">
        <v>10.0</v>
      </c>
      <c r="AL19" s="1">
        <v>50.0</v>
      </c>
      <c r="AN19" s="1">
        <v>4.0</v>
      </c>
    </row>
    <row r="20">
      <c r="A20" s="1">
        <v>19.0</v>
      </c>
      <c r="B20" s="1" t="s">
        <v>177</v>
      </c>
      <c r="C20" s="1" t="s">
        <v>227</v>
      </c>
      <c r="Z20" s="1">
        <v>50.0</v>
      </c>
      <c r="AE20" s="1">
        <v>820120.0</v>
      </c>
      <c r="AF20" s="1">
        <v>20398.0</v>
      </c>
    </row>
    <row r="21" ht="15.75" customHeight="1">
      <c r="A21" s="1">
        <v>20.0</v>
      </c>
      <c r="B21" s="1" t="s">
        <v>177</v>
      </c>
      <c r="C21" s="1" t="s">
        <v>230</v>
      </c>
      <c r="Z21" s="1">
        <v>20.0</v>
      </c>
      <c r="AE21" s="1">
        <v>820124.0</v>
      </c>
      <c r="AF21" s="1">
        <v>20398.0</v>
      </c>
      <c r="AM21" s="1">
        <v>99.0</v>
      </c>
    </row>
    <row r="22" ht="15.75" customHeight="1">
      <c r="A22" s="1">
        <v>21.0</v>
      </c>
      <c r="B22" s="1" t="s">
        <v>177</v>
      </c>
      <c r="C22" s="1" t="s">
        <v>233</v>
      </c>
      <c r="Z22" s="1">
        <v>100.0</v>
      </c>
      <c r="AE22" s="1">
        <v>820111.0</v>
      </c>
      <c r="AF22" s="1">
        <v>20398.0</v>
      </c>
    </row>
    <row r="23" ht="15.75" customHeight="1">
      <c r="A23" s="1">
        <v>22.0</v>
      </c>
      <c r="B23" s="1" t="s">
        <v>190</v>
      </c>
      <c r="C23" s="1" t="s">
        <v>236</v>
      </c>
      <c r="S23" s="1">
        <v>6.0</v>
      </c>
      <c r="Z23" s="1">
        <v>600.0</v>
      </c>
      <c r="AA23" s="1">
        <v>1.0</v>
      </c>
      <c r="AE23" s="1">
        <v>820110.0</v>
      </c>
      <c r="AF23" s="1">
        <v>20398.0</v>
      </c>
      <c r="AL23" s="1">
        <v>31.0</v>
      </c>
      <c r="AQ23" s="1">
        <v>2.0</v>
      </c>
    </row>
    <row r="24" ht="15.75" customHeight="1">
      <c r="A24" s="1">
        <v>23.0</v>
      </c>
      <c r="B24" s="1" t="s">
        <v>190</v>
      </c>
      <c r="C24" s="1" t="s">
        <v>238</v>
      </c>
      <c r="S24" s="1">
        <v>5.0</v>
      </c>
      <c r="Z24" s="1">
        <v>100.0</v>
      </c>
      <c r="AA24" s="1">
        <v>1.0</v>
      </c>
      <c r="AE24" s="1">
        <v>820110.0</v>
      </c>
      <c r="AF24" s="1">
        <v>20398.0</v>
      </c>
      <c r="AL24" s="1">
        <v>59.0</v>
      </c>
      <c r="AQ24" s="1">
        <v>3.0</v>
      </c>
    </row>
    <row r="25" ht="15.75" customHeight="1">
      <c r="A25" s="1">
        <v>24.0</v>
      </c>
      <c r="B25" s="1" t="s">
        <v>190</v>
      </c>
      <c r="C25" s="1" t="s">
        <v>241</v>
      </c>
      <c r="S25" s="1">
        <v>1.0</v>
      </c>
      <c r="Z25" s="1">
        <v>100.0</v>
      </c>
      <c r="AA25" s="1">
        <v>1.0</v>
      </c>
      <c r="AE25" s="1">
        <v>820110.0</v>
      </c>
      <c r="AF25" s="1">
        <v>20398.0</v>
      </c>
      <c r="AL25" s="1">
        <v>55.0</v>
      </c>
      <c r="AQ25" s="1">
        <v>4.0</v>
      </c>
    </row>
    <row r="26" ht="15.75" customHeight="1">
      <c r="A26" s="1">
        <v>25.0</v>
      </c>
      <c r="B26" s="1" t="s">
        <v>190</v>
      </c>
      <c r="C26" s="1" t="s">
        <v>244</v>
      </c>
      <c r="S26" s="1">
        <v>1.0</v>
      </c>
      <c r="Z26" s="1">
        <v>100.0</v>
      </c>
      <c r="AA26" s="1">
        <v>1.0</v>
      </c>
      <c r="AE26" s="1">
        <v>820110.0</v>
      </c>
      <c r="AF26" s="1">
        <v>20398.0</v>
      </c>
      <c r="AL26" s="1">
        <v>47.0</v>
      </c>
      <c r="AQ26" s="1">
        <v>5.0</v>
      </c>
    </row>
    <row r="27" ht="15.75" customHeight="1">
      <c r="A27" s="1">
        <v>26.0</v>
      </c>
      <c r="B27" s="1" t="s">
        <v>190</v>
      </c>
      <c r="C27" s="1" t="s">
        <v>247</v>
      </c>
      <c r="S27" s="1">
        <v>6.0</v>
      </c>
      <c r="Z27" s="1">
        <v>600.0</v>
      </c>
      <c r="AA27" s="1">
        <v>1.0</v>
      </c>
      <c r="AE27" s="1">
        <v>820110.0</v>
      </c>
      <c r="AF27" s="1">
        <v>20398.0</v>
      </c>
      <c r="AL27" s="1">
        <v>47.0</v>
      </c>
      <c r="AQ27" s="1">
        <v>6.0</v>
      </c>
    </row>
    <row r="28" ht="15.75" customHeight="1">
      <c r="A28" s="1">
        <v>27.0</v>
      </c>
      <c r="B28" s="1" t="s">
        <v>190</v>
      </c>
      <c r="C28" s="1" t="s">
        <v>252</v>
      </c>
      <c r="S28" s="1">
        <v>7.0</v>
      </c>
      <c r="Z28" s="1">
        <v>700.0</v>
      </c>
      <c r="AA28" s="1">
        <v>1.0</v>
      </c>
      <c r="AE28" s="1">
        <v>820110.0</v>
      </c>
      <c r="AF28" s="1">
        <v>20398.0</v>
      </c>
      <c r="AL28" s="1">
        <v>47.0</v>
      </c>
      <c r="AQ28" s="1">
        <v>7.0</v>
      </c>
    </row>
    <row r="29" ht="15.75" customHeight="1">
      <c r="A29" s="1">
        <v>28.0</v>
      </c>
      <c r="B29" s="1" t="s">
        <v>190</v>
      </c>
      <c r="C29" s="1" t="s">
        <v>255</v>
      </c>
      <c r="S29" s="1">
        <v>11.0</v>
      </c>
      <c r="Z29" s="1">
        <v>1100.0</v>
      </c>
      <c r="AA29" s="1">
        <v>1.0</v>
      </c>
      <c r="AE29" s="1">
        <v>820110.0</v>
      </c>
      <c r="AF29" s="1">
        <v>20398.0</v>
      </c>
      <c r="AL29" s="1">
        <v>47.0</v>
      </c>
      <c r="AQ29" s="1">
        <v>8.0</v>
      </c>
    </row>
    <row r="30" ht="15.75" customHeight="1">
      <c r="A30" s="1">
        <v>29.0</v>
      </c>
      <c r="B30" s="1" t="s">
        <v>190</v>
      </c>
      <c r="C30" s="1" t="s">
        <v>257</v>
      </c>
      <c r="S30" s="1">
        <v>12.0</v>
      </c>
      <c r="Z30" s="1">
        <v>1200.0</v>
      </c>
      <c r="AA30" s="1">
        <v>1.0</v>
      </c>
      <c r="AE30" s="1">
        <v>820110.0</v>
      </c>
      <c r="AF30" s="1">
        <v>20398.0</v>
      </c>
      <c r="AL30" s="1">
        <v>47.0</v>
      </c>
      <c r="AQ30" s="1">
        <v>9.0</v>
      </c>
    </row>
    <row r="31" ht="15.75" customHeight="1">
      <c r="A31" s="1">
        <v>30.0</v>
      </c>
      <c r="B31" s="1" t="s">
        <v>190</v>
      </c>
      <c r="C31" s="1" t="s">
        <v>261</v>
      </c>
      <c r="S31" s="1">
        <v>14.0</v>
      </c>
      <c r="Z31" s="1">
        <v>1400.0</v>
      </c>
      <c r="AA31" s="1">
        <v>1.0</v>
      </c>
      <c r="AE31" s="1">
        <v>820110.0</v>
      </c>
      <c r="AF31" s="1">
        <v>20398.0</v>
      </c>
      <c r="AL31" s="1">
        <v>47.0</v>
      </c>
      <c r="AQ31" s="1">
        <v>10.0</v>
      </c>
    </row>
    <row r="32" ht="15.75" customHeight="1">
      <c r="A32" s="1">
        <v>31.0</v>
      </c>
      <c r="B32" s="1" t="s">
        <v>190</v>
      </c>
      <c r="C32" s="1" t="s">
        <v>264</v>
      </c>
      <c r="S32" s="1">
        <v>15.0</v>
      </c>
      <c r="Z32" s="1">
        <v>1500.0</v>
      </c>
      <c r="AA32" s="1">
        <v>1.0</v>
      </c>
      <c r="AE32" s="1">
        <v>820110.0</v>
      </c>
      <c r="AF32" s="1">
        <v>20398.0</v>
      </c>
      <c r="AL32" s="1">
        <v>15.0</v>
      </c>
      <c r="AQ32" s="1">
        <v>11.0</v>
      </c>
    </row>
    <row r="33" ht="15.75" customHeight="1">
      <c r="A33" s="1">
        <v>32.0</v>
      </c>
      <c r="B33" s="1" t="s">
        <v>190</v>
      </c>
      <c r="C33" s="1" t="s">
        <v>266</v>
      </c>
      <c r="S33" s="1">
        <v>16.0</v>
      </c>
      <c r="Z33" s="1">
        <v>1600.0</v>
      </c>
      <c r="AA33" s="1">
        <v>1.0</v>
      </c>
      <c r="AE33" s="1">
        <v>820110.0</v>
      </c>
      <c r="AF33" s="1">
        <v>20398.0</v>
      </c>
      <c r="AL33" s="1">
        <v>47.0</v>
      </c>
      <c r="AQ33" s="1">
        <v>12.0</v>
      </c>
    </row>
    <row r="34" ht="15.75" customHeight="1">
      <c r="A34" s="1">
        <v>33.0</v>
      </c>
      <c r="B34" s="1" t="s">
        <v>190</v>
      </c>
      <c r="C34" s="1" t="s">
        <v>269</v>
      </c>
      <c r="S34" s="1">
        <v>20.0</v>
      </c>
      <c r="Z34" s="1">
        <v>2000.0</v>
      </c>
      <c r="AA34" s="1">
        <v>1.0</v>
      </c>
      <c r="AE34" s="1">
        <v>820110.0</v>
      </c>
      <c r="AF34" s="1">
        <v>20398.0</v>
      </c>
      <c r="AL34" s="1">
        <v>47.0</v>
      </c>
      <c r="AQ34" s="1">
        <v>13.0</v>
      </c>
    </row>
    <row r="35" ht="15.75" customHeight="1">
      <c r="A35" s="1">
        <v>34.0</v>
      </c>
      <c r="B35" s="1" t="s">
        <v>190</v>
      </c>
      <c r="C35" s="1" t="s">
        <v>273</v>
      </c>
      <c r="S35" s="1">
        <v>13.0</v>
      </c>
      <c r="Z35" s="1">
        <v>1300.0</v>
      </c>
      <c r="AA35" s="1">
        <v>1.0</v>
      </c>
      <c r="AE35" s="1">
        <v>820110.0</v>
      </c>
      <c r="AF35" s="1">
        <v>20398.0</v>
      </c>
      <c r="AL35" s="1">
        <v>15.0</v>
      </c>
      <c r="AQ35" s="1">
        <v>15.0</v>
      </c>
    </row>
    <row r="36" ht="15.75" customHeight="1">
      <c r="A36" s="1">
        <v>35.0</v>
      </c>
      <c r="B36" s="1" t="s">
        <v>190</v>
      </c>
      <c r="C36" s="1" t="s">
        <v>277</v>
      </c>
      <c r="S36" s="1">
        <v>23.0</v>
      </c>
      <c r="Z36" s="1">
        <v>2300.0</v>
      </c>
      <c r="AA36" s="1">
        <v>1.0</v>
      </c>
      <c r="AE36" s="1">
        <v>820110.0</v>
      </c>
      <c r="AF36" s="1">
        <v>20398.0</v>
      </c>
      <c r="AL36" s="1">
        <v>47.0</v>
      </c>
      <c r="AQ36" s="1">
        <v>16.0</v>
      </c>
    </row>
    <row r="37" ht="15.75" customHeight="1">
      <c r="A37" s="1">
        <v>36.0</v>
      </c>
      <c r="B37" s="1" t="s">
        <v>190</v>
      </c>
      <c r="C37" s="1" t="s">
        <v>280</v>
      </c>
      <c r="S37" s="1">
        <v>21.0</v>
      </c>
      <c r="Z37" s="1">
        <v>2100.0</v>
      </c>
      <c r="AA37" s="1">
        <v>1.0</v>
      </c>
      <c r="AE37" s="1">
        <v>820110.0</v>
      </c>
      <c r="AF37" s="1">
        <v>20398.0</v>
      </c>
      <c r="AL37" s="1">
        <v>47.0</v>
      </c>
      <c r="AQ37" s="1">
        <v>14.0</v>
      </c>
    </row>
    <row r="38" ht="15.75" customHeight="1">
      <c r="A38" s="1">
        <v>37.0</v>
      </c>
      <c r="B38" s="1" t="s">
        <v>190</v>
      </c>
      <c r="C38" s="1" t="s">
        <v>284</v>
      </c>
      <c r="S38" s="1">
        <v>23.0</v>
      </c>
      <c r="Z38" s="1">
        <v>2300.0</v>
      </c>
      <c r="AA38" s="1">
        <v>1.0</v>
      </c>
      <c r="AE38" s="1">
        <v>820110.0</v>
      </c>
      <c r="AF38" s="1">
        <v>20398.0</v>
      </c>
      <c r="AL38" s="1">
        <v>15.0</v>
      </c>
      <c r="AQ38" s="1">
        <v>17.0</v>
      </c>
    </row>
    <row r="39" ht="15.75" customHeight="1">
      <c r="A39" s="1">
        <v>38.0</v>
      </c>
      <c r="B39" s="1" t="s">
        <v>190</v>
      </c>
      <c r="C39" s="1" t="s">
        <v>287</v>
      </c>
      <c r="S39" s="1">
        <v>25.0</v>
      </c>
      <c r="Z39" s="1">
        <v>2500.0</v>
      </c>
      <c r="AA39" s="1">
        <v>1.0</v>
      </c>
      <c r="AE39" s="1">
        <v>820110.0</v>
      </c>
      <c r="AF39" s="1">
        <v>20398.0</v>
      </c>
      <c r="AL39" s="1">
        <v>47.0</v>
      </c>
      <c r="AQ39" s="1">
        <v>18.0</v>
      </c>
    </row>
    <row r="40" ht="15.75" customHeight="1">
      <c r="A40" s="1">
        <v>39.0</v>
      </c>
      <c r="B40" s="1" t="s">
        <v>190</v>
      </c>
      <c r="C40" s="1" t="s">
        <v>292</v>
      </c>
      <c r="S40" s="1">
        <v>26.0</v>
      </c>
      <c r="Z40" s="1">
        <v>2600.0</v>
      </c>
      <c r="AA40" s="1">
        <v>1.0</v>
      </c>
      <c r="AE40" s="1">
        <v>820110.0</v>
      </c>
      <c r="AF40" s="1">
        <v>20398.0</v>
      </c>
      <c r="AL40" s="1">
        <v>47.0</v>
      </c>
      <c r="AQ40" s="1">
        <v>19.0</v>
      </c>
    </row>
    <row r="41" ht="15.75" customHeight="1">
      <c r="A41" s="1">
        <v>40.0</v>
      </c>
      <c r="B41" s="1" t="s">
        <v>190</v>
      </c>
      <c r="C41" s="1" t="s">
        <v>295</v>
      </c>
      <c r="S41" s="1">
        <v>5.0</v>
      </c>
      <c r="Z41" s="1">
        <v>100.0</v>
      </c>
      <c r="AA41" s="1">
        <v>1.0</v>
      </c>
      <c r="AE41" s="1">
        <v>820110.0</v>
      </c>
      <c r="AF41" s="1">
        <v>20398.0</v>
      </c>
      <c r="AL41" s="1">
        <v>55.0</v>
      </c>
      <c r="AQ41" s="1">
        <v>20.0</v>
      </c>
    </row>
    <row r="42" ht="15.75" customHeight="1">
      <c r="A42" s="1">
        <v>41.0</v>
      </c>
      <c r="B42" s="1" t="s">
        <v>148</v>
      </c>
      <c r="C42" s="1" t="s">
        <v>297</v>
      </c>
      <c r="E42" s="1">
        <v>5.0</v>
      </c>
      <c r="K42" s="1">
        <v>5.0</v>
      </c>
      <c r="S42" s="1">
        <v>12.0</v>
      </c>
      <c r="V42" s="1">
        <v>26.0</v>
      </c>
      <c r="X42" s="1" t="s">
        <v>153</v>
      </c>
      <c r="Y42" s="1" t="s">
        <v>208</v>
      </c>
      <c r="Z42" s="1">
        <v>500.0</v>
      </c>
      <c r="AA42" s="1">
        <v>1.0</v>
      </c>
      <c r="AE42" s="1">
        <v>331356.0</v>
      </c>
      <c r="AF42" s="1">
        <v>2269.0</v>
      </c>
      <c r="AG42" s="1">
        <v>73.0</v>
      </c>
      <c r="AL42" s="1">
        <v>51.0</v>
      </c>
      <c r="AN42" s="1">
        <v>4.0</v>
      </c>
    </row>
    <row r="43" ht="15.75" customHeight="1">
      <c r="A43" s="1">
        <v>42.0</v>
      </c>
      <c r="B43" s="1" t="s">
        <v>163</v>
      </c>
      <c r="C43" s="1" t="s">
        <v>293</v>
      </c>
      <c r="Z43" s="1">
        <v>150.0</v>
      </c>
      <c r="AE43" s="1">
        <v>820116.0</v>
      </c>
      <c r="AF43" s="1">
        <v>20398.0</v>
      </c>
      <c r="AM43" s="1">
        <v>99.0</v>
      </c>
      <c r="AO43" s="1">
        <v>31.0</v>
      </c>
    </row>
    <row r="44" ht="15.75" customHeight="1">
      <c r="A44" s="1">
        <v>43.0</v>
      </c>
      <c r="B44" s="1" t="s">
        <v>163</v>
      </c>
      <c r="C44" s="1" t="s">
        <v>296</v>
      </c>
      <c r="Z44" s="1">
        <v>150.0</v>
      </c>
      <c r="AE44" s="1">
        <v>820113.0</v>
      </c>
      <c r="AF44" s="1">
        <v>20398.0</v>
      </c>
      <c r="AM44" s="1">
        <v>99.0</v>
      </c>
      <c r="AO44" s="1">
        <v>32.0</v>
      </c>
    </row>
    <row r="45" ht="15.75" customHeight="1">
      <c r="A45" s="1">
        <v>44.0</v>
      </c>
      <c r="B45" s="1" t="s">
        <v>163</v>
      </c>
      <c r="C45" s="1" t="s">
        <v>298</v>
      </c>
      <c r="Z45" s="1">
        <v>300.0</v>
      </c>
      <c r="AE45" s="1">
        <v>820117.0</v>
      </c>
      <c r="AF45" s="1">
        <v>20398.0</v>
      </c>
      <c r="AM45" s="1">
        <v>99.0</v>
      </c>
      <c r="AO45" s="1">
        <v>33.0</v>
      </c>
    </row>
    <row r="46" ht="15.75" customHeight="1">
      <c r="A46" s="1">
        <v>45.0</v>
      </c>
      <c r="B46" s="1" t="s">
        <v>163</v>
      </c>
      <c r="C46" s="1" t="s">
        <v>300</v>
      </c>
      <c r="Z46" s="1">
        <v>300.0</v>
      </c>
      <c r="AE46" s="1">
        <v>820114.0</v>
      </c>
      <c r="AF46" s="1">
        <v>20398.0</v>
      </c>
      <c r="AM46" s="1">
        <v>99.0</v>
      </c>
      <c r="AO46" s="1">
        <v>34.0</v>
      </c>
    </row>
    <row r="47" ht="15.75" customHeight="1">
      <c r="A47" s="1">
        <v>46.0</v>
      </c>
      <c r="B47" s="1" t="s">
        <v>137</v>
      </c>
      <c r="C47" s="1" t="s">
        <v>307</v>
      </c>
      <c r="E47" s="1">
        <v>10.0</v>
      </c>
      <c r="F47" s="1">
        <v>10.0</v>
      </c>
      <c r="H47" s="1">
        <v>5.0</v>
      </c>
      <c r="J47" s="1">
        <v>1.0</v>
      </c>
      <c r="S47" s="1">
        <v>10.0</v>
      </c>
      <c r="X47" s="1" t="s">
        <v>308</v>
      </c>
      <c r="Z47" s="1">
        <v>100.0</v>
      </c>
      <c r="AA47" s="1">
        <v>1.0</v>
      </c>
      <c r="AE47" s="1">
        <v>820210.0</v>
      </c>
      <c r="AF47" s="1">
        <v>20399.0</v>
      </c>
    </row>
    <row r="48" ht="15.75" customHeight="1">
      <c r="A48" s="1">
        <v>47.0</v>
      </c>
      <c r="B48" s="1" t="s">
        <v>137</v>
      </c>
      <c r="C48" s="1" t="s">
        <v>312</v>
      </c>
      <c r="E48" s="1">
        <v>20.0</v>
      </c>
      <c r="H48" s="1">
        <v>10.0</v>
      </c>
      <c r="S48" s="1">
        <v>15.0</v>
      </c>
      <c r="X48" s="1" t="s">
        <v>316</v>
      </c>
      <c r="Z48" s="1">
        <v>250.0</v>
      </c>
      <c r="AA48" s="1">
        <v>1.0</v>
      </c>
      <c r="AE48" s="1">
        <v>810034.0</v>
      </c>
      <c r="AF48" s="1">
        <v>20107.0</v>
      </c>
      <c r="AO48" s="1">
        <v>73.0</v>
      </c>
    </row>
    <row r="49" ht="15.75" customHeight="1">
      <c r="A49" s="1">
        <v>48.0</v>
      </c>
      <c r="B49" s="1" t="s">
        <v>137</v>
      </c>
      <c r="C49" s="1" t="s">
        <v>318</v>
      </c>
      <c r="E49" s="1">
        <v>10.0</v>
      </c>
      <c r="F49" s="1">
        <v>30.0</v>
      </c>
      <c r="H49" s="1">
        <v>30.0</v>
      </c>
      <c r="L49" s="1">
        <v>5.0</v>
      </c>
      <c r="S49" s="1">
        <v>12.0</v>
      </c>
      <c r="X49" s="1" t="s">
        <v>140</v>
      </c>
      <c r="Y49" s="1" t="s">
        <v>141</v>
      </c>
      <c r="Z49" s="1">
        <v>500.0</v>
      </c>
      <c r="AA49" s="1">
        <v>1.0</v>
      </c>
      <c r="AE49" s="1">
        <v>332201.0</v>
      </c>
      <c r="AF49" s="1">
        <v>2278.0</v>
      </c>
      <c r="AG49" s="1">
        <v>20.0</v>
      </c>
      <c r="AL49" s="1">
        <v>15.0</v>
      </c>
    </row>
    <row r="50" ht="15.75" customHeight="1">
      <c r="A50" s="1">
        <v>49.0</v>
      </c>
      <c r="B50" s="1" t="s">
        <v>137</v>
      </c>
      <c r="C50" s="1" t="s">
        <v>324</v>
      </c>
      <c r="E50" s="1">
        <v>10.0</v>
      </c>
      <c r="F50" s="1">
        <v>10.0</v>
      </c>
      <c r="H50" s="1">
        <v>10.0</v>
      </c>
      <c r="I50" s="1">
        <v>2.0</v>
      </c>
      <c r="J50" s="1">
        <v>2.0</v>
      </c>
      <c r="K50" s="1">
        <v>2.0</v>
      </c>
      <c r="L50" s="1">
        <v>2.0</v>
      </c>
      <c r="S50" s="1">
        <v>15.0</v>
      </c>
      <c r="X50" s="1" t="s">
        <v>186</v>
      </c>
      <c r="Y50" s="1" t="s">
        <v>141</v>
      </c>
      <c r="Z50" s="1">
        <v>100.0</v>
      </c>
      <c r="AA50" s="1">
        <v>1.0</v>
      </c>
      <c r="AE50" s="1">
        <v>332270.0</v>
      </c>
      <c r="AF50" s="1">
        <v>2278.0</v>
      </c>
      <c r="AG50" s="1">
        <v>46.0</v>
      </c>
    </row>
    <row r="51" ht="15.75" customHeight="1">
      <c r="A51" s="1">
        <v>50.0</v>
      </c>
      <c r="B51" s="1" t="s">
        <v>137</v>
      </c>
      <c r="C51" s="1" t="s">
        <v>333</v>
      </c>
      <c r="E51" s="1">
        <v>20.0</v>
      </c>
      <c r="F51" s="1">
        <v>10.0</v>
      </c>
      <c r="H51" s="1">
        <v>20.0</v>
      </c>
      <c r="I51" s="1">
        <v>5.0</v>
      </c>
      <c r="J51" s="1">
        <v>2.0</v>
      </c>
      <c r="S51" s="1">
        <v>15.0</v>
      </c>
      <c r="X51" s="1" t="s">
        <v>186</v>
      </c>
      <c r="Z51" s="1">
        <v>200.0</v>
      </c>
      <c r="AA51" s="1">
        <v>1.0</v>
      </c>
      <c r="AE51" s="1">
        <v>332215.0</v>
      </c>
      <c r="AF51" s="1">
        <v>2278.0</v>
      </c>
      <c r="AG51" s="1">
        <v>12.0</v>
      </c>
      <c r="AL51" s="1">
        <v>51.0</v>
      </c>
    </row>
    <row r="52" ht="15.75" customHeight="1">
      <c r="A52" s="1">
        <v>51.0</v>
      </c>
      <c r="B52" s="1" t="s">
        <v>177</v>
      </c>
      <c r="C52" s="1" t="s">
        <v>339</v>
      </c>
      <c r="Z52" s="1">
        <v>100.0</v>
      </c>
      <c r="AE52" s="1">
        <v>820125.0</v>
      </c>
      <c r="AF52" s="1">
        <v>20398.0</v>
      </c>
      <c r="AM52" s="1">
        <v>99.0</v>
      </c>
    </row>
    <row r="53" ht="15.75" customHeight="1">
      <c r="A53" s="1">
        <v>52.0</v>
      </c>
      <c r="B53" s="1" t="s">
        <v>137</v>
      </c>
      <c r="C53" s="1" t="s">
        <v>343</v>
      </c>
      <c r="E53" s="1">
        <v>20.0</v>
      </c>
      <c r="F53" s="1">
        <v>20.0</v>
      </c>
      <c r="H53" s="1">
        <v>20.0</v>
      </c>
      <c r="I53" s="1">
        <v>3.0</v>
      </c>
      <c r="J53" s="1">
        <v>3.0</v>
      </c>
      <c r="K53" s="1">
        <v>3.0</v>
      </c>
      <c r="L53" s="1">
        <v>3.0</v>
      </c>
      <c r="S53" s="1">
        <v>25.0</v>
      </c>
      <c r="X53" s="1" t="s">
        <v>140</v>
      </c>
      <c r="Y53" s="1" t="s">
        <v>141</v>
      </c>
      <c r="AE53" s="1">
        <v>332212.0</v>
      </c>
      <c r="AF53" s="1">
        <v>2278.0</v>
      </c>
      <c r="AG53" s="1">
        <v>4.0</v>
      </c>
    </row>
    <row r="54" ht="15.75" customHeight="1">
      <c r="A54" s="1">
        <v>53.0</v>
      </c>
      <c r="B54" s="1" t="s">
        <v>148</v>
      </c>
      <c r="C54" s="1" t="s">
        <v>348</v>
      </c>
      <c r="E54" s="1">
        <v>20.0</v>
      </c>
      <c r="H54" s="1">
        <v>10.0</v>
      </c>
      <c r="I54" s="1">
        <v>10.0</v>
      </c>
      <c r="S54" s="1">
        <v>20.0</v>
      </c>
      <c r="V54" s="1">
        <v>23.0</v>
      </c>
      <c r="X54" s="1" t="s">
        <v>153</v>
      </c>
      <c r="Y54" s="1" t="s">
        <v>155</v>
      </c>
      <c r="AE54" s="1">
        <v>820012.0</v>
      </c>
      <c r="AF54" s="1">
        <v>20397.0</v>
      </c>
      <c r="AG54" s="1">
        <v>39.0</v>
      </c>
      <c r="AN54" s="1">
        <v>4.0</v>
      </c>
    </row>
    <row r="55" ht="15.75" customHeight="1">
      <c r="A55" s="1">
        <v>54.0</v>
      </c>
      <c r="B55" s="1" t="s">
        <v>177</v>
      </c>
      <c r="C55" s="1" t="s">
        <v>355</v>
      </c>
      <c r="AE55" s="1">
        <v>820108.0</v>
      </c>
      <c r="AF55" s="1">
        <v>20398.0</v>
      </c>
      <c r="AM55" s="1">
        <v>99.0</v>
      </c>
    </row>
    <row r="56" ht="15.75" customHeight="1">
      <c r="A56" s="1">
        <v>55.0</v>
      </c>
      <c r="B56" s="1" t="s">
        <v>148</v>
      </c>
      <c r="C56" s="1" t="s">
        <v>356</v>
      </c>
      <c r="E56" s="1">
        <v>100.0</v>
      </c>
      <c r="H56" s="1">
        <v>50.0</v>
      </c>
      <c r="I56" s="1">
        <v>30.0</v>
      </c>
      <c r="S56" s="1">
        <v>45.0</v>
      </c>
      <c r="V56" s="1">
        <v>90.0</v>
      </c>
      <c r="X56" s="1" t="s">
        <v>153</v>
      </c>
      <c r="Y56" s="1" t="s">
        <v>211</v>
      </c>
      <c r="Z56" s="1">
        <v>5000.0</v>
      </c>
      <c r="AA56" s="1">
        <v>1.0</v>
      </c>
      <c r="AE56" s="1">
        <v>331381.0</v>
      </c>
      <c r="AF56" s="1">
        <v>2269.0</v>
      </c>
      <c r="AG56" s="1">
        <v>104.0</v>
      </c>
      <c r="AL56" s="1">
        <v>55.0</v>
      </c>
      <c r="AN56" s="1">
        <v>4.0</v>
      </c>
    </row>
    <row r="57" ht="15.75" customHeight="1">
      <c r="A57" s="1">
        <v>56.0</v>
      </c>
      <c r="B57" s="1" t="s">
        <v>148</v>
      </c>
      <c r="C57" s="1" t="s">
        <v>361</v>
      </c>
      <c r="E57" s="1">
        <v>75.0</v>
      </c>
      <c r="H57" s="1">
        <v>25.0</v>
      </c>
      <c r="I57" s="1">
        <v>10.0</v>
      </c>
      <c r="K57" s="1">
        <v>25.0</v>
      </c>
      <c r="S57" s="1">
        <v>45.0</v>
      </c>
      <c r="V57" s="1">
        <v>77.0</v>
      </c>
      <c r="X57" s="1" t="s">
        <v>153</v>
      </c>
      <c r="Y57" s="1" t="s">
        <v>211</v>
      </c>
      <c r="Z57" s="1">
        <v>5000.0</v>
      </c>
      <c r="AA57" s="1">
        <v>1.0</v>
      </c>
      <c r="AE57" s="1">
        <v>331371.0</v>
      </c>
      <c r="AF57" s="1">
        <v>2269.0</v>
      </c>
      <c r="AG57" s="1">
        <v>90.0</v>
      </c>
      <c r="AL57" s="1">
        <v>51.0</v>
      </c>
    </row>
    <row r="58" ht="15.75" customHeight="1">
      <c r="A58" s="1">
        <v>57.0</v>
      </c>
      <c r="B58" s="1" t="s">
        <v>148</v>
      </c>
      <c r="C58" s="1" t="s">
        <v>367</v>
      </c>
      <c r="E58" s="1">
        <v>30.0</v>
      </c>
      <c r="F58" s="1">
        <v>100.0</v>
      </c>
      <c r="H58" s="1">
        <v>10.0</v>
      </c>
      <c r="L58" s="1">
        <v>25.0</v>
      </c>
      <c r="S58" s="1">
        <v>40.0</v>
      </c>
      <c r="V58" s="1">
        <v>35.0</v>
      </c>
      <c r="X58" s="1" t="s">
        <v>202</v>
      </c>
      <c r="Y58" s="1" t="s">
        <v>203</v>
      </c>
      <c r="AA58" s="1">
        <v>1.0</v>
      </c>
      <c r="AE58" s="1">
        <v>331349.0</v>
      </c>
      <c r="AF58" s="1">
        <v>2269.0</v>
      </c>
      <c r="AG58" s="1">
        <v>61.0</v>
      </c>
      <c r="AL58" s="1">
        <v>15.0</v>
      </c>
      <c r="AN58" s="1">
        <v>5.0</v>
      </c>
    </row>
    <row r="59" ht="15.75" customHeight="1">
      <c r="A59" s="1">
        <v>58.0</v>
      </c>
      <c r="B59" s="1" t="s">
        <v>177</v>
      </c>
      <c r="C59" s="1" t="s">
        <v>372</v>
      </c>
      <c r="Z59" s="1">
        <v>100.0</v>
      </c>
      <c r="AE59" s="1">
        <v>820502.0</v>
      </c>
      <c r="AF59" s="1">
        <v>20402.0</v>
      </c>
      <c r="AM59" s="1">
        <v>99.0</v>
      </c>
    </row>
    <row r="60" ht="15.75" customHeight="1">
      <c r="A60" s="1">
        <v>59.0</v>
      </c>
      <c r="B60" s="1" t="s">
        <v>190</v>
      </c>
      <c r="C60" s="1" t="s">
        <v>375</v>
      </c>
      <c r="Z60" s="1">
        <v>200.0</v>
      </c>
      <c r="AE60" s="1">
        <v>820110.0</v>
      </c>
      <c r="AF60" s="1">
        <v>20398.0</v>
      </c>
      <c r="AQ60" s="1">
        <v>29.0</v>
      </c>
    </row>
    <row r="61" ht="15.75" customHeight="1">
      <c r="A61" s="1">
        <v>60.0</v>
      </c>
      <c r="B61" s="1" t="s">
        <v>177</v>
      </c>
      <c r="C61" s="1" t="s">
        <v>378</v>
      </c>
      <c r="Z61" s="1">
        <v>100.0</v>
      </c>
      <c r="AE61" s="1">
        <v>820401.0</v>
      </c>
      <c r="AF61" s="1">
        <v>20401.0</v>
      </c>
      <c r="AM61" s="1">
        <v>5.0</v>
      </c>
    </row>
    <row r="62" ht="15.75" customHeight="1">
      <c r="A62" s="1">
        <v>61.0</v>
      </c>
      <c r="B62" s="1" t="s">
        <v>190</v>
      </c>
      <c r="C62" s="1" t="s">
        <v>381</v>
      </c>
      <c r="S62" s="1">
        <v>11.0</v>
      </c>
      <c r="Z62" s="1">
        <v>1100.0</v>
      </c>
      <c r="AA62" s="1">
        <v>1.0</v>
      </c>
      <c r="AE62" s="1">
        <v>820110.0</v>
      </c>
      <c r="AF62" s="1">
        <v>20398.0</v>
      </c>
      <c r="AL62" s="1">
        <v>31.0</v>
      </c>
      <c r="AQ62" s="1">
        <v>30.0</v>
      </c>
    </row>
    <row r="63" ht="15.75" customHeight="1">
      <c r="A63" s="1">
        <v>62.0</v>
      </c>
      <c r="B63" s="1" t="s">
        <v>190</v>
      </c>
      <c r="C63" s="1" t="s">
        <v>383</v>
      </c>
      <c r="S63" s="1">
        <v>21.0</v>
      </c>
      <c r="Z63" s="1">
        <v>2100.0</v>
      </c>
      <c r="AA63" s="1">
        <v>1.0</v>
      </c>
      <c r="AE63" s="1">
        <v>820110.0</v>
      </c>
      <c r="AF63" s="1">
        <v>20398.0</v>
      </c>
      <c r="AL63" s="1">
        <v>31.0</v>
      </c>
      <c r="AQ63" s="1">
        <v>31.0</v>
      </c>
    </row>
    <row r="64" ht="15.75" customHeight="1">
      <c r="A64" s="1">
        <v>63.0</v>
      </c>
      <c r="B64" s="1" t="s">
        <v>190</v>
      </c>
      <c r="C64" s="1" t="s">
        <v>385</v>
      </c>
      <c r="S64" s="1">
        <v>31.0</v>
      </c>
      <c r="Z64" s="1">
        <v>3100.0</v>
      </c>
      <c r="AA64" s="1">
        <v>1.0</v>
      </c>
      <c r="AE64" s="1">
        <v>820110.0</v>
      </c>
      <c r="AF64" s="1">
        <v>20398.0</v>
      </c>
      <c r="AL64" s="1">
        <v>31.0</v>
      </c>
      <c r="AQ64" s="1">
        <v>32.0</v>
      </c>
    </row>
    <row r="65" ht="15.75" customHeight="1">
      <c r="A65" s="1">
        <v>64.0</v>
      </c>
      <c r="B65" s="1" t="s">
        <v>190</v>
      </c>
      <c r="C65" s="1" t="s">
        <v>388</v>
      </c>
      <c r="S65" s="1">
        <v>41.0</v>
      </c>
      <c r="Z65" s="1">
        <v>1000.0</v>
      </c>
      <c r="AA65" s="1">
        <v>1.0</v>
      </c>
      <c r="AE65" s="1">
        <v>820110.0</v>
      </c>
      <c r="AF65" s="1">
        <v>20398.0</v>
      </c>
      <c r="AL65" s="1">
        <v>31.0</v>
      </c>
      <c r="AQ65" s="1">
        <v>33.0</v>
      </c>
    </row>
    <row r="66" ht="15.75" customHeight="1">
      <c r="A66" s="1">
        <v>65.0</v>
      </c>
      <c r="B66" s="1" t="s">
        <v>190</v>
      </c>
      <c r="C66" s="1" t="s">
        <v>393</v>
      </c>
      <c r="S66" s="1">
        <v>16.0</v>
      </c>
      <c r="Z66" s="1">
        <v>1600.0</v>
      </c>
      <c r="AA66" s="1">
        <v>1.0</v>
      </c>
      <c r="AE66" s="1">
        <v>820110.0</v>
      </c>
      <c r="AF66" s="1">
        <v>20398.0</v>
      </c>
      <c r="AL66" s="1">
        <v>31.0</v>
      </c>
      <c r="AQ66" s="1">
        <v>34.0</v>
      </c>
    </row>
    <row r="67" ht="15.75" customHeight="1">
      <c r="A67" s="1">
        <v>66.0</v>
      </c>
      <c r="B67" s="1" t="s">
        <v>190</v>
      </c>
      <c r="C67" s="1" t="s">
        <v>396</v>
      </c>
      <c r="S67" s="1">
        <v>26.0</v>
      </c>
      <c r="Z67" s="1">
        <v>2600.0</v>
      </c>
      <c r="AA67" s="1">
        <v>1.0</v>
      </c>
      <c r="AE67" s="1">
        <v>820110.0</v>
      </c>
      <c r="AF67" s="1">
        <v>20398.0</v>
      </c>
      <c r="AL67" s="1">
        <v>31.0</v>
      </c>
      <c r="AQ67" s="1">
        <v>35.0</v>
      </c>
    </row>
    <row r="68" ht="15.75" customHeight="1">
      <c r="A68" s="1">
        <v>67.0</v>
      </c>
      <c r="B68" s="1" t="s">
        <v>190</v>
      </c>
      <c r="C68" s="1" t="s">
        <v>401</v>
      </c>
      <c r="S68" s="1">
        <v>36.0</v>
      </c>
      <c r="Z68" s="1">
        <v>3600.0</v>
      </c>
      <c r="AA68" s="1">
        <v>1.0</v>
      </c>
      <c r="AE68" s="1">
        <v>820110.0</v>
      </c>
      <c r="AF68" s="1">
        <v>20398.0</v>
      </c>
      <c r="AL68" s="1">
        <v>31.0</v>
      </c>
      <c r="AQ68" s="1">
        <v>36.0</v>
      </c>
    </row>
    <row r="69" ht="15.75" customHeight="1">
      <c r="A69" s="1">
        <v>68.0</v>
      </c>
      <c r="B69" s="1" t="s">
        <v>190</v>
      </c>
      <c r="C69" s="1" t="s">
        <v>404</v>
      </c>
      <c r="S69" s="1">
        <v>46.0</v>
      </c>
      <c r="Z69" s="1">
        <v>1000.0</v>
      </c>
      <c r="AA69" s="1">
        <v>1.0</v>
      </c>
      <c r="AE69" s="1">
        <v>820110.0</v>
      </c>
      <c r="AF69" s="1">
        <v>20398.0</v>
      </c>
      <c r="AL69" s="1">
        <v>31.0</v>
      </c>
      <c r="AQ69" s="1">
        <v>37.0</v>
      </c>
    </row>
    <row r="70" ht="15.75" customHeight="1">
      <c r="A70" s="1">
        <v>69.0</v>
      </c>
      <c r="B70" s="1" t="s">
        <v>190</v>
      </c>
      <c r="C70" s="1" t="s">
        <v>408</v>
      </c>
      <c r="S70" s="1">
        <v>9.0</v>
      </c>
      <c r="Z70" s="1">
        <v>900.0</v>
      </c>
      <c r="AA70" s="1">
        <v>1.0</v>
      </c>
      <c r="AE70" s="1">
        <v>820110.0</v>
      </c>
      <c r="AF70" s="1">
        <v>20398.0</v>
      </c>
      <c r="AL70" s="1">
        <v>31.0</v>
      </c>
      <c r="AQ70" s="1">
        <v>38.0</v>
      </c>
    </row>
    <row r="71" ht="15.75" customHeight="1">
      <c r="A71" s="1">
        <v>70.0</v>
      </c>
      <c r="B71" s="1" t="s">
        <v>190</v>
      </c>
      <c r="C71" s="1" t="s">
        <v>411</v>
      </c>
      <c r="S71" s="1">
        <v>19.0</v>
      </c>
      <c r="Z71" s="1">
        <v>1900.0</v>
      </c>
      <c r="AA71" s="1">
        <v>1.0</v>
      </c>
      <c r="AE71" s="1">
        <v>820110.0</v>
      </c>
      <c r="AF71" s="1">
        <v>20398.0</v>
      </c>
      <c r="AL71" s="1">
        <v>31.0</v>
      </c>
      <c r="AQ71" s="1">
        <v>39.0</v>
      </c>
    </row>
    <row r="72" ht="15.75" customHeight="1">
      <c r="A72" s="1">
        <v>71.0</v>
      </c>
      <c r="B72" s="1" t="s">
        <v>190</v>
      </c>
      <c r="C72" s="1" t="s">
        <v>414</v>
      </c>
      <c r="S72" s="1">
        <v>29.0</v>
      </c>
      <c r="Z72" s="1">
        <v>2900.0</v>
      </c>
      <c r="AA72" s="1">
        <v>1.0</v>
      </c>
      <c r="AE72" s="1">
        <v>820110.0</v>
      </c>
      <c r="AF72" s="1">
        <v>20398.0</v>
      </c>
      <c r="AL72" s="1">
        <v>31.0</v>
      </c>
      <c r="AQ72" s="1">
        <v>40.0</v>
      </c>
    </row>
    <row r="73" ht="15.75" customHeight="1">
      <c r="A73" s="1">
        <v>72.0</v>
      </c>
      <c r="B73" s="1" t="s">
        <v>190</v>
      </c>
      <c r="C73" s="1" t="s">
        <v>418</v>
      </c>
      <c r="S73" s="1">
        <v>39.0</v>
      </c>
      <c r="Z73" s="1">
        <v>1000.0</v>
      </c>
      <c r="AA73" s="1">
        <v>1.0</v>
      </c>
      <c r="AE73" s="1">
        <v>820110.0</v>
      </c>
      <c r="AF73" s="1">
        <v>20398.0</v>
      </c>
      <c r="AL73" s="1">
        <v>31.0</v>
      </c>
      <c r="AQ73" s="1">
        <v>41.0</v>
      </c>
    </row>
    <row r="74" ht="15.75" customHeight="1">
      <c r="A74" s="1">
        <v>73.0</v>
      </c>
      <c r="B74" s="1" t="s">
        <v>190</v>
      </c>
      <c r="C74" s="1" t="s">
        <v>420</v>
      </c>
      <c r="S74" s="1">
        <v>49.0</v>
      </c>
      <c r="Z74" s="1">
        <v>1000.0</v>
      </c>
      <c r="AA74" s="1">
        <v>1.0</v>
      </c>
      <c r="AE74" s="1">
        <v>820110.0</v>
      </c>
      <c r="AF74" s="1">
        <v>20398.0</v>
      </c>
      <c r="AL74" s="1">
        <v>31.0</v>
      </c>
      <c r="AQ74" s="1">
        <v>42.0</v>
      </c>
    </row>
    <row r="75" ht="15.75" customHeight="1">
      <c r="A75" s="1">
        <v>74.0</v>
      </c>
      <c r="B75" s="1" t="s">
        <v>190</v>
      </c>
      <c r="C75" s="1" t="s">
        <v>423</v>
      </c>
      <c r="S75" s="1">
        <v>12.0</v>
      </c>
      <c r="Z75" s="1">
        <v>1200.0</v>
      </c>
      <c r="AA75" s="1">
        <v>1.0</v>
      </c>
      <c r="AE75" s="1">
        <v>820110.0</v>
      </c>
      <c r="AF75" s="1">
        <v>20398.0</v>
      </c>
      <c r="AL75" s="1">
        <v>31.0</v>
      </c>
      <c r="AQ75" s="1">
        <v>43.0</v>
      </c>
    </row>
    <row r="76" ht="15.75" customHeight="1">
      <c r="A76" s="1">
        <v>75.0</v>
      </c>
      <c r="B76" s="1" t="s">
        <v>190</v>
      </c>
      <c r="C76" s="1" t="s">
        <v>427</v>
      </c>
      <c r="S76" s="1">
        <v>22.0</v>
      </c>
      <c r="Z76" s="1">
        <v>2200.0</v>
      </c>
      <c r="AA76" s="1">
        <v>1.0</v>
      </c>
      <c r="AE76" s="1">
        <v>820110.0</v>
      </c>
      <c r="AF76" s="1">
        <v>20398.0</v>
      </c>
      <c r="AL76" s="1">
        <v>31.0</v>
      </c>
      <c r="AQ76" s="1">
        <v>44.0</v>
      </c>
    </row>
    <row r="77" ht="15.75" customHeight="1">
      <c r="A77" s="1">
        <v>76.0</v>
      </c>
      <c r="B77" s="1" t="s">
        <v>190</v>
      </c>
      <c r="C77" s="1" t="s">
        <v>429</v>
      </c>
      <c r="S77" s="1">
        <v>32.0</v>
      </c>
      <c r="Z77" s="1">
        <v>3200.0</v>
      </c>
      <c r="AA77" s="1">
        <v>1.0</v>
      </c>
      <c r="AE77" s="1">
        <v>820110.0</v>
      </c>
      <c r="AF77" s="1">
        <v>20398.0</v>
      </c>
      <c r="AL77" s="1">
        <v>31.0</v>
      </c>
      <c r="AQ77" s="1">
        <v>45.0</v>
      </c>
    </row>
    <row r="78" ht="15.75" customHeight="1">
      <c r="A78" s="1">
        <v>77.0</v>
      </c>
      <c r="B78" s="1" t="s">
        <v>190</v>
      </c>
      <c r="C78" s="1" t="s">
        <v>434</v>
      </c>
      <c r="S78" s="1">
        <v>42.0</v>
      </c>
      <c r="Z78" s="1">
        <v>1000.0</v>
      </c>
      <c r="AA78" s="1">
        <v>1.0</v>
      </c>
      <c r="AE78" s="1">
        <v>820110.0</v>
      </c>
      <c r="AF78" s="1">
        <v>20398.0</v>
      </c>
      <c r="AL78" s="1">
        <v>31.0</v>
      </c>
      <c r="AQ78" s="1">
        <v>46.0</v>
      </c>
    </row>
    <row r="79" ht="15.75" customHeight="1">
      <c r="A79" s="1">
        <v>78.0</v>
      </c>
      <c r="B79" s="1" t="s">
        <v>190</v>
      </c>
      <c r="C79" s="1" t="s">
        <v>437</v>
      </c>
      <c r="S79" s="1">
        <v>25.0</v>
      </c>
      <c r="Z79" s="1">
        <v>2500.0</v>
      </c>
      <c r="AA79" s="1">
        <v>1.0</v>
      </c>
      <c r="AE79" s="1">
        <v>820110.0</v>
      </c>
      <c r="AF79" s="1">
        <v>20398.0</v>
      </c>
      <c r="AL79" s="1">
        <v>31.0</v>
      </c>
      <c r="AQ79" s="1">
        <v>47.0</v>
      </c>
    </row>
    <row r="80" ht="15.75" customHeight="1">
      <c r="A80" s="1">
        <v>79.0</v>
      </c>
      <c r="B80" s="1" t="s">
        <v>190</v>
      </c>
      <c r="C80" s="1" t="s">
        <v>439</v>
      </c>
      <c r="S80" s="1">
        <v>35.0</v>
      </c>
      <c r="Z80" s="1">
        <v>3500.0</v>
      </c>
      <c r="AA80" s="1">
        <v>1.0</v>
      </c>
      <c r="AE80" s="1">
        <v>820110.0</v>
      </c>
      <c r="AF80" s="1">
        <v>20398.0</v>
      </c>
      <c r="AL80" s="1">
        <v>31.0</v>
      </c>
      <c r="AQ80" s="1">
        <v>48.0</v>
      </c>
    </row>
    <row r="81" ht="15.75" customHeight="1">
      <c r="A81" s="1">
        <v>80.0</v>
      </c>
      <c r="B81" s="1" t="s">
        <v>190</v>
      </c>
      <c r="C81" s="1" t="s">
        <v>442</v>
      </c>
      <c r="S81" s="1">
        <v>37.0</v>
      </c>
      <c r="Z81" s="1">
        <v>1000.0</v>
      </c>
      <c r="AA81" s="1">
        <v>1.0</v>
      </c>
      <c r="AE81" s="1">
        <v>820110.0</v>
      </c>
      <c r="AF81" s="1">
        <v>20398.0</v>
      </c>
      <c r="AL81" s="1">
        <v>31.0</v>
      </c>
      <c r="AQ81" s="1">
        <v>49.0</v>
      </c>
    </row>
    <row r="82" ht="15.75" customHeight="1">
      <c r="A82" s="1">
        <v>81.0</v>
      </c>
      <c r="B82" s="1" t="s">
        <v>190</v>
      </c>
      <c r="C82" s="1" t="s">
        <v>444</v>
      </c>
      <c r="S82" s="1">
        <v>47.0</v>
      </c>
      <c r="Z82" s="1">
        <v>1000.0</v>
      </c>
      <c r="AA82" s="1">
        <v>1.0</v>
      </c>
      <c r="AE82" s="1">
        <v>820110.0</v>
      </c>
      <c r="AF82" s="1">
        <v>20398.0</v>
      </c>
      <c r="AL82" s="1">
        <v>31.0</v>
      </c>
      <c r="AQ82" s="1">
        <v>50.0</v>
      </c>
    </row>
    <row r="83" ht="15.75" customHeight="1">
      <c r="A83" s="1">
        <v>82.0</v>
      </c>
      <c r="B83" s="1" t="s">
        <v>190</v>
      </c>
      <c r="C83" s="1" t="s">
        <v>446</v>
      </c>
      <c r="S83" s="1">
        <v>34.0</v>
      </c>
      <c r="Z83" s="1">
        <v>3400.0</v>
      </c>
      <c r="AA83" s="1">
        <v>1.0</v>
      </c>
      <c r="AE83" s="1">
        <v>820110.0</v>
      </c>
      <c r="AF83" s="1">
        <v>20398.0</v>
      </c>
      <c r="AL83" s="1">
        <v>31.0</v>
      </c>
      <c r="AQ83" s="1">
        <v>51.0</v>
      </c>
    </row>
    <row r="84" ht="15.75" customHeight="1">
      <c r="A84" s="1">
        <v>83.0</v>
      </c>
      <c r="B84" s="1" t="s">
        <v>190</v>
      </c>
      <c r="C84" s="1" t="s">
        <v>449</v>
      </c>
      <c r="S84" s="1">
        <v>48.0</v>
      </c>
      <c r="Z84" s="1">
        <v>500.0</v>
      </c>
      <c r="AA84" s="1">
        <v>1.0</v>
      </c>
      <c r="AE84" s="1">
        <v>820110.0</v>
      </c>
      <c r="AF84" s="1">
        <v>20398.0</v>
      </c>
      <c r="AL84" s="1">
        <v>31.0</v>
      </c>
      <c r="AQ84" s="1">
        <v>52.0</v>
      </c>
    </row>
    <row r="85" ht="15.75" customHeight="1">
      <c r="A85" s="1">
        <v>84.0</v>
      </c>
      <c r="B85" s="1" t="s">
        <v>190</v>
      </c>
      <c r="C85" s="1" t="s">
        <v>454</v>
      </c>
      <c r="S85" s="1">
        <v>18.0</v>
      </c>
      <c r="Z85" s="1">
        <v>1800.0</v>
      </c>
      <c r="AA85" s="1">
        <v>1.0</v>
      </c>
      <c r="AE85" s="1">
        <v>820110.0</v>
      </c>
      <c r="AF85" s="1">
        <v>20398.0</v>
      </c>
      <c r="AL85" s="1">
        <v>31.0</v>
      </c>
      <c r="AQ85" s="1">
        <v>53.0</v>
      </c>
    </row>
    <row r="86" ht="15.75" customHeight="1">
      <c r="A86" s="1">
        <v>85.0</v>
      </c>
      <c r="B86" s="1" t="s">
        <v>190</v>
      </c>
      <c r="C86" s="1" t="s">
        <v>456</v>
      </c>
      <c r="S86" s="1">
        <v>50.0</v>
      </c>
      <c r="Z86" s="1">
        <v>3400.0</v>
      </c>
      <c r="AA86" s="1">
        <v>1.0</v>
      </c>
      <c r="AE86" s="1">
        <v>820110.0</v>
      </c>
      <c r="AF86" s="1">
        <v>20398.0</v>
      </c>
      <c r="AL86" s="1">
        <v>31.0</v>
      </c>
      <c r="AQ86" s="1">
        <v>54.0</v>
      </c>
    </row>
    <row r="87" ht="15.75" customHeight="1">
      <c r="A87" s="1">
        <v>86.0</v>
      </c>
      <c r="B87" s="1" t="s">
        <v>190</v>
      </c>
      <c r="C87" s="1" t="s">
        <v>460</v>
      </c>
      <c r="S87" s="1">
        <v>50.0</v>
      </c>
      <c r="AA87" s="1">
        <v>1.0</v>
      </c>
      <c r="AE87" s="1">
        <v>820144.0</v>
      </c>
      <c r="AF87" s="1">
        <v>20398.0</v>
      </c>
      <c r="AL87" s="1">
        <v>59.0</v>
      </c>
      <c r="AQ87" s="1">
        <v>55.0</v>
      </c>
    </row>
    <row r="88" ht="15.75" customHeight="1">
      <c r="A88" s="1">
        <v>87.0</v>
      </c>
      <c r="B88" s="1" t="s">
        <v>190</v>
      </c>
      <c r="C88" s="1" t="s">
        <v>462</v>
      </c>
      <c r="S88" s="1">
        <v>50.0</v>
      </c>
      <c r="AA88" s="1">
        <v>1.0</v>
      </c>
      <c r="AE88" s="1">
        <v>820145.0</v>
      </c>
      <c r="AF88" s="1">
        <v>20398.0</v>
      </c>
      <c r="AL88" s="1">
        <v>55.0</v>
      </c>
      <c r="AQ88" s="1">
        <v>56.0</v>
      </c>
    </row>
    <row r="89" ht="15.75" customHeight="1">
      <c r="A89" s="1">
        <v>88.0</v>
      </c>
      <c r="B89" s="1" t="s">
        <v>163</v>
      </c>
      <c r="C89" s="1" t="s">
        <v>435</v>
      </c>
      <c r="Z89" s="1">
        <v>100.0</v>
      </c>
      <c r="AE89" s="1">
        <v>821122.0</v>
      </c>
      <c r="AF89" s="1">
        <v>20408.0</v>
      </c>
      <c r="AK89" s="1">
        <v>180.0</v>
      </c>
      <c r="AM89" s="1">
        <v>99.0</v>
      </c>
      <c r="AO89" s="1">
        <v>65.0</v>
      </c>
    </row>
    <row r="90" ht="15.75" customHeight="1">
      <c r="A90" s="1">
        <v>89.0</v>
      </c>
      <c r="B90" s="1" t="s">
        <v>137</v>
      </c>
      <c r="C90" s="1" t="s">
        <v>468</v>
      </c>
      <c r="H90" s="1">
        <v>13.0</v>
      </c>
      <c r="S90" s="1">
        <v>18.0</v>
      </c>
      <c r="X90" s="1" t="s">
        <v>186</v>
      </c>
      <c r="Y90" s="1" t="s">
        <v>471</v>
      </c>
      <c r="Z90" s="1">
        <v>800.0</v>
      </c>
      <c r="AE90" s="1">
        <v>332292.0</v>
      </c>
      <c r="AF90" s="1">
        <v>2278.0</v>
      </c>
      <c r="AG90" s="1">
        <v>52.0</v>
      </c>
      <c r="AH90" s="1">
        <v>20.0</v>
      </c>
      <c r="AI90" s="1">
        <v>65.0</v>
      </c>
      <c r="AJ90" s="1">
        <v>30.0</v>
      </c>
      <c r="AK90" s="1">
        <v>160.0</v>
      </c>
      <c r="AL90" s="1">
        <v>51.0</v>
      </c>
    </row>
    <row r="91" ht="15.75" customHeight="1">
      <c r="A91" s="1">
        <v>90.0</v>
      </c>
      <c r="B91" s="1" t="s">
        <v>137</v>
      </c>
      <c r="C91" s="1" t="s">
        <v>474</v>
      </c>
      <c r="H91" s="1">
        <v>36.0</v>
      </c>
      <c r="I91" s="1">
        <v>6.0</v>
      </c>
      <c r="J91" s="1">
        <v>6.0</v>
      </c>
      <c r="S91" s="1">
        <v>50.0</v>
      </c>
      <c r="X91" s="1" t="s">
        <v>186</v>
      </c>
      <c r="Y91" s="1" t="s">
        <v>471</v>
      </c>
      <c r="AA91" s="1">
        <v>1.0</v>
      </c>
      <c r="AD91" s="1">
        <v>1.0</v>
      </c>
      <c r="AE91" s="1">
        <v>332238.0</v>
      </c>
      <c r="AF91" s="1">
        <v>2278.0</v>
      </c>
      <c r="AG91" s="1">
        <v>20.0</v>
      </c>
      <c r="AL91" s="1">
        <v>55.0</v>
      </c>
    </row>
    <row r="92" ht="15.75" customHeight="1">
      <c r="A92" s="1">
        <v>91.0</v>
      </c>
      <c r="B92" s="1" t="s">
        <v>137</v>
      </c>
      <c r="C92" s="1" t="s">
        <v>480</v>
      </c>
      <c r="H92" s="1">
        <v>4.0</v>
      </c>
      <c r="S92" s="1">
        <v>1.0</v>
      </c>
      <c r="X92" s="1" t="s">
        <v>186</v>
      </c>
      <c r="Y92" s="1" t="s">
        <v>141</v>
      </c>
      <c r="Z92" s="1">
        <v>200.0</v>
      </c>
      <c r="AE92" s="1">
        <v>332292.0</v>
      </c>
      <c r="AF92" s="1">
        <v>2278.0</v>
      </c>
      <c r="AG92" s="1">
        <v>52.0</v>
      </c>
    </row>
    <row r="93" ht="15.75" customHeight="1">
      <c r="A93" s="1">
        <v>92.0</v>
      </c>
      <c r="B93" s="1" t="s">
        <v>137</v>
      </c>
      <c r="C93" s="1" t="s">
        <v>484</v>
      </c>
      <c r="H93" s="1">
        <v>77.0</v>
      </c>
      <c r="S93" s="1">
        <v>20.0</v>
      </c>
      <c r="X93" s="1" t="s">
        <v>186</v>
      </c>
      <c r="Y93" s="1" t="s">
        <v>141</v>
      </c>
      <c r="Z93" s="1">
        <v>35000.0</v>
      </c>
      <c r="AA93" s="1">
        <v>1.0</v>
      </c>
      <c r="AE93" s="1">
        <v>332292.0</v>
      </c>
      <c r="AF93" s="1">
        <v>2278.0</v>
      </c>
      <c r="AG93" s="1">
        <v>52.0</v>
      </c>
      <c r="AL93" s="1">
        <v>55.0</v>
      </c>
    </row>
    <row r="94" ht="15.75" customHeight="1">
      <c r="A94" s="1">
        <v>93.0</v>
      </c>
      <c r="B94" s="1" t="s">
        <v>137</v>
      </c>
      <c r="C94" s="1" t="s">
        <v>488</v>
      </c>
      <c r="H94" s="1">
        <v>29.0</v>
      </c>
      <c r="J94" s="1">
        <v>6.0</v>
      </c>
      <c r="L94" s="1">
        <v>6.0</v>
      </c>
      <c r="S94" s="1">
        <v>50.0</v>
      </c>
      <c r="X94" s="1" t="s">
        <v>186</v>
      </c>
      <c r="Y94" s="1" t="s">
        <v>471</v>
      </c>
      <c r="AA94" s="1">
        <v>1.0</v>
      </c>
      <c r="AE94" s="1">
        <v>332238.0</v>
      </c>
      <c r="AF94" s="1">
        <v>2278.0</v>
      </c>
      <c r="AG94" s="1">
        <v>20.0</v>
      </c>
      <c r="AH94" s="1">
        <v>58.0</v>
      </c>
      <c r="AI94" s="1">
        <v>56.0</v>
      </c>
      <c r="AJ94" s="1">
        <v>56.0</v>
      </c>
      <c r="AK94" s="1">
        <v>180.0</v>
      </c>
      <c r="AL94" s="1">
        <v>59.0</v>
      </c>
    </row>
    <row r="95" ht="15.75" customHeight="1">
      <c r="A95" s="1">
        <v>94.0</v>
      </c>
      <c r="B95" s="1" t="s">
        <v>137</v>
      </c>
      <c r="C95" s="1" t="s">
        <v>494</v>
      </c>
      <c r="E95" s="1">
        <v>100.0</v>
      </c>
      <c r="F95" s="1">
        <v>100.0</v>
      </c>
      <c r="H95" s="1">
        <v>95.0</v>
      </c>
      <c r="I95" s="1">
        <v>15.0</v>
      </c>
      <c r="J95" s="1">
        <v>15.0</v>
      </c>
      <c r="K95" s="1">
        <v>15.0</v>
      </c>
      <c r="L95" s="1">
        <v>15.0</v>
      </c>
      <c r="S95" s="1">
        <v>49.0</v>
      </c>
      <c r="X95" s="1" t="s">
        <v>186</v>
      </c>
      <c r="Y95" s="1" t="s">
        <v>471</v>
      </c>
      <c r="AA95" s="1">
        <v>1.0</v>
      </c>
      <c r="AE95" s="1">
        <v>332215.0</v>
      </c>
      <c r="AF95" s="1">
        <v>2278.0</v>
      </c>
      <c r="AG95" s="1">
        <v>12.0</v>
      </c>
      <c r="AK95" s="1">
        <v>160.0</v>
      </c>
      <c r="AL95" s="1">
        <v>51.0</v>
      </c>
    </row>
    <row r="96" ht="15.75" customHeight="1">
      <c r="A96" s="1">
        <v>95.0</v>
      </c>
      <c r="B96" s="1" t="s">
        <v>137</v>
      </c>
      <c r="C96" s="1" t="s">
        <v>500</v>
      </c>
      <c r="E96" s="1">
        <v>50.0</v>
      </c>
      <c r="F96" s="1">
        <v>50.0</v>
      </c>
      <c r="H96" s="1">
        <v>100.0</v>
      </c>
      <c r="I96" s="1">
        <v>5.0</v>
      </c>
      <c r="K96" s="1">
        <v>5.0</v>
      </c>
      <c r="M96" s="1">
        <v>2.0</v>
      </c>
      <c r="N96" s="1">
        <v>2.0</v>
      </c>
      <c r="O96" s="1">
        <v>2.0</v>
      </c>
      <c r="P96" s="1">
        <v>2.0</v>
      </c>
      <c r="Q96" s="1">
        <v>2.0</v>
      </c>
      <c r="S96" s="1">
        <v>50.0</v>
      </c>
      <c r="X96" s="1" t="s">
        <v>186</v>
      </c>
      <c r="Y96" s="1" t="s">
        <v>471</v>
      </c>
      <c r="AE96" s="1">
        <v>820251.0</v>
      </c>
      <c r="AF96" s="1">
        <v>20399.0</v>
      </c>
      <c r="AG96" s="1">
        <v>68.0</v>
      </c>
      <c r="AH96" s="1">
        <v>231.0</v>
      </c>
      <c r="AI96" s="1">
        <v>223.0</v>
      </c>
      <c r="AJ96" s="1">
        <v>107.0</v>
      </c>
      <c r="AK96" s="1">
        <v>160.0</v>
      </c>
      <c r="AL96" s="1">
        <v>51.0</v>
      </c>
    </row>
    <row r="97" ht="15.75" customHeight="1">
      <c r="A97" s="1">
        <v>96.0</v>
      </c>
      <c r="B97" s="1" t="s">
        <v>137</v>
      </c>
      <c r="C97" s="1" t="s">
        <v>507</v>
      </c>
      <c r="F97" s="1">
        <v>50.0</v>
      </c>
      <c r="H97" s="1">
        <v>15.0</v>
      </c>
      <c r="I97" s="1">
        <v>5.0</v>
      </c>
      <c r="J97" s="1">
        <v>5.0</v>
      </c>
      <c r="K97" s="1">
        <v>5.0</v>
      </c>
      <c r="L97" s="1">
        <v>5.0</v>
      </c>
      <c r="S97" s="1">
        <v>1.0</v>
      </c>
      <c r="X97" s="1" t="s">
        <v>186</v>
      </c>
      <c r="Y97" s="1" t="s">
        <v>141</v>
      </c>
      <c r="AA97" s="1">
        <v>1.0</v>
      </c>
      <c r="AE97" s="1">
        <v>820051.0</v>
      </c>
      <c r="AF97" s="1">
        <v>20397.0</v>
      </c>
      <c r="AG97" s="1">
        <v>122.0</v>
      </c>
      <c r="AH97" s="1">
        <v>255.0</v>
      </c>
      <c r="AI97" s="1">
        <v>120.0</v>
      </c>
      <c r="AJ97" s="1">
        <v>0.0</v>
      </c>
      <c r="AK97" s="1">
        <v>180.0</v>
      </c>
    </row>
    <row r="98" ht="15.75" customHeight="1">
      <c r="A98" s="1">
        <v>97.0</v>
      </c>
      <c r="B98" s="1" t="s">
        <v>137</v>
      </c>
      <c r="C98" s="1" t="s">
        <v>514</v>
      </c>
      <c r="H98" s="1">
        <v>19.0</v>
      </c>
      <c r="S98" s="1">
        <v>26.0</v>
      </c>
      <c r="X98" s="1" t="s">
        <v>186</v>
      </c>
      <c r="Y98" s="1" t="s">
        <v>471</v>
      </c>
      <c r="Z98" s="1">
        <v>1200.0</v>
      </c>
      <c r="AE98" s="1">
        <v>332292.0</v>
      </c>
      <c r="AF98" s="1">
        <v>2278.0</v>
      </c>
      <c r="AG98" s="1">
        <v>52.0</v>
      </c>
      <c r="AH98" s="1">
        <v>70.0</v>
      </c>
      <c r="AI98" s="1">
        <v>70.0</v>
      </c>
      <c r="AJ98" s="1">
        <v>70.0</v>
      </c>
      <c r="AK98" s="1">
        <v>140.0</v>
      </c>
      <c r="AL98" s="1">
        <v>51.0</v>
      </c>
    </row>
    <row r="99" ht="15.75" customHeight="1">
      <c r="A99" s="1">
        <v>98.0</v>
      </c>
      <c r="B99" s="1" t="s">
        <v>137</v>
      </c>
      <c r="C99" s="1" t="s">
        <v>519</v>
      </c>
      <c r="H99" s="1">
        <v>7.0</v>
      </c>
      <c r="S99" s="1">
        <v>10.0</v>
      </c>
      <c r="X99" s="1" t="s">
        <v>186</v>
      </c>
      <c r="Y99" s="1" t="s">
        <v>141</v>
      </c>
      <c r="Z99" s="1">
        <v>400.0</v>
      </c>
      <c r="AE99" s="1">
        <v>332292.0</v>
      </c>
      <c r="AF99" s="1">
        <v>2278.0</v>
      </c>
      <c r="AG99" s="1">
        <v>52.0</v>
      </c>
      <c r="AL99" s="1">
        <v>19.0</v>
      </c>
    </row>
    <row r="100" ht="15.75" customHeight="1">
      <c r="A100" s="1">
        <v>99.0</v>
      </c>
      <c r="B100" s="1" t="s">
        <v>137</v>
      </c>
      <c r="C100" s="1" t="s">
        <v>523</v>
      </c>
      <c r="E100" s="1">
        <v>75.0</v>
      </c>
      <c r="F100" s="1">
        <v>150.0</v>
      </c>
      <c r="H100" s="1">
        <v>50.0</v>
      </c>
      <c r="I100" s="1">
        <v>10.0</v>
      </c>
      <c r="J100" s="1">
        <v>10.0</v>
      </c>
      <c r="K100" s="1">
        <v>10.0</v>
      </c>
      <c r="L100" s="1">
        <v>10.0</v>
      </c>
      <c r="S100" s="1">
        <v>1.0</v>
      </c>
      <c r="X100" s="1" t="s">
        <v>186</v>
      </c>
      <c r="Y100" s="1" t="s">
        <v>141</v>
      </c>
      <c r="Z100" s="1">
        <v>300000.0</v>
      </c>
      <c r="AE100" s="1">
        <v>332295.0</v>
      </c>
      <c r="AF100" s="1">
        <v>2278.0</v>
      </c>
      <c r="AG100" s="1">
        <v>54.0</v>
      </c>
      <c r="AH100" s="1">
        <v>24.0</v>
      </c>
      <c r="AI100" s="1">
        <v>81.0</v>
      </c>
      <c r="AJ100" s="1">
        <v>33.0</v>
      </c>
      <c r="AK100" s="1">
        <v>160.0</v>
      </c>
      <c r="AO100" s="1">
        <v>71.0</v>
      </c>
      <c r="AR100" s="1">
        <v>10.0</v>
      </c>
    </row>
    <row r="101" ht="15.75" customHeight="1">
      <c r="A101" s="1">
        <v>100.0</v>
      </c>
      <c r="B101" s="1" t="s">
        <v>137</v>
      </c>
      <c r="C101" s="1" t="s">
        <v>530</v>
      </c>
      <c r="H101" s="1">
        <v>24.0</v>
      </c>
      <c r="I101" s="1">
        <v>2.0</v>
      </c>
      <c r="J101" s="1">
        <v>2.0</v>
      </c>
      <c r="L101" s="1">
        <v>2.0</v>
      </c>
      <c r="S101" s="1">
        <v>40.0</v>
      </c>
      <c r="X101" s="1" t="s">
        <v>186</v>
      </c>
      <c r="Y101" s="1" t="s">
        <v>141</v>
      </c>
      <c r="AE101" s="1">
        <v>332240.0</v>
      </c>
      <c r="AF101" s="1">
        <v>2278.0</v>
      </c>
      <c r="AG101" s="1">
        <v>22.0</v>
      </c>
      <c r="AH101" s="1">
        <v>28.0</v>
      </c>
      <c r="AI101" s="1">
        <v>113.0</v>
      </c>
      <c r="AJ101" s="1">
        <v>216.0</v>
      </c>
      <c r="AK101" s="1">
        <v>180.0</v>
      </c>
      <c r="AL101" s="1">
        <v>31.0</v>
      </c>
    </row>
    <row r="102" ht="15.75" customHeight="1">
      <c r="A102" s="1">
        <v>101.0</v>
      </c>
      <c r="B102" s="1" t="s">
        <v>137</v>
      </c>
      <c r="C102" s="1" t="s">
        <v>537</v>
      </c>
      <c r="H102" s="1">
        <v>8.0</v>
      </c>
      <c r="S102" s="1">
        <v>20.0</v>
      </c>
      <c r="X102" s="1" t="s">
        <v>186</v>
      </c>
      <c r="Y102" s="1" t="s">
        <v>141</v>
      </c>
      <c r="Z102" s="1">
        <v>800.0</v>
      </c>
      <c r="AE102" s="1">
        <v>332240.0</v>
      </c>
      <c r="AF102" s="1">
        <v>2278.0</v>
      </c>
      <c r="AG102" s="1">
        <v>22.0</v>
      </c>
      <c r="AL102" s="1">
        <v>15.0</v>
      </c>
    </row>
    <row r="103" ht="15.75" customHeight="1">
      <c r="A103" s="1">
        <v>102.0</v>
      </c>
      <c r="B103" s="1" t="s">
        <v>137</v>
      </c>
      <c r="C103" s="1" t="s">
        <v>542</v>
      </c>
      <c r="E103" s="1">
        <v>150.0</v>
      </c>
      <c r="H103" s="1">
        <v>45.0</v>
      </c>
      <c r="L103" s="1">
        <v>20.0</v>
      </c>
      <c r="S103" s="1">
        <v>45.0</v>
      </c>
      <c r="X103" s="1" t="s">
        <v>186</v>
      </c>
      <c r="Y103" s="1" t="s">
        <v>141</v>
      </c>
      <c r="AA103" s="1">
        <v>1.0</v>
      </c>
      <c r="AE103" s="1">
        <v>332295.0</v>
      </c>
      <c r="AF103" s="1">
        <v>2278.0</v>
      </c>
      <c r="AG103" s="1">
        <v>54.0</v>
      </c>
      <c r="AH103" s="1">
        <v>148.0</v>
      </c>
      <c r="AI103" s="1">
        <v>48.0</v>
      </c>
      <c r="AJ103" s="1">
        <v>49.0</v>
      </c>
      <c r="AK103" s="1">
        <v>160.0</v>
      </c>
      <c r="AO103" s="1">
        <v>71.0</v>
      </c>
    </row>
    <row r="104" ht="15.75" customHeight="1">
      <c r="A104" s="1">
        <v>103.0</v>
      </c>
      <c r="B104" s="1" t="s">
        <v>137</v>
      </c>
      <c r="C104" s="1" t="s">
        <v>546</v>
      </c>
      <c r="H104" s="1">
        <v>25.0</v>
      </c>
      <c r="S104" s="1">
        <v>34.0</v>
      </c>
      <c r="X104" s="1" t="s">
        <v>186</v>
      </c>
      <c r="Y104" s="1" t="s">
        <v>471</v>
      </c>
      <c r="Z104" s="1">
        <v>2000.0</v>
      </c>
      <c r="AE104" s="1">
        <v>332292.0</v>
      </c>
      <c r="AF104" s="1">
        <v>2278.0</v>
      </c>
      <c r="AG104" s="1">
        <v>52.0</v>
      </c>
      <c r="AH104" s="1">
        <v>100.0</v>
      </c>
      <c r="AI104" s="1">
        <v>100.0</v>
      </c>
      <c r="AJ104" s="1">
        <v>100.0</v>
      </c>
      <c r="AK104" s="1">
        <v>100.0</v>
      </c>
      <c r="AL104" s="1">
        <v>55.0</v>
      </c>
    </row>
    <row r="105" ht="15.75" customHeight="1">
      <c r="A105" s="1">
        <v>104.0</v>
      </c>
      <c r="B105" s="1" t="s">
        <v>137</v>
      </c>
      <c r="C105" s="1" t="s">
        <v>551</v>
      </c>
      <c r="E105" s="1">
        <v>25.0</v>
      </c>
      <c r="F105" s="1">
        <v>25.0</v>
      </c>
      <c r="H105" s="1">
        <v>55.0</v>
      </c>
      <c r="I105" s="1">
        <v>5.0</v>
      </c>
      <c r="J105" s="1">
        <v>5.0</v>
      </c>
      <c r="K105" s="1">
        <v>5.0</v>
      </c>
      <c r="L105" s="1">
        <v>5.0</v>
      </c>
      <c r="S105" s="1">
        <v>50.0</v>
      </c>
      <c r="X105" s="1" t="s">
        <v>186</v>
      </c>
      <c r="Y105" s="1" t="s">
        <v>141</v>
      </c>
      <c r="AA105" s="1">
        <v>1.0</v>
      </c>
      <c r="AE105" s="1">
        <v>332246.0</v>
      </c>
      <c r="AF105" s="1">
        <v>2278.0</v>
      </c>
      <c r="AG105" s="1">
        <v>32.0</v>
      </c>
      <c r="AO105" s="1">
        <v>74.0</v>
      </c>
    </row>
    <row r="106" ht="15.75" customHeight="1">
      <c r="A106" s="1">
        <v>105.0</v>
      </c>
      <c r="B106" s="1" t="s">
        <v>137</v>
      </c>
      <c r="C106" s="1" t="s">
        <v>556</v>
      </c>
      <c r="E106" s="1">
        <v>100.0</v>
      </c>
      <c r="F106" s="1">
        <v>100.0</v>
      </c>
      <c r="H106" s="1">
        <v>100.0</v>
      </c>
      <c r="I106" s="1">
        <v>5.0</v>
      </c>
      <c r="J106" s="1">
        <v>5.0</v>
      </c>
      <c r="K106" s="1">
        <v>5.0</v>
      </c>
      <c r="L106" s="1">
        <v>5.0</v>
      </c>
      <c r="S106" s="1">
        <v>1.0</v>
      </c>
      <c r="X106" s="1" t="s">
        <v>186</v>
      </c>
      <c r="Y106" s="1" t="s">
        <v>141</v>
      </c>
      <c r="Z106" s="1">
        <v>50000.0</v>
      </c>
      <c r="AE106" s="1">
        <v>332246.0</v>
      </c>
      <c r="AF106" s="1">
        <v>2278.0</v>
      </c>
      <c r="AG106" s="1">
        <v>32.0</v>
      </c>
      <c r="AH106" s="1">
        <v>152.0</v>
      </c>
      <c r="AI106" s="1">
        <v>88.0</v>
      </c>
      <c r="AJ106" s="1">
        <v>196.0</v>
      </c>
      <c r="AK106" s="1">
        <v>170.0</v>
      </c>
      <c r="AO106" s="1">
        <v>182.0</v>
      </c>
      <c r="AR106" s="1">
        <v>5.0</v>
      </c>
    </row>
    <row r="107" ht="15.75" customHeight="1">
      <c r="A107" s="1">
        <v>106.0</v>
      </c>
      <c r="B107" s="1" t="s">
        <v>137</v>
      </c>
      <c r="C107" s="1" t="s">
        <v>562</v>
      </c>
      <c r="H107" s="1">
        <v>20.0</v>
      </c>
      <c r="S107" s="1">
        <v>18.0</v>
      </c>
      <c r="X107" s="1" t="s">
        <v>564</v>
      </c>
      <c r="Y107" s="1" t="s">
        <v>471</v>
      </c>
      <c r="Z107" s="1">
        <v>1000.0</v>
      </c>
      <c r="AE107" s="1">
        <v>51332.0</v>
      </c>
      <c r="AF107" s="1">
        <v>2282.0</v>
      </c>
      <c r="AG107" s="1">
        <v>14.0</v>
      </c>
      <c r="AH107" s="1">
        <v>250.0</v>
      </c>
      <c r="AI107" s="1">
        <v>150.0</v>
      </c>
      <c r="AJ107" s="1">
        <v>50.0</v>
      </c>
      <c r="AK107" s="1">
        <v>140.0</v>
      </c>
      <c r="AL107" s="1">
        <v>51.0</v>
      </c>
    </row>
    <row r="108" ht="15.75" customHeight="1">
      <c r="A108" s="1">
        <v>107.0</v>
      </c>
      <c r="B108" s="1" t="s">
        <v>137</v>
      </c>
      <c r="C108" s="1" t="s">
        <v>570</v>
      </c>
      <c r="H108" s="1">
        <v>75.0</v>
      </c>
      <c r="I108" s="1">
        <v>4.0</v>
      </c>
      <c r="J108" s="1">
        <v>4.0</v>
      </c>
      <c r="K108" s="1">
        <v>4.0</v>
      </c>
      <c r="L108" s="1">
        <v>4.0</v>
      </c>
      <c r="S108" s="1">
        <v>50.0</v>
      </c>
      <c r="X108" s="1" t="s">
        <v>564</v>
      </c>
      <c r="Y108" s="1" t="s">
        <v>471</v>
      </c>
      <c r="AE108" s="1">
        <v>332232.0</v>
      </c>
      <c r="AF108" s="1">
        <v>2278.0</v>
      </c>
      <c r="AG108" s="1">
        <v>6.0</v>
      </c>
      <c r="AL108" s="1">
        <v>55.0</v>
      </c>
    </row>
    <row r="109" ht="15.75" customHeight="1">
      <c r="A109" s="1">
        <v>108.0</v>
      </c>
      <c r="B109" s="1" t="s">
        <v>137</v>
      </c>
      <c r="C109" s="1" t="s">
        <v>574</v>
      </c>
      <c r="H109" s="1">
        <v>7.0</v>
      </c>
      <c r="S109" s="1">
        <v>1.0</v>
      </c>
      <c r="X109" s="1" t="s">
        <v>564</v>
      </c>
      <c r="Y109" s="1" t="s">
        <v>141</v>
      </c>
      <c r="Z109" s="1">
        <v>250.0</v>
      </c>
      <c r="AE109" s="1">
        <v>332204.0</v>
      </c>
      <c r="AF109" s="1">
        <v>2278.0</v>
      </c>
      <c r="AG109" s="1">
        <v>1.0</v>
      </c>
    </row>
    <row r="110" ht="15.75" customHeight="1">
      <c r="A110" s="1">
        <v>109.0</v>
      </c>
      <c r="B110" s="1" t="s">
        <v>137</v>
      </c>
      <c r="C110" s="1" t="s">
        <v>578</v>
      </c>
      <c r="E110" s="1">
        <v>75.0</v>
      </c>
      <c r="H110" s="1">
        <v>75.0</v>
      </c>
      <c r="I110" s="1">
        <v>7.0</v>
      </c>
      <c r="J110" s="1">
        <v>7.0</v>
      </c>
      <c r="S110" s="1">
        <v>50.0</v>
      </c>
      <c r="X110" s="1" t="s">
        <v>564</v>
      </c>
      <c r="Y110" s="1" t="s">
        <v>471</v>
      </c>
      <c r="AE110" s="1">
        <v>332232.0</v>
      </c>
      <c r="AF110" s="1">
        <v>2278.0</v>
      </c>
      <c r="AG110" s="1">
        <v>6.0</v>
      </c>
      <c r="AH110" s="1">
        <v>231.0</v>
      </c>
      <c r="AI110" s="1">
        <v>223.0</v>
      </c>
      <c r="AJ110" s="1">
        <v>107.0</v>
      </c>
      <c r="AK110" s="1">
        <v>160.0</v>
      </c>
      <c r="AL110" s="1">
        <v>51.0</v>
      </c>
    </row>
    <row r="111" ht="15.75" customHeight="1">
      <c r="A111" s="1">
        <v>110.0</v>
      </c>
      <c r="B111" s="1" t="s">
        <v>137</v>
      </c>
      <c r="C111" s="1" t="s">
        <v>582</v>
      </c>
      <c r="H111" s="1">
        <v>29.0</v>
      </c>
      <c r="S111" s="1">
        <v>26.0</v>
      </c>
      <c r="X111" s="1" t="s">
        <v>564</v>
      </c>
      <c r="Y111" s="1" t="s">
        <v>471</v>
      </c>
      <c r="Z111" s="1">
        <v>1500.0</v>
      </c>
      <c r="AE111" s="1">
        <v>51332.0</v>
      </c>
      <c r="AF111" s="1">
        <v>2282.0</v>
      </c>
      <c r="AG111" s="1">
        <v>14.0</v>
      </c>
      <c r="AL111" s="1">
        <v>51.0</v>
      </c>
    </row>
    <row r="112" ht="15.75" customHeight="1">
      <c r="A112" s="1">
        <v>111.0</v>
      </c>
      <c r="B112" s="1" t="s">
        <v>137</v>
      </c>
      <c r="C112" s="1" t="s">
        <v>587</v>
      </c>
      <c r="H112" s="1">
        <v>9.0</v>
      </c>
      <c r="S112" s="1">
        <v>10.0</v>
      </c>
      <c r="X112" s="1" t="s">
        <v>564</v>
      </c>
      <c r="Y112" s="1" t="s">
        <v>141</v>
      </c>
      <c r="Z112" s="1">
        <v>500.0</v>
      </c>
      <c r="AE112" s="1">
        <v>332204.0</v>
      </c>
      <c r="AF112" s="1">
        <v>2278.0</v>
      </c>
      <c r="AG112" s="1">
        <v>1.0</v>
      </c>
      <c r="AL112" s="1">
        <v>19.0</v>
      </c>
    </row>
    <row r="113" ht="15.75" customHeight="1">
      <c r="A113" s="1">
        <v>112.0</v>
      </c>
      <c r="B113" s="1" t="s">
        <v>137</v>
      </c>
      <c r="C113" s="1" t="s">
        <v>589</v>
      </c>
      <c r="E113" s="1">
        <v>50.0</v>
      </c>
      <c r="H113" s="1">
        <v>35.0</v>
      </c>
      <c r="I113" s="1">
        <v>3.0</v>
      </c>
      <c r="J113" s="1">
        <v>3.0</v>
      </c>
      <c r="S113" s="1">
        <v>1.0</v>
      </c>
      <c r="X113" s="1" t="s">
        <v>564</v>
      </c>
      <c r="Y113" s="1" t="s">
        <v>471</v>
      </c>
      <c r="Z113" s="1">
        <v>5000.0</v>
      </c>
      <c r="AE113" s="1">
        <v>332232.0</v>
      </c>
      <c r="AF113" s="1">
        <v>2278.0</v>
      </c>
      <c r="AG113" s="1">
        <v>6.0</v>
      </c>
      <c r="AH113" s="1">
        <v>24.0</v>
      </c>
      <c r="AI113" s="1">
        <v>81.0</v>
      </c>
      <c r="AJ113" s="1">
        <v>33.0</v>
      </c>
      <c r="AK113" s="1">
        <v>160.0</v>
      </c>
    </row>
    <row r="114" ht="15.75" customHeight="1">
      <c r="A114" s="1">
        <v>113.0</v>
      </c>
      <c r="B114" s="1" t="s">
        <v>137</v>
      </c>
      <c r="C114" s="1" t="s">
        <v>593</v>
      </c>
      <c r="H114" s="1">
        <v>15.0</v>
      </c>
      <c r="S114" s="1">
        <v>20.0</v>
      </c>
      <c r="X114" s="1" t="s">
        <v>564</v>
      </c>
      <c r="Y114" s="1" t="s">
        <v>141</v>
      </c>
      <c r="Z114" s="1">
        <v>1000.0</v>
      </c>
      <c r="AE114" s="1">
        <v>332204.0</v>
      </c>
      <c r="AF114" s="1">
        <v>2278.0</v>
      </c>
      <c r="AG114" s="1">
        <v>1.0</v>
      </c>
      <c r="AL114" s="1">
        <v>15.0</v>
      </c>
    </row>
    <row r="115" ht="15.75" customHeight="1">
      <c r="A115" s="1">
        <v>114.0</v>
      </c>
      <c r="B115" s="1" t="s">
        <v>137</v>
      </c>
      <c r="C115" s="1" t="s">
        <v>596</v>
      </c>
      <c r="H115" s="1">
        <v>40.0</v>
      </c>
      <c r="S115" s="1">
        <v>34.0</v>
      </c>
      <c r="X115" s="1" t="s">
        <v>564</v>
      </c>
      <c r="Y115" s="1" t="s">
        <v>471</v>
      </c>
      <c r="Z115" s="1">
        <v>2500.0</v>
      </c>
      <c r="AE115" s="1">
        <v>51332.0</v>
      </c>
      <c r="AF115" s="1">
        <v>2282.0</v>
      </c>
      <c r="AG115" s="1">
        <v>14.0</v>
      </c>
      <c r="AH115" s="1">
        <v>255.0</v>
      </c>
      <c r="AI115" s="1">
        <v>255.0</v>
      </c>
      <c r="AJ115" s="1">
        <v>255.0</v>
      </c>
      <c r="AK115" s="1">
        <v>70.0</v>
      </c>
      <c r="AL115" s="1">
        <v>55.0</v>
      </c>
    </row>
    <row r="116" ht="15.75" customHeight="1">
      <c r="A116" s="1">
        <v>115.0</v>
      </c>
      <c r="B116" s="1" t="s">
        <v>137</v>
      </c>
      <c r="C116" s="1" t="s">
        <v>602</v>
      </c>
      <c r="H116" s="1">
        <v>25.0</v>
      </c>
      <c r="S116" s="1">
        <v>45.0</v>
      </c>
      <c r="X116" s="1" t="s">
        <v>604</v>
      </c>
      <c r="AA116" s="1">
        <v>1.0</v>
      </c>
      <c r="AE116" s="1">
        <v>332277.0</v>
      </c>
      <c r="AF116" s="1">
        <v>2278.0</v>
      </c>
      <c r="AG116" s="1">
        <v>70.0</v>
      </c>
      <c r="AN116" s="1">
        <v>4.0</v>
      </c>
    </row>
    <row r="117" ht="15.75" customHeight="1">
      <c r="A117" s="1">
        <v>116.0</v>
      </c>
      <c r="B117" s="1" t="s">
        <v>137</v>
      </c>
      <c r="C117" s="1" t="s">
        <v>607</v>
      </c>
      <c r="H117" s="1">
        <v>30.0</v>
      </c>
      <c r="S117" s="1">
        <v>20.0</v>
      </c>
      <c r="X117" s="1" t="s">
        <v>604</v>
      </c>
      <c r="Z117" s="1">
        <v>2000.0</v>
      </c>
      <c r="AE117" s="1">
        <v>332225.0</v>
      </c>
      <c r="AF117" s="1">
        <v>2278.0</v>
      </c>
      <c r="AG117" s="1">
        <v>21.0</v>
      </c>
      <c r="AL117" s="1">
        <v>59.0</v>
      </c>
      <c r="AN117" s="1">
        <v>4.0</v>
      </c>
    </row>
    <row r="118" ht="15.75" customHeight="1">
      <c r="A118" s="1">
        <v>117.0</v>
      </c>
      <c r="B118" s="1" t="s">
        <v>137</v>
      </c>
      <c r="C118" s="1" t="s">
        <v>610</v>
      </c>
      <c r="H118" s="1">
        <v>60.0</v>
      </c>
      <c r="S118" s="1">
        <v>35.0</v>
      </c>
      <c r="X118" s="1" t="s">
        <v>604</v>
      </c>
      <c r="Z118" s="1">
        <v>3500.0</v>
      </c>
      <c r="AE118" s="1">
        <v>332225.0</v>
      </c>
      <c r="AF118" s="1">
        <v>2278.0</v>
      </c>
      <c r="AG118" s="1">
        <v>21.0</v>
      </c>
      <c r="AH118" s="1">
        <v>189.0</v>
      </c>
      <c r="AI118" s="1">
        <v>93.0</v>
      </c>
      <c r="AJ118" s="1">
        <v>90.0</v>
      </c>
      <c r="AK118" s="1">
        <v>160.0</v>
      </c>
      <c r="AL118" s="1">
        <v>59.0</v>
      </c>
      <c r="AN118" s="1">
        <v>4.0</v>
      </c>
    </row>
    <row r="119" ht="15.75" customHeight="1">
      <c r="A119" s="1">
        <v>118.0</v>
      </c>
      <c r="B119" s="1" t="s">
        <v>137</v>
      </c>
      <c r="C119" s="1" t="s">
        <v>614</v>
      </c>
      <c r="F119" s="1">
        <v>100.0</v>
      </c>
      <c r="H119" s="1">
        <v>75.0</v>
      </c>
      <c r="I119" s="1">
        <v>3.0</v>
      </c>
      <c r="J119" s="1">
        <v>3.0</v>
      </c>
      <c r="K119" s="1">
        <v>3.0</v>
      </c>
      <c r="L119" s="1">
        <v>3.0</v>
      </c>
      <c r="M119" s="1">
        <v>10.0</v>
      </c>
      <c r="N119" s="1">
        <v>10.0</v>
      </c>
      <c r="O119" s="1">
        <v>10.0</v>
      </c>
      <c r="P119" s="1">
        <v>10.0</v>
      </c>
      <c r="Q119" s="1">
        <v>10.0</v>
      </c>
      <c r="S119" s="1">
        <v>1.0</v>
      </c>
      <c r="X119" s="1" t="s">
        <v>604</v>
      </c>
      <c r="Z119" s="1">
        <v>500000.0</v>
      </c>
      <c r="AE119" s="1">
        <v>820281.0</v>
      </c>
      <c r="AF119" s="1">
        <v>20399.0</v>
      </c>
      <c r="AG119" s="1">
        <v>355.0</v>
      </c>
      <c r="AN119" s="1">
        <v>4.0</v>
      </c>
      <c r="AO119" s="1">
        <v>71.0</v>
      </c>
      <c r="AR119" s="1">
        <v>10.0</v>
      </c>
    </row>
    <row r="120" ht="15.75" customHeight="1">
      <c r="A120" s="1">
        <v>119.0</v>
      </c>
      <c r="B120" s="1" t="s">
        <v>137</v>
      </c>
      <c r="C120" s="1" t="s">
        <v>617</v>
      </c>
      <c r="F120" s="1">
        <v>40.0</v>
      </c>
      <c r="H120" s="1">
        <v>40.0</v>
      </c>
      <c r="S120" s="1">
        <v>35.0</v>
      </c>
      <c r="X120" s="1" t="s">
        <v>604</v>
      </c>
      <c r="Z120" s="1">
        <v>3500.0</v>
      </c>
      <c r="AE120" s="1">
        <v>332287.0</v>
      </c>
      <c r="AF120" s="1">
        <v>2278.0</v>
      </c>
      <c r="AG120" s="1">
        <v>68.0</v>
      </c>
      <c r="AH120" s="1">
        <v>189.0</v>
      </c>
      <c r="AI120" s="1">
        <v>93.0</v>
      </c>
      <c r="AJ120" s="1">
        <v>90.0</v>
      </c>
      <c r="AK120" s="1">
        <v>160.0</v>
      </c>
      <c r="AL120" s="1">
        <v>15.0</v>
      </c>
      <c r="AN120" s="1">
        <v>4.0</v>
      </c>
    </row>
    <row r="121" ht="15.75" customHeight="1">
      <c r="A121" s="1">
        <v>120.0</v>
      </c>
      <c r="B121" s="1" t="s">
        <v>137</v>
      </c>
      <c r="C121" s="1" t="s">
        <v>620</v>
      </c>
      <c r="F121" s="1">
        <v>20.0</v>
      </c>
      <c r="H121" s="1">
        <v>20.0</v>
      </c>
      <c r="S121" s="1">
        <v>20.0</v>
      </c>
      <c r="X121" s="1" t="s">
        <v>604</v>
      </c>
      <c r="Z121" s="1">
        <v>2000.0</v>
      </c>
      <c r="AE121" s="1">
        <v>332287.0</v>
      </c>
      <c r="AF121" s="1">
        <v>2278.0</v>
      </c>
      <c r="AG121" s="1">
        <v>68.0</v>
      </c>
      <c r="AH121" s="1">
        <v>66.0</v>
      </c>
      <c r="AI121" s="1">
        <v>69.0</v>
      </c>
      <c r="AJ121" s="1">
        <v>189.0</v>
      </c>
      <c r="AK121" s="1">
        <v>160.0</v>
      </c>
      <c r="AL121" s="1">
        <v>15.0</v>
      </c>
      <c r="AN121" s="1">
        <v>4.0</v>
      </c>
    </row>
    <row r="122" ht="15.75" customHeight="1">
      <c r="A122" s="1">
        <v>121.0</v>
      </c>
      <c r="B122" s="1" t="s">
        <v>137</v>
      </c>
      <c r="C122" s="1" t="s">
        <v>625</v>
      </c>
      <c r="H122" s="1">
        <v>50.0</v>
      </c>
      <c r="S122" s="1">
        <v>20.0</v>
      </c>
      <c r="X122" s="1" t="s">
        <v>604</v>
      </c>
      <c r="Z122" s="1">
        <v>2000.0</v>
      </c>
      <c r="AE122" s="1">
        <v>820259.0</v>
      </c>
      <c r="AF122" s="1">
        <v>20399.0</v>
      </c>
      <c r="AG122" s="1">
        <v>263.0</v>
      </c>
      <c r="AL122" s="1">
        <v>55.0</v>
      </c>
      <c r="AN122" s="1">
        <v>4.0</v>
      </c>
    </row>
    <row r="123" ht="15.75" customHeight="1">
      <c r="A123" s="1">
        <v>122.0</v>
      </c>
      <c r="B123" s="1" t="s">
        <v>137</v>
      </c>
      <c r="C123" s="1" t="s">
        <v>629</v>
      </c>
      <c r="H123" s="1">
        <v>10.0</v>
      </c>
      <c r="S123" s="1">
        <v>5.0</v>
      </c>
      <c r="X123" s="1" t="s">
        <v>604</v>
      </c>
      <c r="Z123" s="1">
        <v>500.0</v>
      </c>
      <c r="AE123" s="1">
        <v>332225.0</v>
      </c>
      <c r="AF123" s="1">
        <v>2278.0</v>
      </c>
      <c r="AG123" s="1">
        <v>21.0</v>
      </c>
      <c r="AN123" s="1">
        <v>4.0</v>
      </c>
    </row>
    <row r="124" ht="15.75" customHeight="1">
      <c r="A124" s="1">
        <v>123.0</v>
      </c>
      <c r="B124" s="1" t="s">
        <v>137</v>
      </c>
      <c r="C124" s="1" t="s">
        <v>633</v>
      </c>
      <c r="H124" s="1">
        <v>12.0</v>
      </c>
      <c r="S124" s="1">
        <v>18.0</v>
      </c>
      <c r="X124" s="1" t="s">
        <v>634</v>
      </c>
      <c r="Y124" s="1" t="s">
        <v>471</v>
      </c>
      <c r="Z124" s="1">
        <v>800.0</v>
      </c>
      <c r="AE124" s="1">
        <v>332288.0</v>
      </c>
      <c r="AF124" s="1">
        <v>2278.0</v>
      </c>
      <c r="AG124" s="1">
        <v>9.0</v>
      </c>
      <c r="AH124" s="1">
        <v>250.0</v>
      </c>
      <c r="AI124" s="1">
        <v>150.0</v>
      </c>
      <c r="AJ124" s="1">
        <v>50.0</v>
      </c>
      <c r="AK124" s="1">
        <v>140.0</v>
      </c>
      <c r="AL124" s="1">
        <v>51.0</v>
      </c>
    </row>
    <row r="125" ht="15.75" customHeight="1">
      <c r="A125" s="1">
        <v>124.0</v>
      </c>
      <c r="B125" s="1" t="s">
        <v>137</v>
      </c>
      <c r="C125" s="1" t="s">
        <v>639</v>
      </c>
      <c r="H125" s="1">
        <v>4.0</v>
      </c>
      <c r="S125" s="1">
        <v>1.0</v>
      </c>
      <c r="X125" s="1" t="s">
        <v>634</v>
      </c>
      <c r="Y125" s="1" t="s">
        <v>141</v>
      </c>
      <c r="Z125" s="1">
        <v>200.0</v>
      </c>
      <c r="AE125" s="1">
        <v>332213.0</v>
      </c>
      <c r="AF125" s="1">
        <v>2278.0</v>
      </c>
      <c r="AG125" s="1">
        <v>2.0</v>
      </c>
      <c r="AH125" s="1">
        <v>181.0</v>
      </c>
      <c r="AI125" s="1">
        <v>131.0</v>
      </c>
      <c r="AJ125" s="1">
        <v>90.0</v>
      </c>
      <c r="AK125" s="1">
        <v>180.0</v>
      </c>
    </row>
    <row r="126" ht="15.75" customHeight="1">
      <c r="A126" s="1">
        <v>125.0</v>
      </c>
      <c r="B126" s="1" t="s">
        <v>137</v>
      </c>
      <c r="C126" s="1" t="s">
        <v>642</v>
      </c>
      <c r="H126" s="1">
        <v>29.0</v>
      </c>
      <c r="I126" s="1">
        <v>3.0</v>
      </c>
      <c r="J126" s="1">
        <v>3.0</v>
      </c>
      <c r="K126" s="1">
        <v>3.0</v>
      </c>
      <c r="L126" s="1">
        <v>3.0</v>
      </c>
      <c r="S126" s="1">
        <v>50.0</v>
      </c>
      <c r="X126" s="1" t="s">
        <v>634</v>
      </c>
      <c r="Y126" s="1" t="s">
        <v>471</v>
      </c>
      <c r="AE126" s="1">
        <v>332288.0</v>
      </c>
      <c r="AF126" s="1">
        <v>2278.0</v>
      </c>
      <c r="AG126" s="1">
        <v>9.0</v>
      </c>
      <c r="AL126" s="1">
        <v>59.0</v>
      </c>
    </row>
    <row r="127" ht="15.75" customHeight="1">
      <c r="A127" s="1">
        <v>126.0</v>
      </c>
      <c r="B127" s="1" t="s">
        <v>137</v>
      </c>
      <c r="C127" s="1" t="s">
        <v>647</v>
      </c>
      <c r="E127" s="1">
        <v>50.0</v>
      </c>
      <c r="F127" s="1">
        <v>50.0</v>
      </c>
      <c r="H127" s="1">
        <v>50.0</v>
      </c>
      <c r="I127" s="1">
        <v>5.0</v>
      </c>
      <c r="J127" s="1">
        <v>5.0</v>
      </c>
      <c r="K127" s="1">
        <v>5.0</v>
      </c>
      <c r="L127" s="1">
        <v>5.0</v>
      </c>
      <c r="S127" s="1">
        <v>49.0</v>
      </c>
      <c r="X127" s="1" t="s">
        <v>634</v>
      </c>
      <c r="Y127" s="1" t="s">
        <v>471</v>
      </c>
      <c r="AA127" s="1">
        <v>1.0</v>
      </c>
      <c r="AE127" s="1">
        <v>332288.0</v>
      </c>
      <c r="AF127" s="1">
        <v>2278.0</v>
      </c>
      <c r="AG127" s="1">
        <v>9.0</v>
      </c>
      <c r="AK127" s="1">
        <v>160.0</v>
      </c>
    </row>
    <row r="128" ht="15.75" customHeight="1">
      <c r="A128" s="1">
        <v>127.0</v>
      </c>
      <c r="B128" s="1" t="s">
        <v>137</v>
      </c>
      <c r="C128" s="1" t="s">
        <v>652</v>
      </c>
      <c r="E128" s="1">
        <v>50.0</v>
      </c>
      <c r="F128" s="1">
        <v>50.0</v>
      </c>
      <c r="H128" s="1">
        <v>50.0</v>
      </c>
      <c r="I128" s="1">
        <v>5.0</v>
      </c>
      <c r="J128" s="1">
        <v>5.0</v>
      </c>
      <c r="S128" s="1">
        <v>50.0</v>
      </c>
      <c r="X128" s="1" t="s">
        <v>634</v>
      </c>
      <c r="Y128" s="1" t="s">
        <v>471</v>
      </c>
      <c r="AE128" s="1">
        <v>332233.0</v>
      </c>
      <c r="AF128" s="1">
        <v>2278.0</v>
      </c>
      <c r="AG128" s="1">
        <v>4.0</v>
      </c>
      <c r="AH128" s="1">
        <v>231.0</v>
      </c>
      <c r="AI128" s="1">
        <v>223.0</v>
      </c>
      <c r="AJ128" s="1">
        <v>107.0</v>
      </c>
      <c r="AK128" s="1">
        <v>160.0</v>
      </c>
      <c r="AL128" s="1">
        <v>51.0</v>
      </c>
    </row>
    <row r="129" ht="15.75" customHeight="1">
      <c r="A129" s="1">
        <v>128.0</v>
      </c>
      <c r="B129" s="1" t="s">
        <v>137</v>
      </c>
      <c r="C129" s="1" t="s">
        <v>657</v>
      </c>
      <c r="H129" s="1">
        <v>19.0</v>
      </c>
      <c r="S129" s="1">
        <v>26.0</v>
      </c>
      <c r="X129" s="1" t="s">
        <v>634</v>
      </c>
      <c r="Y129" s="1" t="s">
        <v>471</v>
      </c>
      <c r="Z129" s="1">
        <v>1200.0</v>
      </c>
      <c r="AE129" s="1">
        <v>332288.0</v>
      </c>
      <c r="AF129" s="1">
        <v>2278.0</v>
      </c>
      <c r="AG129" s="1">
        <v>9.0</v>
      </c>
      <c r="AL129" s="1">
        <v>51.0</v>
      </c>
    </row>
    <row r="130" ht="15.75" customHeight="1">
      <c r="A130" s="1">
        <v>129.0</v>
      </c>
      <c r="B130" s="1" t="s">
        <v>137</v>
      </c>
      <c r="C130" s="1" t="s">
        <v>661</v>
      </c>
      <c r="H130" s="1">
        <v>10.0</v>
      </c>
      <c r="S130" s="1">
        <v>10.0</v>
      </c>
      <c r="X130" s="1" t="s">
        <v>634</v>
      </c>
      <c r="Y130" s="1" t="s">
        <v>141</v>
      </c>
      <c r="Z130" s="1">
        <v>400.0</v>
      </c>
      <c r="AE130" s="1">
        <v>332213.0</v>
      </c>
      <c r="AF130" s="1">
        <v>2278.0</v>
      </c>
      <c r="AG130" s="1">
        <v>2.0</v>
      </c>
      <c r="AH130" s="1">
        <v>181.0</v>
      </c>
      <c r="AI130" s="1">
        <v>131.0</v>
      </c>
      <c r="AJ130" s="1">
        <v>90.0</v>
      </c>
      <c r="AK130" s="1">
        <v>180.0</v>
      </c>
      <c r="AL130" s="1">
        <v>19.0</v>
      </c>
    </row>
    <row r="131" ht="15.75" customHeight="1">
      <c r="A131" s="1">
        <v>130.0</v>
      </c>
      <c r="B131" s="1" t="s">
        <v>137</v>
      </c>
      <c r="C131" s="1" t="s">
        <v>667</v>
      </c>
      <c r="E131" s="1">
        <v>50.0</v>
      </c>
      <c r="H131" s="1">
        <v>55.0</v>
      </c>
      <c r="I131" s="1">
        <v>2.0</v>
      </c>
      <c r="J131" s="1">
        <v>2.0</v>
      </c>
      <c r="S131" s="1">
        <v>1.0</v>
      </c>
      <c r="X131" s="1" t="s">
        <v>634</v>
      </c>
      <c r="Y131" s="1" t="s">
        <v>471</v>
      </c>
      <c r="Z131" s="1">
        <v>3000.0</v>
      </c>
      <c r="AE131" s="1">
        <v>332233.0</v>
      </c>
      <c r="AF131" s="1">
        <v>2278.0</v>
      </c>
      <c r="AG131" s="1">
        <v>4.0</v>
      </c>
      <c r="AH131" s="1">
        <v>24.0</v>
      </c>
      <c r="AI131" s="1">
        <v>81.0</v>
      </c>
      <c r="AJ131" s="1">
        <v>33.0</v>
      </c>
      <c r="AK131" s="1">
        <v>160.0</v>
      </c>
    </row>
    <row r="132" ht="15.75" customHeight="1">
      <c r="A132" s="1">
        <v>131.0</v>
      </c>
      <c r="B132" s="1" t="s">
        <v>137</v>
      </c>
      <c r="C132" s="1" t="s">
        <v>670</v>
      </c>
      <c r="H132" s="1">
        <v>7.0</v>
      </c>
      <c r="S132" s="1">
        <v>20.0</v>
      </c>
      <c r="X132" s="1" t="s">
        <v>634</v>
      </c>
      <c r="Y132" s="1" t="s">
        <v>141</v>
      </c>
      <c r="Z132" s="1">
        <v>800.0</v>
      </c>
      <c r="AE132" s="1">
        <v>332213.0</v>
      </c>
      <c r="AF132" s="1">
        <v>2278.0</v>
      </c>
      <c r="AG132" s="1">
        <v>2.0</v>
      </c>
      <c r="AH132" s="1">
        <v>181.0</v>
      </c>
      <c r="AI132" s="1">
        <v>131.0</v>
      </c>
      <c r="AJ132" s="1">
        <v>90.0</v>
      </c>
      <c r="AK132" s="1">
        <v>180.0</v>
      </c>
    </row>
    <row r="133" ht="15.75" customHeight="1">
      <c r="A133" s="1">
        <v>132.0</v>
      </c>
      <c r="B133" s="1" t="s">
        <v>137</v>
      </c>
      <c r="C133" s="1" t="s">
        <v>674</v>
      </c>
      <c r="E133" s="1">
        <v>50.0</v>
      </c>
      <c r="F133" s="1">
        <v>25.0</v>
      </c>
      <c r="H133" s="1">
        <v>18.0</v>
      </c>
      <c r="I133" s="1">
        <v>5.0</v>
      </c>
      <c r="J133" s="1">
        <v>10.0</v>
      </c>
      <c r="K133" s="1">
        <v>10.0</v>
      </c>
      <c r="L133" s="1">
        <v>5.0</v>
      </c>
      <c r="S133" s="1">
        <v>15.0</v>
      </c>
      <c r="X133" s="1" t="s">
        <v>634</v>
      </c>
      <c r="Y133" s="1" t="s">
        <v>141</v>
      </c>
      <c r="AE133" s="1">
        <v>332213.0</v>
      </c>
      <c r="AF133" s="1">
        <v>2278.0</v>
      </c>
      <c r="AG133" s="1">
        <v>2.0</v>
      </c>
      <c r="AH133" s="1">
        <v>132.0</v>
      </c>
      <c r="AI133" s="1">
        <v>77.0</v>
      </c>
      <c r="AJ133" s="1">
        <v>49.0</v>
      </c>
      <c r="AK133" s="1">
        <v>160.0</v>
      </c>
    </row>
    <row r="134" ht="15.75" customHeight="1">
      <c r="A134" s="1">
        <v>133.0</v>
      </c>
      <c r="B134" s="1" t="s">
        <v>137</v>
      </c>
      <c r="C134" s="1" t="s">
        <v>680</v>
      </c>
      <c r="H134" s="1">
        <v>25.0</v>
      </c>
      <c r="S134" s="1">
        <v>34.0</v>
      </c>
      <c r="X134" s="1" t="s">
        <v>634</v>
      </c>
      <c r="Y134" s="1" t="s">
        <v>471</v>
      </c>
      <c r="Z134" s="1">
        <v>2000.0</v>
      </c>
      <c r="AE134" s="1">
        <v>332288.0</v>
      </c>
      <c r="AF134" s="1">
        <v>2278.0</v>
      </c>
      <c r="AG134" s="1">
        <v>9.0</v>
      </c>
      <c r="AH134" s="1">
        <v>255.0</v>
      </c>
      <c r="AI134" s="1">
        <v>255.0</v>
      </c>
      <c r="AJ134" s="1">
        <v>255.0</v>
      </c>
      <c r="AK134" s="1">
        <v>70.0</v>
      </c>
      <c r="AL134" s="1">
        <v>55.0</v>
      </c>
    </row>
    <row r="135" ht="15.75" customHeight="1">
      <c r="A135" s="1">
        <v>134.0</v>
      </c>
      <c r="B135" s="1" t="s">
        <v>137</v>
      </c>
      <c r="C135" s="1" t="s">
        <v>685</v>
      </c>
      <c r="E135" s="1">
        <v>50.0</v>
      </c>
      <c r="F135" s="1">
        <v>50.0</v>
      </c>
      <c r="I135" s="1">
        <v>5.0</v>
      </c>
      <c r="J135" s="1">
        <v>5.0</v>
      </c>
      <c r="K135" s="1">
        <v>5.0</v>
      </c>
      <c r="L135" s="1">
        <v>5.0</v>
      </c>
      <c r="S135" s="1">
        <v>1.0</v>
      </c>
      <c r="X135" s="1" t="s">
        <v>308</v>
      </c>
      <c r="AA135" s="1">
        <v>1.0</v>
      </c>
      <c r="AD135" s="1">
        <v>1.0</v>
      </c>
      <c r="AE135" s="1">
        <v>820210.0</v>
      </c>
      <c r="AF135" s="1">
        <v>20399.0</v>
      </c>
      <c r="AO135" s="1">
        <v>66.0</v>
      </c>
    </row>
    <row r="136" ht="15.75" customHeight="1">
      <c r="A136" s="1">
        <v>135.0</v>
      </c>
      <c r="B136" s="1" t="s">
        <v>137</v>
      </c>
      <c r="C136" s="1" t="s">
        <v>690</v>
      </c>
      <c r="E136" s="1">
        <v>600.0</v>
      </c>
      <c r="F136" s="1">
        <v>600.0</v>
      </c>
      <c r="H136" s="1">
        <v>80.0</v>
      </c>
      <c r="I136" s="1">
        <v>20.0</v>
      </c>
      <c r="J136" s="1">
        <v>20.0</v>
      </c>
      <c r="K136" s="1">
        <v>20.0</v>
      </c>
      <c r="L136" s="1">
        <v>20.0</v>
      </c>
      <c r="M136" s="1">
        <v>3.0</v>
      </c>
      <c r="N136" s="1">
        <v>3.0</v>
      </c>
      <c r="O136" s="1">
        <v>3.0</v>
      </c>
      <c r="P136" s="1">
        <v>3.0</v>
      </c>
      <c r="Q136" s="1">
        <v>3.0</v>
      </c>
      <c r="S136" s="1">
        <v>50.0</v>
      </c>
      <c r="X136" s="1" t="s">
        <v>694</v>
      </c>
      <c r="AA136" s="1">
        <v>1.0</v>
      </c>
      <c r="AE136" s="1">
        <v>820054.0</v>
      </c>
      <c r="AF136" s="1">
        <v>20397.0</v>
      </c>
    </row>
    <row r="137" ht="15.75" customHeight="1">
      <c r="A137" s="1">
        <v>136.0</v>
      </c>
      <c r="B137" s="1" t="s">
        <v>137</v>
      </c>
      <c r="C137" s="1" t="s">
        <v>697</v>
      </c>
      <c r="E137" s="1">
        <v>200.0</v>
      </c>
      <c r="F137" s="1">
        <v>200.0</v>
      </c>
      <c r="H137" s="1">
        <v>60.0</v>
      </c>
      <c r="I137" s="1">
        <v>10.0</v>
      </c>
      <c r="J137" s="1">
        <v>10.0</v>
      </c>
      <c r="K137" s="1">
        <v>10.0</v>
      </c>
      <c r="L137" s="1">
        <v>10.0</v>
      </c>
      <c r="M137" s="1">
        <v>5.0</v>
      </c>
      <c r="N137" s="1">
        <v>5.0</v>
      </c>
      <c r="O137" s="1">
        <v>5.0</v>
      </c>
      <c r="P137" s="1">
        <v>5.0</v>
      </c>
      <c r="Q137" s="1">
        <v>5.0</v>
      </c>
      <c r="S137" s="1">
        <v>50.0</v>
      </c>
      <c r="X137" s="1" t="s">
        <v>316</v>
      </c>
      <c r="AA137" s="1">
        <v>1.0</v>
      </c>
      <c r="AE137" s="1">
        <v>810034.0</v>
      </c>
      <c r="AF137" s="1">
        <v>20107.0</v>
      </c>
      <c r="AH137" s="1">
        <v>255.0</v>
      </c>
      <c r="AI137" s="1">
        <v>255.0</v>
      </c>
      <c r="AJ137" s="1">
        <v>255.0</v>
      </c>
      <c r="AK137" s="1">
        <v>100.0</v>
      </c>
    </row>
    <row r="138" ht="15.75" customHeight="1">
      <c r="A138" s="1">
        <v>137.0</v>
      </c>
      <c r="B138" s="1" t="s">
        <v>137</v>
      </c>
      <c r="C138" s="1" t="s">
        <v>703</v>
      </c>
      <c r="S138" s="1">
        <v>40.0</v>
      </c>
      <c r="X138" s="1" t="s">
        <v>694</v>
      </c>
      <c r="AA138" s="1">
        <v>1.0</v>
      </c>
      <c r="AE138" s="1">
        <v>820059.0</v>
      </c>
      <c r="AF138" s="1">
        <v>20397.0</v>
      </c>
      <c r="AO138" s="1">
        <v>69.0</v>
      </c>
    </row>
    <row r="139" ht="15.75" customHeight="1">
      <c r="A139" s="1">
        <v>138.0</v>
      </c>
      <c r="B139" s="1" t="s">
        <v>137</v>
      </c>
      <c r="C139" s="1" t="s">
        <v>707</v>
      </c>
      <c r="E139" s="1">
        <v>300.0</v>
      </c>
      <c r="F139" s="1">
        <v>300.0</v>
      </c>
      <c r="I139" s="1">
        <v>5.0</v>
      </c>
      <c r="J139" s="1">
        <v>5.0</v>
      </c>
      <c r="K139" s="1">
        <v>5.0</v>
      </c>
      <c r="L139" s="1">
        <v>5.0</v>
      </c>
      <c r="S139" s="1">
        <v>50.0</v>
      </c>
      <c r="X139" s="1" t="s">
        <v>709</v>
      </c>
      <c r="Z139" s="1">
        <v>700000.0</v>
      </c>
      <c r="AA139" s="1">
        <v>1.0</v>
      </c>
      <c r="AD139" s="1">
        <v>1.0</v>
      </c>
      <c r="AE139" s="1">
        <v>820082.0</v>
      </c>
      <c r="AF139" s="1">
        <v>20397.0</v>
      </c>
      <c r="AO139" s="1">
        <v>71.0</v>
      </c>
    </row>
    <row r="140" ht="15.75" customHeight="1">
      <c r="A140" s="1">
        <v>139.0</v>
      </c>
      <c r="B140" s="1" t="s">
        <v>137</v>
      </c>
      <c r="C140" s="1" t="s">
        <v>713</v>
      </c>
      <c r="F140" s="1">
        <v>90.0</v>
      </c>
      <c r="H140" s="1">
        <v>60.0</v>
      </c>
      <c r="J140" s="1">
        <v>6.0</v>
      </c>
      <c r="L140" s="1">
        <v>6.0</v>
      </c>
      <c r="X140" s="1" t="s">
        <v>715</v>
      </c>
      <c r="Z140" s="1">
        <v>50000.0</v>
      </c>
      <c r="AA140" s="1">
        <v>1.0</v>
      </c>
      <c r="AD140" s="1">
        <v>1.0</v>
      </c>
      <c r="AE140" s="1">
        <v>820278.0</v>
      </c>
      <c r="AF140" s="1">
        <v>20399.0</v>
      </c>
      <c r="AO140" s="1">
        <v>66.0</v>
      </c>
      <c r="AR140" s="1">
        <v>5.0</v>
      </c>
    </row>
    <row r="141" ht="15.75" customHeight="1">
      <c r="A141" s="1">
        <v>140.0</v>
      </c>
      <c r="B141" s="1" t="s">
        <v>137</v>
      </c>
      <c r="C141" s="1" t="s">
        <v>718</v>
      </c>
      <c r="E141" s="1">
        <v>150.0</v>
      </c>
      <c r="F141" s="1">
        <v>75.0</v>
      </c>
      <c r="H141" s="1">
        <v>25.0</v>
      </c>
      <c r="I141" s="1">
        <v>20.0</v>
      </c>
      <c r="J141" s="1">
        <v>10.0</v>
      </c>
      <c r="K141" s="1">
        <v>10.0</v>
      </c>
      <c r="L141" s="1">
        <v>5.0</v>
      </c>
      <c r="M141" s="1">
        <v>10.0</v>
      </c>
      <c r="N141" s="1">
        <v>10.0</v>
      </c>
      <c r="O141" s="1">
        <v>5.0</v>
      </c>
      <c r="P141" s="1">
        <v>10.0</v>
      </c>
      <c r="Q141" s="1">
        <v>10.0</v>
      </c>
      <c r="S141" s="1">
        <v>40.0</v>
      </c>
      <c r="X141" s="1" t="s">
        <v>308</v>
      </c>
      <c r="AE141" s="1">
        <v>820209.0</v>
      </c>
      <c r="AF141" s="1">
        <v>20399.0</v>
      </c>
    </row>
    <row r="142" ht="15.75" customHeight="1">
      <c r="A142" s="1">
        <v>141.0</v>
      </c>
      <c r="B142" s="1" t="s">
        <v>137</v>
      </c>
      <c r="C142" s="1" t="s">
        <v>722</v>
      </c>
      <c r="F142" s="1">
        <v>30.0</v>
      </c>
      <c r="L142" s="1">
        <v>1.0</v>
      </c>
      <c r="S142" s="1">
        <v>18.0</v>
      </c>
      <c r="X142" s="1" t="s">
        <v>709</v>
      </c>
      <c r="Z142" s="1">
        <v>50.0</v>
      </c>
      <c r="AA142" s="1">
        <v>1.0</v>
      </c>
      <c r="AE142" s="1">
        <v>821117.0</v>
      </c>
      <c r="AF142" s="1">
        <v>20408.0</v>
      </c>
    </row>
    <row r="143" ht="15.75" customHeight="1">
      <c r="A143" s="1">
        <v>142.0</v>
      </c>
      <c r="B143" s="1" t="s">
        <v>137</v>
      </c>
      <c r="C143" s="1" t="s">
        <v>726</v>
      </c>
      <c r="E143" s="1">
        <v>25.0</v>
      </c>
      <c r="F143" s="1">
        <v>25.0</v>
      </c>
      <c r="H143" s="1">
        <v>5.0</v>
      </c>
      <c r="I143" s="1">
        <v>1.0</v>
      </c>
      <c r="J143" s="1">
        <v>1.0</v>
      </c>
      <c r="K143" s="1">
        <v>1.0</v>
      </c>
      <c r="L143" s="1">
        <v>1.0</v>
      </c>
      <c r="S143" s="1">
        <v>1.0</v>
      </c>
      <c r="X143" s="1" t="s">
        <v>308</v>
      </c>
      <c r="AE143" s="1">
        <v>820209.0</v>
      </c>
      <c r="AF143" s="1">
        <v>20399.0</v>
      </c>
    </row>
    <row r="144" ht="15.75" customHeight="1">
      <c r="A144" s="1">
        <v>143.0</v>
      </c>
      <c r="B144" s="1" t="s">
        <v>137</v>
      </c>
      <c r="C144" s="1" t="s">
        <v>729</v>
      </c>
      <c r="E144" s="1">
        <v>50.0</v>
      </c>
      <c r="F144" s="1">
        <v>50.0</v>
      </c>
      <c r="H144" s="1">
        <v>50.0</v>
      </c>
      <c r="I144" s="1">
        <v>5.0</v>
      </c>
      <c r="J144" s="1">
        <v>5.0</v>
      </c>
      <c r="K144" s="1">
        <v>5.0</v>
      </c>
      <c r="L144" s="1">
        <v>5.0</v>
      </c>
      <c r="S144" s="1">
        <v>1.0</v>
      </c>
      <c r="X144" s="1" t="s">
        <v>709</v>
      </c>
      <c r="Z144" s="1">
        <v>800000.0</v>
      </c>
      <c r="AE144" s="1">
        <v>820082.0</v>
      </c>
      <c r="AF144" s="1">
        <v>20397.0</v>
      </c>
      <c r="AH144" s="1">
        <v>24.0</v>
      </c>
      <c r="AI144" s="1">
        <v>81.0</v>
      </c>
      <c r="AJ144" s="1">
        <v>33.0</v>
      </c>
      <c r="AK144" s="1">
        <v>160.0</v>
      </c>
      <c r="AO144" s="1">
        <v>71.0</v>
      </c>
      <c r="AR144" s="1">
        <v>10.0</v>
      </c>
    </row>
    <row r="145" ht="15.75" customHeight="1">
      <c r="A145" s="1">
        <v>144.0</v>
      </c>
      <c r="B145" s="1" t="s">
        <v>137</v>
      </c>
      <c r="C145" s="1" t="s">
        <v>733</v>
      </c>
      <c r="S145" s="1">
        <v>40.0</v>
      </c>
      <c r="X145" s="1" t="s">
        <v>694</v>
      </c>
      <c r="AA145" s="1">
        <v>1.0</v>
      </c>
      <c r="AE145" s="1">
        <v>820061.0</v>
      </c>
      <c r="AF145" s="1">
        <v>20397.0</v>
      </c>
      <c r="AO145" s="1">
        <v>67.0</v>
      </c>
    </row>
    <row r="146" ht="15.75" customHeight="1">
      <c r="A146" s="1">
        <v>145.0</v>
      </c>
      <c r="B146" s="1" t="s">
        <v>137</v>
      </c>
      <c r="C146" s="1" t="s">
        <v>735</v>
      </c>
      <c r="E146" s="1">
        <v>25.0</v>
      </c>
      <c r="F146" s="1">
        <v>25.0</v>
      </c>
      <c r="H146" s="1">
        <v>50.0</v>
      </c>
      <c r="I146" s="1">
        <v>5.0</v>
      </c>
      <c r="J146" s="1">
        <v>5.0</v>
      </c>
      <c r="K146" s="1">
        <v>5.0</v>
      </c>
      <c r="L146" s="1">
        <v>5.0</v>
      </c>
      <c r="S146" s="1">
        <v>50.0</v>
      </c>
      <c r="X146" s="1" t="s">
        <v>737</v>
      </c>
      <c r="AE146" s="1">
        <v>820093.0</v>
      </c>
      <c r="AF146" s="1">
        <v>20397.0</v>
      </c>
    </row>
    <row r="147" ht="15.75" customHeight="1">
      <c r="A147" s="1">
        <v>146.0</v>
      </c>
      <c r="B147" s="1" t="s">
        <v>137</v>
      </c>
      <c r="C147" s="1" t="s">
        <v>739</v>
      </c>
      <c r="H147" s="1">
        <v>40.0</v>
      </c>
      <c r="I147" s="1">
        <v>5.0</v>
      </c>
      <c r="J147" s="1">
        <v>15.0</v>
      </c>
      <c r="L147" s="1">
        <v>15.0</v>
      </c>
      <c r="S147" s="1">
        <v>43.0</v>
      </c>
      <c r="X147" s="1" t="s">
        <v>737</v>
      </c>
      <c r="AA147" s="1">
        <v>1.0</v>
      </c>
      <c r="AE147" s="1">
        <v>820096.0</v>
      </c>
      <c r="AF147" s="1">
        <v>20397.0</v>
      </c>
    </row>
    <row r="148" ht="15.75" customHeight="1">
      <c r="A148" s="1">
        <v>147.0</v>
      </c>
      <c r="B148" s="1" t="s">
        <v>137</v>
      </c>
      <c r="C148" s="1" t="s">
        <v>742</v>
      </c>
      <c r="H148" s="1">
        <v>35.0</v>
      </c>
      <c r="K148" s="1">
        <v>16.0</v>
      </c>
      <c r="S148" s="1">
        <v>30.0</v>
      </c>
      <c r="X148" s="1" t="s">
        <v>140</v>
      </c>
      <c r="Y148" s="1" t="s">
        <v>141</v>
      </c>
      <c r="Z148" s="1">
        <v>75000.0</v>
      </c>
      <c r="AA148" s="1">
        <v>1.0</v>
      </c>
      <c r="AE148" s="1">
        <v>332201.0</v>
      </c>
      <c r="AF148" s="1">
        <v>2278.0</v>
      </c>
      <c r="AG148" s="1">
        <v>20.0</v>
      </c>
      <c r="AH148" s="1">
        <v>255.0</v>
      </c>
      <c r="AI148" s="1">
        <v>128.0</v>
      </c>
      <c r="AJ148" s="1">
        <v>255.0</v>
      </c>
      <c r="AK148" s="1">
        <v>160.0</v>
      </c>
      <c r="AL148" s="1">
        <v>37.0</v>
      </c>
    </row>
    <row r="149" ht="15.75" customHeight="1">
      <c r="A149" s="1">
        <v>148.0</v>
      </c>
      <c r="B149" s="1" t="s">
        <v>137</v>
      </c>
      <c r="C149" s="1" t="s">
        <v>746</v>
      </c>
      <c r="H149" s="1">
        <v>35.0</v>
      </c>
      <c r="S149" s="1">
        <v>18.0</v>
      </c>
      <c r="X149" s="1" t="s">
        <v>140</v>
      </c>
      <c r="Y149" s="1" t="s">
        <v>471</v>
      </c>
      <c r="Z149" s="1">
        <v>2000.0</v>
      </c>
      <c r="AE149" s="1">
        <v>332231.0</v>
      </c>
      <c r="AF149" s="1">
        <v>2278.0</v>
      </c>
      <c r="AG149" s="1">
        <v>11.0</v>
      </c>
      <c r="AH149" s="1">
        <v>250.0</v>
      </c>
      <c r="AI149" s="1">
        <v>150.0</v>
      </c>
      <c r="AJ149" s="1">
        <v>50.0</v>
      </c>
      <c r="AK149" s="1">
        <v>140.0</v>
      </c>
      <c r="AL149" s="1">
        <v>51.0</v>
      </c>
    </row>
    <row r="150" ht="15.75" customHeight="1">
      <c r="A150" s="1">
        <v>149.0</v>
      </c>
      <c r="B150" s="1" t="s">
        <v>137</v>
      </c>
      <c r="C150" s="1" t="s">
        <v>751</v>
      </c>
      <c r="H150" s="1">
        <v>100.0</v>
      </c>
      <c r="I150" s="1">
        <v>8.0</v>
      </c>
      <c r="J150" s="1">
        <v>8.0</v>
      </c>
      <c r="K150" s="1">
        <v>4.0</v>
      </c>
      <c r="S150" s="1">
        <v>50.0</v>
      </c>
      <c r="X150" s="1" t="s">
        <v>140</v>
      </c>
      <c r="Y150" s="1" t="s">
        <v>471</v>
      </c>
      <c r="AE150" s="1">
        <v>332231.0</v>
      </c>
      <c r="AF150" s="1">
        <v>2278.0</v>
      </c>
      <c r="AG150" s="1">
        <v>11.0</v>
      </c>
      <c r="AH150" s="1">
        <v>66.0</v>
      </c>
      <c r="AI150" s="1">
        <v>69.0</v>
      </c>
      <c r="AJ150" s="1">
        <v>189.0</v>
      </c>
      <c r="AK150" s="1">
        <v>150.0</v>
      </c>
      <c r="AL150" s="1">
        <v>55.0</v>
      </c>
    </row>
    <row r="151" ht="15.75" customHeight="1">
      <c r="A151" s="1">
        <v>150.0</v>
      </c>
      <c r="B151" s="1" t="s">
        <v>137</v>
      </c>
      <c r="C151" s="1" t="s">
        <v>754</v>
      </c>
      <c r="H151" s="1">
        <v>10.0</v>
      </c>
      <c r="S151" s="1">
        <v>1.0</v>
      </c>
      <c r="X151" s="1" t="s">
        <v>140</v>
      </c>
      <c r="Y151" s="1" t="s">
        <v>141</v>
      </c>
      <c r="Z151" s="1">
        <v>400.0</v>
      </c>
      <c r="AE151" s="1">
        <v>332272.0</v>
      </c>
      <c r="AF151" s="1">
        <v>2278.0</v>
      </c>
      <c r="AG151" s="1">
        <v>21.0</v>
      </c>
    </row>
    <row r="152" ht="15.75" customHeight="1">
      <c r="A152" s="1">
        <v>151.0</v>
      </c>
      <c r="B152" s="1" t="s">
        <v>137</v>
      </c>
      <c r="C152" s="1" t="s">
        <v>758</v>
      </c>
      <c r="E152" s="1">
        <v>50.0</v>
      </c>
      <c r="F152" s="1">
        <v>200.0</v>
      </c>
      <c r="H152" s="1">
        <v>150.0</v>
      </c>
      <c r="K152" s="1">
        <v>15.0</v>
      </c>
      <c r="L152" s="1">
        <v>15.0</v>
      </c>
      <c r="S152" s="1">
        <v>49.0</v>
      </c>
      <c r="X152" s="1" t="s">
        <v>140</v>
      </c>
      <c r="Y152" s="1" t="s">
        <v>141</v>
      </c>
      <c r="AA152" s="1">
        <v>1.0</v>
      </c>
      <c r="AE152" s="1">
        <v>332201.0</v>
      </c>
      <c r="AF152" s="1">
        <v>2278.0</v>
      </c>
      <c r="AG152" s="1">
        <v>20.0</v>
      </c>
      <c r="AL152" s="1">
        <v>15.0</v>
      </c>
    </row>
    <row r="153" ht="15.75" customHeight="1">
      <c r="A153" s="1">
        <v>152.0</v>
      </c>
      <c r="B153" s="1" t="s">
        <v>137</v>
      </c>
      <c r="C153" s="1" t="s">
        <v>762</v>
      </c>
      <c r="E153" s="1">
        <v>150.0</v>
      </c>
      <c r="H153" s="1">
        <v>250.0</v>
      </c>
      <c r="I153" s="1">
        <v>15.0</v>
      </c>
      <c r="J153" s="1">
        <v>15.0</v>
      </c>
      <c r="K153" s="1">
        <v>10.0</v>
      </c>
      <c r="S153" s="1">
        <v>50.0</v>
      </c>
      <c r="X153" s="1" t="s">
        <v>140</v>
      </c>
      <c r="Y153" s="1" t="s">
        <v>471</v>
      </c>
      <c r="AE153" s="1">
        <v>51331.0</v>
      </c>
      <c r="AF153" s="1">
        <v>2282.0</v>
      </c>
      <c r="AG153" s="1">
        <v>36.0</v>
      </c>
      <c r="AH153" s="1">
        <v>231.0</v>
      </c>
      <c r="AI153" s="1">
        <v>223.0</v>
      </c>
      <c r="AJ153" s="1">
        <v>107.0</v>
      </c>
      <c r="AK153" s="1">
        <v>160.0</v>
      </c>
      <c r="AL153" s="1">
        <v>51.0</v>
      </c>
    </row>
    <row r="154" ht="15.75" customHeight="1">
      <c r="A154" s="1">
        <v>153.0</v>
      </c>
      <c r="B154" s="1" t="s">
        <v>137</v>
      </c>
      <c r="C154" s="1" t="s">
        <v>768</v>
      </c>
      <c r="H154" s="1">
        <v>70.0</v>
      </c>
      <c r="I154" s="1">
        <v>5.0</v>
      </c>
      <c r="J154" s="1">
        <v>5.0</v>
      </c>
      <c r="K154" s="1">
        <v>5.0</v>
      </c>
      <c r="L154" s="1">
        <v>5.0</v>
      </c>
      <c r="S154" s="1">
        <v>50.0</v>
      </c>
      <c r="X154" s="1" t="s">
        <v>140</v>
      </c>
      <c r="Y154" s="1" t="s">
        <v>141</v>
      </c>
      <c r="AE154" s="1">
        <v>332245.0</v>
      </c>
      <c r="AF154" s="1">
        <v>2278.0</v>
      </c>
      <c r="AG154" s="1">
        <v>15.0</v>
      </c>
      <c r="AH154" s="1">
        <v>49.0</v>
      </c>
      <c r="AI154" s="1">
        <v>65.0</v>
      </c>
      <c r="AJ154" s="1">
        <v>148.0</v>
      </c>
      <c r="AK154" s="1">
        <v>160.0</v>
      </c>
      <c r="AL154" s="1">
        <v>31.0</v>
      </c>
    </row>
    <row r="155" ht="15.75" customHeight="1">
      <c r="A155" s="1">
        <v>154.0</v>
      </c>
      <c r="B155" s="1" t="s">
        <v>137</v>
      </c>
      <c r="C155" s="1" t="s">
        <v>770</v>
      </c>
      <c r="H155" s="1">
        <v>40.0</v>
      </c>
      <c r="S155" s="1">
        <v>26.0</v>
      </c>
      <c r="X155" s="1" t="s">
        <v>140</v>
      </c>
      <c r="Y155" s="1" t="s">
        <v>471</v>
      </c>
      <c r="Z155" s="1">
        <v>3500.0</v>
      </c>
      <c r="AE155" s="1">
        <v>332231.0</v>
      </c>
      <c r="AF155" s="1">
        <v>2278.0</v>
      </c>
      <c r="AG155" s="1">
        <v>11.0</v>
      </c>
      <c r="AL155" s="1">
        <v>51.0</v>
      </c>
    </row>
    <row r="156" ht="15.75" customHeight="1">
      <c r="A156" s="1">
        <v>155.0</v>
      </c>
      <c r="B156" s="1" t="s">
        <v>137</v>
      </c>
      <c r="C156" s="1" t="s">
        <v>773</v>
      </c>
      <c r="H156" s="1">
        <v>15.0</v>
      </c>
      <c r="S156" s="1">
        <v>10.0</v>
      </c>
      <c r="X156" s="1" t="s">
        <v>140</v>
      </c>
      <c r="Y156" s="1" t="s">
        <v>141</v>
      </c>
      <c r="Z156" s="1">
        <v>1000.0</v>
      </c>
      <c r="AE156" s="1">
        <v>332272.0</v>
      </c>
      <c r="AF156" s="1">
        <v>2278.0</v>
      </c>
      <c r="AG156" s="1">
        <v>21.0</v>
      </c>
      <c r="AL156" s="1">
        <v>19.0</v>
      </c>
    </row>
    <row r="157" ht="15.75" customHeight="1">
      <c r="A157" s="1">
        <v>156.0</v>
      </c>
      <c r="B157" s="1" t="s">
        <v>137</v>
      </c>
      <c r="C157" s="1" t="s">
        <v>777</v>
      </c>
      <c r="E157" s="1">
        <v>50.0</v>
      </c>
      <c r="F157" s="1">
        <v>50.0</v>
      </c>
      <c r="H157" s="1">
        <v>80.0</v>
      </c>
      <c r="I157" s="1">
        <v>5.0</v>
      </c>
      <c r="J157" s="1">
        <v>5.0</v>
      </c>
      <c r="K157" s="1">
        <v>5.0</v>
      </c>
      <c r="L157" s="1">
        <v>5.0</v>
      </c>
      <c r="S157" s="1">
        <v>1.0</v>
      </c>
      <c r="X157" s="1" t="s">
        <v>140</v>
      </c>
      <c r="Y157" s="1" t="s">
        <v>141</v>
      </c>
      <c r="Z157" s="1">
        <v>1000.0</v>
      </c>
      <c r="AE157" s="1">
        <v>332236.0</v>
      </c>
      <c r="AF157" s="1">
        <v>2278.0</v>
      </c>
      <c r="AG157" s="1">
        <v>12.0</v>
      </c>
      <c r="AH157" s="1">
        <v>24.0</v>
      </c>
      <c r="AI157" s="1">
        <v>81.0</v>
      </c>
      <c r="AJ157" s="1">
        <v>33.0</v>
      </c>
      <c r="AK157" s="1">
        <v>160.0</v>
      </c>
    </row>
    <row r="158" ht="15.75" customHeight="1">
      <c r="A158" s="1">
        <v>157.0</v>
      </c>
      <c r="B158" s="1" t="s">
        <v>137</v>
      </c>
      <c r="C158" s="1" t="s">
        <v>781</v>
      </c>
      <c r="E158" s="1">
        <v>100.0</v>
      </c>
      <c r="F158" s="1">
        <v>25.0</v>
      </c>
      <c r="H158" s="1">
        <v>75.0</v>
      </c>
      <c r="I158" s="1">
        <v>5.0</v>
      </c>
      <c r="J158" s="1">
        <v>5.0</v>
      </c>
      <c r="K158" s="1">
        <v>5.0</v>
      </c>
      <c r="L158" s="1">
        <v>5.0</v>
      </c>
      <c r="S158" s="1">
        <v>1.0</v>
      </c>
      <c r="X158" s="1" t="s">
        <v>140</v>
      </c>
      <c r="Y158" s="1" t="s">
        <v>141</v>
      </c>
      <c r="Z158" s="1">
        <v>2000.0</v>
      </c>
      <c r="AE158" s="1">
        <v>51331.0</v>
      </c>
      <c r="AF158" s="1">
        <v>2282.0</v>
      </c>
      <c r="AG158" s="1">
        <v>36.0</v>
      </c>
      <c r="AH158" s="1">
        <v>24.0</v>
      </c>
      <c r="AI158" s="1">
        <v>81.0</v>
      </c>
      <c r="AJ158" s="1">
        <v>33.0</v>
      </c>
      <c r="AK158" s="1">
        <v>160.0</v>
      </c>
    </row>
    <row r="159" ht="15.75" customHeight="1">
      <c r="A159" s="1">
        <v>158.0</v>
      </c>
      <c r="B159" s="1" t="s">
        <v>137</v>
      </c>
      <c r="C159" s="1" t="s">
        <v>785</v>
      </c>
      <c r="H159" s="1">
        <v>20.0</v>
      </c>
      <c r="S159" s="1">
        <v>20.0</v>
      </c>
      <c r="X159" s="1" t="s">
        <v>140</v>
      </c>
      <c r="Y159" s="1" t="s">
        <v>141</v>
      </c>
      <c r="Z159" s="1">
        <v>2000.0</v>
      </c>
      <c r="AE159" s="1">
        <v>820002.0</v>
      </c>
      <c r="AF159" s="1">
        <v>20397.0</v>
      </c>
      <c r="AG159" s="1">
        <v>118.0</v>
      </c>
      <c r="AL159" s="1">
        <v>15.0</v>
      </c>
    </row>
    <row r="160" ht="15.75" customHeight="1">
      <c r="A160" s="1">
        <v>159.0</v>
      </c>
      <c r="B160" s="1" t="s">
        <v>137</v>
      </c>
      <c r="C160" s="1" t="s">
        <v>788</v>
      </c>
      <c r="H160" s="1">
        <v>60.0</v>
      </c>
      <c r="S160" s="1">
        <v>34.0</v>
      </c>
      <c r="X160" s="1" t="s">
        <v>140</v>
      </c>
      <c r="Y160" s="1" t="s">
        <v>471</v>
      </c>
      <c r="Z160" s="1">
        <v>5000.0</v>
      </c>
      <c r="AE160" s="1">
        <v>332231.0</v>
      </c>
      <c r="AF160" s="1">
        <v>2278.0</v>
      </c>
      <c r="AG160" s="1">
        <v>11.0</v>
      </c>
      <c r="AH160" s="1">
        <v>255.0</v>
      </c>
      <c r="AI160" s="1">
        <v>255.0</v>
      </c>
      <c r="AJ160" s="1">
        <v>255.0</v>
      </c>
      <c r="AK160" s="1">
        <v>70.0</v>
      </c>
      <c r="AL160" s="1">
        <v>55.0</v>
      </c>
    </row>
    <row r="161" ht="15.75" customHeight="1">
      <c r="A161" s="1">
        <v>160.0</v>
      </c>
      <c r="B161" s="1" t="s">
        <v>137</v>
      </c>
      <c r="C161" s="1" t="s">
        <v>792</v>
      </c>
      <c r="H161" s="1">
        <v>60.0</v>
      </c>
      <c r="I161" s="1">
        <v>6.0</v>
      </c>
      <c r="J161" s="1">
        <v>6.0</v>
      </c>
      <c r="K161" s="1">
        <v>6.0</v>
      </c>
      <c r="L161" s="1">
        <v>6.0</v>
      </c>
      <c r="S161" s="1">
        <v>20.0</v>
      </c>
      <c r="X161" s="1" t="s">
        <v>140</v>
      </c>
      <c r="Y161" s="1" t="s">
        <v>471</v>
      </c>
      <c r="Z161" s="1">
        <v>1000.0</v>
      </c>
      <c r="AE161" s="1">
        <v>332231.0</v>
      </c>
      <c r="AF161" s="1">
        <v>2278.0</v>
      </c>
      <c r="AG161" s="1">
        <v>11.0</v>
      </c>
      <c r="AH161" s="1">
        <v>123.0</v>
      </c>
      <c r="AI161" s="1">
        <v>48.0</v>
      </c>
      <c r="AJ161" s="1">
        <v>123.0</v>
      </c>
      <c r="AK161" s="1">
        <v>160.0</v>
      </c>
      <c r="AO161" s="1">
        <v>73.0</v>
      </c>
    </row>
    <row r="162" ht="15.75" customHeight="1">
      <c r="A162" s="1">
        <v>161.0</v>
      </c>
      <c r="B162" s="1" t="s">
        <v>137</v>
      </c>
      <c r="C162" s="1" t="s">
        <v>798</v>
      </c>
      <c r="E162" s="1">
        <v>300.0</v>
      </c>
      <c r="F162" s="1">
        <v>300.0</v>
      </c>
      <c r="H162" s="1">
        <v>125.0</v>
      </c>
      <c r="I162" s="1">
        <v>25.0</v>
      </c>
      <c r="J162" s="1">
        <v>25.0</v>
      </c>
      <c r="K162" s="1">
        <v>25.0</v>
      </c>
      <c r="L162" s="1">
        <v>25.0</v>
      </c>
      <c r="S162" s="1">
        <v>25.0</v>
      </c>
      <c r="X162" s="1" t="s">
        <v>140</v>
      </c>
      <c r="Y162" s="1" t="s">
        <v>141</v>
      </c>
      <c r="AA162" s="1">
        <v>1.0</v>
      </c>
      <c r="AD162" s="1">
        <v>1.0</v>
      </c>
      <c r="AE162" s="1">
        <v>332245.0</v>
      </c>
      <c r="AF162" s="1">
        <v>2278.0</v>
      </c>
      <c r="AG162" s="1">
        <v>15.0</v>
      </c>
      <c r="AH162" s="1">
        <v>132.0</v>
      </c>
      <c r="AI162" s="1">
        <v>77.0</v>
      </c>
      <c r="AJ162" s="1">
        <v>49.0</v>
      </c>
      <c r="AK162" s="1">
        <v>160.0</v>
      </c>
    </row>
    <row r="163" ht="15.75" customHeight="1">
      <c r="A163" s="1">
        <v>162.0</v>
      </c>
      <c r="B163" s="1" t="s">
        <v>137</v>
      </c>
      <c r="C163" s="1" t="s">
        <v>803</v>
      </c>
      <c r="E163" s="1">
        <v>80.0</v>
      </c>
      <c r="F163" s="1">
        <v>300.0</v>
      </c>
      <c r="H163" s="1">
        <v>190.0</v>
      </c>
      <c r="J163" s="1">
        <v>5.0</v>
      </c>
      <c r="K163" s="1">
        <v>5.0</v>
      </c>
      <c r="L163" s="1">
        <v>30.0</v>
      </c>
      <c r="S163" s="1">
        <v>50.0</v>
      </c>
      <c r="X163" s="1" t="s">
        <v>140</v>
      </c>
      <c r="Y163" s="1" t="s">
        <v>141</v>
      </c>
      <c r="AA163" s="1">
        <v>1.0</v>
      </c>
      <c r="AE163" s="1">
        <v>820002.0</v>
      </c>
      <c r="AF163" s="1">
        <v>20397.0</v>
      </c>
      <c r="AG163" s="1">
        <v>118.0</v>
      </c>
      <c r="AH163" s="1">
        <v>82.0</v>
      </c>
      <c r="AI163" s="1">
        <v>138.0</v>
      </c>
      <c r="AJ163" s="1">
        <v>156.0</v>
      </c>
      <c r="AK163" s="1">
        <v>190.0</v>
      </c>
      <c r="AL163" s="1">
        <v>15.0</v>
      </c>
    </row>
    <row r="164" ht="15.75" customHeight="1">
      <c r="A164" s="1">
        <v>163.0</v>
      </c>
      <c r="B164" s="1" t="s">
        <v>137</v>
      </c>
      <c r="C164" s="1" t="s">
        <v>807</v>
      </c>
      <c r="E164" s="1">
        <v>150.0</v>
      </c>
      <c r="F164" s="1">
        <v>150.0</v>
      </c>
      <c r="H164" s="1">
        <v>75.0</v>
      </c>
      <c r="I164" s="1">
        <v>15.0</v>
      </c>
      <c r="J164" s="1">
        <v>15.0</v>
      </c>
      <c r="K164" s="1">
        <v>15.0</v>
      </c>
      <c r="L164" s="1">
        <v>15.0</v>
      </c>
      <c r="S164" s="1">
        <v>25.0</v>
      </c>
      <c r="X164" s="1" t="s">
        <v>564</v>
      </c>
      <c r="Y164" s="1" t="s">
        <v>141</v>
      </c>
      <c r="AA164" s="1">
        <v>1.0</v>
      </c>
      <c r="AE164" s="1">
        <v>332204.0</v>
      </c>
      <c r="AF164" s="1">
        <v>2278.0</v>
      </c>
      <c r="AG164" s="1">
        <v>1.0</v>
      </c>
      <c r="AH164" s="1">
        <v>132.0</v>
      </c>
      <c r="AI164" s="1">
        <v>77.0</v>
      </c>
      <c r="AJ164" s="1">
        <v>49.0</v>
      </c>
      <c r="AK164" s="1">
        <v>160.0</v>
      </c>
    </row>
    <row r="165" ht="15.75" customHeight="1">
      <c r="A165" s="1">
        <v>164.0</v>
      </c>
      <c r="B165" s="1" t="s">
        <v>137</v>
      </c>
      <c r="C165" s="1" t="s">
        <v>816</v>
      </c>
      <c r="E165" s="1">
        <v>50.0</v>
      </c>
      <c r="H165" s="1">
        <v>25.0</v>
      </c>
      <c r="I165" s="1">
        <v>3.0</v>
      </c>
      <c r="J165" s="1">
        <v>3.0</v>
      </c>
      <c r="K165" s="1">
        <v>3.0</v>
      </c>
      <c r="S165" s="1">
        <v>50.0</v>
      </c>
      <c r="X165" s="1" t="s">
        <v>634</v>
      </c>
      <c r="Y165" s="1" t="s">
        <v>471</v>
      </c>
      <c r="AE165" s="1">
        <v>332233.0</v>
      </c>
      <c r="AF165" s="1">
        <v>2278.0</v>
      </c>
      <c r="AG165" s="1">
        <v>4.0</v>
      </c>
      <c r="AL165" s="1">
        <v>55.0</v>
      </c>
    </row>
    <row r="166" ht="15.75" customHeight="1">
      <c r="A166" s="1">
        <v>165.0</v>
      </c>
      <c r="B166" s="1" t="s">
        <v>137</v>
      </c>
      <c r="C166" s="1" t="s">
        <v>821</v>
      </c>
      <c r="E166" s="1">
        <v>75.0</v>
      </c>
      <c r="H166" s="1">
        <v>35.0</v>
      </c>
      <c r="I166" s="1">
        <v>5.0</v>
      </c>
      <c r="J166" s="1">
        <v>5.0</v>
      </c>
      <c r="K166" s="1">
        <v>5.0</v>
      </c>
      <c r="S166" s="1">
        <v>50.0</v>
      </c>
      <c r="X166" s="1" t="s">
        <v>564</v>
      </c>
      <c r="Y166" s="1" t="s">
        <v>471</v>
      </c>
      <c r="AE166" s="1">
        <v>51332.0</v>
      </c>
      <c r="AF166" s="1">
        <v>2282.0</v>
      </c>
      <c r="AG166" s="1">
        <v>14.0</v>
      </c>
      <c r="AL166" s="1">
        <v>59.0</v>
      </c>
    </row>
    <row r="167" ht="15.75" customHeight="1">
      <c r="A167" s="1">
        <v>166.0</v>
      </c>
      <c r="B167" s="1" t="s">
        <v>137</v>
      </c>
      <c r="C167" s="1" t="s">
        <v>824</v>
      </c>
      <c r="E167" s="1">
        <v>75.0</v>
      </c>
      <c r="F167" s="1">
        <v>75.0</v>
      </c>
      <c r="H167" s="1">
        <v>100.0</v>
      </c>
      <c r="I167" s="1">
        <v>10.0</v>
      </c>
      <c r="J167" s="1">
        <v>10.0</v>
      </c>
      <c r="K167" s="1">
        <v>10.0</v>
      </c>
      <c r="L167" s="1">
        <v>10.0</v>
      </c>
      <c r="S167" s="1">
        <v>49.0</v>
      </c>
      <c r="X167" s="1" t="s">
        <v>564</v>
      </c>
      <c r="Y167" s="1" t="s">
        <v>471</v>
      </c>
      <c r="AE167" s="1">
        <v>51332.0</v>
      </c>
      <c r="AF167" s="1">
        <v>2282.0</v>
      </c>
      <c r="AG167" s="1">
        <v>14.0</v>
      </c>
      <c r="AK167" s="1">
        <v>160.0</v>
      </c>
    </row>
    <row r="168" ht="15.75" customHeight="1">
      <c r="A168" s="1">
        <v>167.0</v>
      </c>
      <c r="B168" s="1" t="s">
        <v>137</v>
      </c>
      <c r="C168" s="1" t="s">
        <v>830</v>
      </c>
      <c r="E168" s="1">
        <v>150.0</v>
      </c>
      <c r="H168" s="1">
        <v>200.0</v>
      </c>
      <c r="I168" s="1">
        <v>15.0</v>
      </c>
      <c r="J168" s="1">
        <v>15.0</v>
      </c>
      <c r="K168" s="1">
        <v>15.0</v>
      </c>
      <c r="S168" s="1">
        <v>49.0</v>
      </c>
      <c r="X168" s="1" t="s">
        <v>140</v>
      </c>
      <c r="Y168" s="1" t="s">
        <v>471</v>
      </c>
      <c r="AE168" s="1">
        <v>51331.0</v>
      </c>
      <c r="AF168" s="1">
        <v>2282.0</v>
      </c>
      <c r="AG168" s="1">
        <v>36.0</v>
      </c>
      <c r="AK168" s="1">
        <v>160.0</v>
      </c>
      <c r="AL168" s="1">
        <v>51.0</v>
      </c>
    </row>
    <row r="169" ht="15.75" customHeight="1">
      <c r="A169" s="1">
        <v>168.0</v>
      </c>
      <c r="B169" s="1" t="s">
        <v>137</v>
      </c>
      <c r="C169" s="1" t="s">
        <v>833</v>
      </c>
      <c r="E169" s="1">
        <v>100.0</v>
      </c>
      <c r="H169" s="1">
        <v>55.0</v>
      </c>
      <c r="I169" s="1">
        <v>10.0</v>
      </c>
      <c r="J169" s="1">
        <v>10.0</v>
      </c>
      <c r="K169" s="1">
        <v>10.0</v>
      </c>
      <c r="S169" s="1">
        <v>50.0</v>
      </c>
      <c r="X169" s="1" t="s">
        <v>140</v>
      </c>
      <c r="Y169" s="1" t="s">
        <v>471</v>
      </c>
      <c r="AE169" s="1">
        <v>332231.0</v>
      </c>
      <c r="AF169" s="1">
        <v>2278.0</v>
      </c>
      <c r="AG169" s="1">
        <v>11.0</v>
      </c>
      <c r="AL169" s="1">
        <v>59.0</v>
      </c>
    </row>
    <row r="170" ht="15.75" customHeight="1">
      <c r="A170" s="1">
        <v>169.0</v>
      </c>
      <c r="B170" s="1" t="s">
        <v>163</v>
      </c>
      <c r="C170" s="1" t="s">
        <v>497</v>
      </c>
      <c r="Z170" s="1">
        <v>100.0</v>
      </c>
      <c r="AE170" s="1">
        <v>821122.0</v>
      </c>
      <c r="AF170" s="1">
        <v>20408.0</v>
      </c>
      <c r="AH170" s="1">
        <v>155.0</v>
      </c>
      <c r="AK170" s="1">
        <v>160.0</v>
      </c>
      <c r="AM170" s="1">
        <v>99.0</v>
      </c>
      <c r="AO170" s="1">
        <v>85.0</v>
      </c>
    </row>
    <row r="171" ht="15.75" customHeight="1">
      <c r="A171" s="1">
        <v>170.0</v>
      </c>
      <c r="B171" s="1" t="s">
        <v>163</v>
      </c>
      <c r="C171" s="1" t="s">
        <v>501</v>
      </c>
      <c r="Z171" s="1">
        <v>100.0</v>
      </c>
      <c r="AE171" s="1">
        <v>821122.0</v>
      </c>
      <c r="AF171" s="1">
        <v>20408.0</v>
      </c>
      <c r="AJ171" s="1">
        <v>155.0</v>
      </c>
      <c r="AK171" s="1">
        <v>160.0</v>
      </c>
      <c r="AM171" s="1">
        <v>99.0</v>
      </c>
      <c r="AO171" s="1">
        <v>86.0</v>
      </c>
    </row>
    <row r="172" ht="15.75" customHeight="1">
      <c r="A172" s="1">
        <v>171.0</v>
      </c>
      <c r="B172" s="1" t="s">
        <v>163</v>
      </c>
      <c r="C172" s="1" t="s">
        <v>505</v>
      </c>
      <c r="Z172" s="1">
        <v>100.0</v>
      </c>
      <c r="AE172" s="1">
        <v>821122.0</v>
      </c>
      <c r="AF172" s="1">
        <v>20408.0</v>
      </c>
      <c r="AK172" s="1">
        <v>100.0</v>
      </c>
      <c r="AM172" s="1">
        <v>99.0</v>
      </c>
      <c r="AO172" s="1">
        <v>87.0</v>
      </c>
    </row>
    <row r="173" ht="15.75" customHeight="1">
      <c r="A173" s="1">
        <v>172.0</v>
      </c>
      <c r="B173" s="1" t="s">
        <v>163</v>
      </c>
      <c r="C173" s="1" t="s">
        <v>508</v>
      </c>
      <c r="Z173" s="1">
        <v>1000.0</v>
      </c>
      <c r="AE173" s="1">
        <v>821104.0</v>
      </c>
      <c r="AF173" s="1">
        <v>20408.0</v>
      </c>
      <c r="AO173" s="1">
        <v>88.0</v>
      </c>
    </row>
    <row r="174" ht="15.75" customHeight="1">
      <c r="A174" s="1">
        <v>173.0</v>
      </c>
      <c r="B174" s="1" t="s">
        <v>163</v>
      </c>
      <c r="C174" s="1" t="s">
        <v>510</v>
      </c>
      <c r="Z174" s="1">
        <v>1000.0</v>
      </c>
      <c r="AE174" s="1">
        <v>821104.0</v>
      </c>
      <c r="AF174" s="1">
        <v>20408.0</v>
      </c>
      <c r="AO174" s="1">
        <v>89.0</v>
      </c>
    </row>
    <row r="175" ht="15.75" customHeight="1">
      <c r="A175" s="1">
        <v>174.0</v>
      </c>
      <c r="B175" s="1" t="s">
        <v>163</v>
      </c>
      <c r="C175" s="1" t="s">
        <v>513</v>
      </c>
      <c r="Z175" s="1">
        <v>1000.0</v>
      </c>
      <c r="AE175" s="1">
        <v>821104.0</v>
      </c>
      <c r="AF175" s="1">
        <v>20408.0</v>
      </c>
      <c r="AO175" s="1">
        <v>90.0</v>
      </c>
    </row>
    <row r="176" ht="15.75" customHeight="1">
      <c r="A176" s="1">
        <v>175.0</v>
      </c>
      <c r="B176" s="1" t="s">
        <v>163</v>
      </c>
      <c r="C176" s="1" t="s">
        <v>516</v>
      </c>
      <c r="Z176" s="1">
        <v>1000.0</v>
      </c>
      <c r="AE176" s="1">
        <v>821104.0</v>
      </c>
      <c r="AF176" s="1">
        <v>20408.0</v>
      </c>
      <c r="AO176" s="1">
        <v>91.0</v>
      </c>
    </row>
    <row r="177" ht="15.75" customHeight="1">
      <c r="A177" s="1">
        <v>176.0</v>
      </c>
      <c r="B177" s="1" t="s">
        <v>163</v>
      </c>
      <c r="C177" s="1" t="s">
        <v>520</v>
      </c>
      <c r="Z177" s="1">
        <v>1000.0</v>
      </c>
      <c r="AE177" s="1">
        <v>821104.0</v>
      </c>
      <c r="AF177" s="1">
        <v>20408.0</v>
      </c>
      <c r="AO177" s="1">
        <v>92.0</v>
      </c>
    </row>
    <row r="178" ht="15.75" customHeight="1">
      <c r="A178" s="1">
        <v>177.0</v>
      </c>
      <c r="B178" s="1" t="s">
        <v>163</v>
      </c>
      <c r="C178" s="1" t="s">
        <v>522</v>
      </c>
      <c r="Z178" s="1">
        <v>1000.0</v>
      </c>
      <c r="AE178" s="1">
        <v>821104.0</v>
      </c>
      <c r="AF178" s="1">
        <v>20408.0</v>
      </c>
      <c r="AO178" s="1">
        <v>93.0</v>
      </c>
    </row>
    <row r="179" ht="15.75" customHeight="1">
      <c r="A179" s="1">
        <v>178.0</v>
      </c>
      <c r="B179" s="1" t="s">
        <v>163</v>
      </c>
      <c r="C179" s="1" t="s">
        <v>525</v>
      </c>
      <c r="Z179" s="1">
        <v>1000.0</v>
      </c>
      <c r="AE179" s="1">
        <v>821104.0</v>
      </c>
      <c r="AF179" s="1">
        <v>20408.0</v>
      </c>
      <c r="AO179" s="1">
        <v>94.0</v>
      </c>
    </row>
    <row r="180" ht="15.75" customHeight="1">
      <c r="A180" s="1">
        <v>179.0</v>
      </c>
      <c r="B180" s="1" t="s">
        <v>163</v>
      </c>
      <c r="C180" s="1" t="s">
        <v>527</v>
      </c>
      <c r="Z180" s="1">
        <v>1000.0</v>
      </c>
      <c r="AE180" s="1">
        <v>821103.0</v>
      </c>
      <c r="AF180" s="1">
        <v>20408.0</v>
      </c>
      <c r="AO180" s="1">
        <v>95.0</v>
      </c>
    </row>
    <row r="181" ht="15.75" customHeight="1">
      <c r="A181" s="1">
        <v>180.0</v>
      </c>
      <c r="B181" s="1" t="s">
        <v>163</v>
      </c>
      <c r="C181" s="1" t="s">
        <v>532</v>
      </c>
      <c r="Z181" s="1">
        <v>1000.0</v>
      </c>
      <c r="AE181" s="1">
        <v>821103.0</v>
      </c>
      <c r="AF181" s="1">
        <v>20408.0</v>
      </c>
      <c r="AO181" s="1">
        <v>96.0</v>
      </c>
    </row>
    <row r="182" ht="15.75" customHeight="1">
      <c r="A182" s="1">
        <v>181.0</v>
      </c>
      <c r="B182" s="1" t="s">
        <v>163</v>
      </c>
      <c r="C182" s="1" t="s">
        <v>534</v>
      </c>
      <c r="Z182" s="1">
        <v>1000.0</v>
      </c>
      <c r="AE182" s="1">
        <v>821103.0</v>
      </c>
      <c r="AF182" s="1">
        <v>20408.0</v>
      </c>
      <c r="AO182" s="1">
        <v>97.0</v>
      </c>
    </row>
    <row r="183" ht="15.75" customHeight="1">
      <c r="A183" s="1">
        <v>182.0</v>
      </c>
      <c r="B183" s="1" t="s">
        <v>163</v>
      </c>
      <c r="C183" s="1" t="s">
        <v>539</v>
      </c>
      <c r="Z183" s="1">
        <v>1000.0</v>
      </c>
      <c r="AE183" s="1">
        <v>821103.0</v>
      </c>
      <c r="AF183" s="1">
        <v>20408.0</v>
      </c>
      <c r="AO183" s="1">
        <v>98.0</v>
      </c>
    </row>
    <row r="184" ht="15.75" customHeight="1">
      <c r="A184" s="1">
        <v>183.0</v>
      </c>
      <c r="B184" s="1" t="s">
        <v>163</v>
      </c>
      <c r="C184" s="1" t="s">
        <v>541</v>
      </c>
      <c r="Z184" s="1">
        <v>1000.0</v>
      </c>
      <c r="AE184" s="1">
        <v>820711.0</v>
      </c>
      <c r="AF184" s="1">
        <v>20404.0</v>
      </c>
      <c r="AO184" s="1">
        <v>99.0</v>
      </c>
    </row>
    <row r="185" ht="15.75" customHeight="1">
      <c r="A185" s="1">
        <v>184.0</v>
      </c>
      <c r="B185" s="1" t="s">
        <v>163</v>
      </c>
      <c r="C185" s="1" t="s">
        <v>544</v>
      </c>
      <c r="Z185" s="1">
        <v>1000.0</v>
      </c>
      <c r="AE185" s="1">
        <v>821104.0</v>
      </c>
      <c r="AF185" s="1">
        <v>20408.0</v>
      </c>
      <c r="AO185" s="1">
        <v>100.0</v>
      </c>
    </row>
    <row r="186" ht="15.75" customHeight="1">
      <c r="A186" s="1">
        <v>185.0</v>
      </c>
      <c r="B186" s="1" t="s">
        <v>190</v>
      </c>
      <c r="C186" s="1" t="s">
        <v>860</v>
      </c>
      <c r="S186" s="1">
        <v>17.0</v>
      </c>
      <c r="Z186" s="1">
        <v>1700.0</v>
      </c>
      <c r="AA186" s="1">
        <v>1.0</v>
      </c>
      <c r="AE186" s="1">
        <v>820110.0</v>
      </c>
      <c r="AF186" s="1">
        <v>20398.0</v>
      </c>
      <c r="AL186" s="1">
        <v>47.0</v>
      </c>
      <c r="AQ186" s="1">
        <v>57.0</v>
      </c>
    </row>
    <row r="187" ht="15.75" customHeight="1">
      <c r="A187" s="1">
        <v>186.0</v>
      </c>
      <c r="B187" s="1" t="s">
        <v>190</v>
      </c>
      <c r="C187" s="1" t="s">
        <v>864</v>
      </c>
      <c r="S187" s="1">
        <v>12.0</v>
      </c>
      <c r="Z187" s="1">
        <v>1500.0</v>
      </c>
      <c r="AA187" s="1">
        <v>1.0</v>
      </c>
      <c r="AE187" s="1">
        <v>820110.0</v>
      </c>
      <c r="AF187" s="1">
        <v>20398.0</v>
      </c>
      <c r="AL187" s="1">
        <v>47.0</v>
      </c>
      <c r="AQ187" s="1">
        <v>58.0</v>
      </c>
    </row>
    <row r="188" ht="15.75" customHeight="1">
      <c r="A188" s="1">
        <v>187.0</v>
      </c>
      <c r="B188" s="1" t="s">
        <v>190</v>
      </c>
      <c r="C188" s="1" t="s">
        <v>866</v>
      </c>
      <c r="S188" s="1">
        <v>28.0</v>
      </c>
      <c r="Z188" s="1">
        <v>2800.0</v>
      </c>
      <c r="AA188" s="1">
        <v>1.0</v>
      </c>
      <c r="AE188" s="1">
        <v>820110.0</v>
      </c>
      <c r="AF188" s="1">
        <v>20398.0</v>
      </c>
      <c r="AL188" s="1">
        <v>47.0</v>
      </c>
      <c r="AQ188" s="1">
        <v>59.0</v>
      </c>
    </row>
    <row r="189" ht="15.75" customHeight="1">
      <c r="A189" s="1">
        <v>188.0</v>
      </c>
      <c r="B189" s="1" t="s">
        <v>190</v>
      </c>
      <c r="C189" s="1" t="s">
        <v>871</v>
      </c>
      <c r="S189" s="1">
        <v>31.0</v>
      </c>
      <c r="Z189" s="1">
        <v>3100.0</v>
      </c>
      <c r="AA189" s="1">
        <v>1.0</v>
      </c>
      <c r="AE189" s="1">
        <v>820110.0</v>
      </c>
      <c r="AF189" s="1">
        <v>20398.0</v>
      </c>
      <c r="AL189" s="1">
        <v>47.0</v>
      </c>
      <c r="AQ189" s="1">
        <v>60.0</v>
      </c>
    </row>
    <row r="190" ht="15.75" customHeight="1">
      <c r="A190" s="1">
        <v>189.0</v>
      </c>
      <c r="B190" s="1" t="s">
        <v>190</v>
      </c>
      <c r="C190" s="1" t="s">
        <v>874</v>
      </c>
      <c r="S190" s="1">
        <v>32.0</v>
      </c>
      <c r="Z190" s="1">
        <v>3200.0</v>
      </c>
      <c r="AA190" s="1">
        <v>1.0</v>
      </c>
      <c r="AE190" s="1">
        <v>820110.0</v>
      </c>
      <c r="AF190" s="1">
        <v>20398.0</v>
      </c>
      <c r="AL190" s="1">
        <v>47.0</v>
      </c>
      <c r="AQ190" s="1">
        <v>61.0</v>
      </c>
    </row>
    <row r="191" ht="15.75" customHeight="1">
      <c r="A191" s="1">
        <v>190.0</v>
      </c>
      <c r="B191" s="1" t="s">
        <v>190</v>
      </c>
      <c r="C191" s="1" t="s">
        <v>878</v>
      </c>
      <c r="S191" s="1">
        <v>32.0</v>
      </c>
      <c r="Z191" s="1">
        <v>4000.0</v>
      </c>
      <c r="AA191" s="1">
        <v>1.0</v>
      </c>
      <c r="AE191" s="1">
        <v>820110.0</v>
      </c>
      <c r="AF191" s="1">
        <v>20398.0</v>
      </c>
      <c r="AL191" s="1">
        <v>47.0</v>
      </c>
      <c r="AQ191" s="1">
        <v>62.0</v>
      </c>
    </row>
    <row r="192" ht="15.75" customHeight="1">
      <c r="A192" s="1">
        <v>191.0</v>
      </c>
      <c r="B192" s="1" t="s">
        <v>190</v>
      </c>
      <c r="C192" s="1" t="s">
        <v>881</v>
      </c>
      <c r="S192" s="1">
        <v>33.0</v>
      </c>
      <c r="Z192" s="1">
        <v>3300.0</v>
      </c>
      <c r="AA192" s="1">
        <v>1.0</v>
      </c>
      <c r="AE192" s="1">
        <v>820110.0</v>
      </c>
      <c r="AF192" s="1">
        <v>20398.0</v>
      </c>
      <c r="AL192" s="1">
        <v>47.0</v>
      </c>
      <c r="AQ192" s="1">
        <v>63.0</v>
      </c>
    </row>
    <row r="193" ht="15.75" customHeight="1">
      <c r="A193" s="1">
        <v>192.0</v>
      </c>
      <c r="B193" s="1" t="s">
        <v>190</v>
      </c>
      <c r="C193" s="1" t="s">
        <v>883</v>
      </c>
      <c r="S193" s="1">
        <v>33.0</v>
      </c>
      <c r="Z193" s="1">
        <v>3300.0</v>
      </c>
      <c r="AA193" s="1">
        <v>1.0</v>
      </c>
      <c r="AE193" s="1">
        <v>820110.0</v>
      </c>
      <c r="AF193" s="1">
        <v>20398.0</v>
      </c>
      <c r="AL193" s="1">
        <v>47.0</v>
      </c>
      <c r="AQ193" s="1">
        <v>64.0</v>
      </c>
    </row>
    <row r="194" ht="15.75" customHeight="1">
      <c r="A194" s="1">
        <v>193.0</v>
      </c>
      <c r="B194" s="1" t="s">
        <v>190</v>
      </c>
      <c r="C194" s="1" t="s">
        <v>887</v>
      </c>
      <c r="S194" s="1">
        <v>34.0</v>
      </c>
      <c r="Z194" s="1">
        <v>3400.0</v>
      </c>
      <c r="AA194" s="1">
        <v>1.0</v>
      </c>
      <c r="AE194" s="1">
        <v>820110.0</v>
      </c>
      <c r="AF194" s="1">
        <v>20398.0</v>
      </c>
      <c r="AL194" s="1">
        <v>47.0</v>
      </c>
      <c r="AQ194" s="1">
        <v>65.0</v>
      </c>
    </row>
    <row r="195" ht="15.75" customHeight="1">
      <c r="A195" s="1">
        <v>194.0</v>
      </c>
      <c r="B195" s="1" t="s">
        <v>190</v>
      </c>
      <c r="C195" s="1" t="s">
        <v>891</v>
      </c>
      <c r="S195" s="1">
        <v>35.0</v>
      </c>
      <c r="Z195" s="1">
        <v>3500.0</v>
      </c>
      <c r="AA195" s="1">
        <v>1.0</v>
      </c>
      <c r="AE195" s="1">
        <v>820110.0</v>
      </c>
      <c r="AF195" s="1">
        <v>20398.0</v>
      </c>
      <c r="AL195" s="1">
        <v>47.0</v>
      </c>
      <c r="AQ195" s="1">
        <v>66.0</v>
      </c>
    </row>
    <row r="196" ht="15.75" customHeight="1">
      <c r="A196" s="1">
        <v>195.0</v>
      </c>
      <c r="B196" s="1" t="s">
        <v>190</v>
      </c>
      <c r="C196" s="1" t="s">
        <v>894</v>
      </c>
      <c r="S196" s="1">
        <v>36.0</v>
      </c>
      <c r="Z196" s="1">
        <v>3600.0</v>
      </c>
      <c r="AA196" s="1">
        <v>1.0</v>
      </c>
      <c r="AE196" s="1">
        <v>820110.0</v>
      </c>
      <c r="AF196" s="1">
        <v>20398.0</v>
      </c>
      <c r="AL196" s="1">
        <v>47.0</v>
      </c>
      <c r="AQ196" s="1">
        <v>67.0</v>
      </c>
    </row>
    <row r="197" ht="15.75" customHeight="1">
      <c r="A197" s="1">
        <v>196.0</v>
      </c>
      <c r="B197" s="1" t="s">
        <v>190</v>
      </c>
      <c r="C197" s="1" t="s">
        <v>897</v>
      </c>
      <c r="S197" s="1">
        <v>37.0</v>
      </c>
      <c r="Z197" s="1">
        <v>3700.0</v>
      </c>
      <c r="AA197" s="1">
        <v>1.0</v>
      </c>
      <c r="AE197" s="1">
        <v>820110.0</v>
      </c>
      <c r="AF197" s="1">
        <v>20398.0</v>
      </c>
      <c r="AL197" s="1">
        <v>47.0</v>
      </c>
      <c r="AQ197" s="1">
        <v>68.0</v>
      </c>
    </row>
    <row r="198" ht="15.75" customHeight="1">
      <c r="A198" s="1">
        <v>197.0</v>
      </c>
      <c r="B198" s="1" t="s">
        <v>190</v>
      </c>
      <c r="C198" s="1" t="s">
        <v>899</v>
      </c>
      <c r="S198" s="1">
        <v>41.0</v>
      </c>
      <c r="Z198" s="1">
        <v>4100.0</v>
      </c>
      <c r="AA198" s="1">
        <v>1.0</v>
      </c>
      <c r="AE198" s="1">
        <v>820110.0</v>
      </c>
      <c r="AF198" s="1">
        <v>20398.0</v>
      </c>
      <c r="AL198" s="1">
        <v>47.0</v>
      </c>
      <c r="AQ198" s="1">
        <v>69.0</v>
      </c>
    </row>
    <row r="199" ht="15.75" customHeight="1">
      <c r="A199" s="1">
        <v>198.0</v>
      </c>
      <c r="B199" s="1" t="s">
        <v>190</v>
      </c>
      <c r="C199" s="1" t="s">
        <v>902</v>
      </c>
      <c r="S199" s="1">
        <v>43.0</v>
      </c>
      <c r="Z199" s="1">
        <v>4300.0</v>
      </c>
      <c r="AA199" s="1">
        <v>1.0</v>
      </c>
      <c r="AE199" s="1">
        <v>820110.0</v>
      </c>
      <c r="AF199" s="1">
        <v>20398.0</v>
      </c>
      <c r="AL199" s="1">
        <v>47.0</v>
      </c>
      <c r="AQ199" s="1">
        <v>70.0</v>
      </c>
    </row>
    <row r="200" ht="15.75" customHeight="1">
      <c r="A200" s="1">
        <v>199.0</v>
      </c>
      <c r="B200" s="1" t="s">
        <v>190</v>
      </c>
      <c r="C200" s="1" t="s">
        <v>906</v>
      </c>
      <c r="S200" s="1">
        <v>46.0</v>
      </c>
      <c r="Z200" s="1">
        <v>4600.0</v>
      </c>
      <c r="AA200" s="1">
        <v>1.0</v>
      </c>
      <c r="AE200" s="1">
        <v>820110.0</v>
      </c>
      <c r="AF200" s="1">
        <v>20398.0</v>
      </c>
      <c r="AL200" s="1">
        <v>47.0</v>
      </c>
      <c r="AQ200" s="1">
        <v>71.0</v>
      </c>
    </row>
    <row r="201" ht="15.75" customHeight="1">
      <c r="A201" s="1">
        <v>200.0</v>
      </c>
      <c r="B201" s="1" t="s">
        <v>190</v>
      </c>
      <c r="C201" s="1" t="s">
        <v>907</v>
      </c>
      <c r="S201" s="1">
        <v>47.0</v>
      </c>
      <c r="Z201" s="1">
        <v>4700.0</v>
      </c>
      <c r="AA201" s="1">
        <v>1.0</v>
      </c>
      <c r="AE201" s="1">
        <v>820110.0</v>
      </c>
      <c r="AF201" s="1">
        <v>20398.0</v>
      </c>
      <c r="AL201" s="1">
        <v>47.0</v>
      </c>
      <c r="AQ201" s="1">
        <v>72.0</v>
      </c>
    </row>
    <row r="202" ht="15.75" customHeight="1">
      <c r="A202" s="1">
        <v>201.0</v>
      </c>
      <c r="B202" s="1" t="s">
        <v>190</v>
      </c>
      <c r="C202" s="1" t="s">
        <v>909</v>
      </c>
      <c r="S202" s="1">
        <v>27.0</v>
      </c>
      <c r="Z202" s="1">
        <v>2700.0</v>
      </c>
      <c r="AA202" s="1">
        <v>1.0</v>
      </c>
      <c r="AE202" s="1">
        <v>820110.0</v>
      </c>
      <c r="AF202" s="1">
        <v>20398.0</v>
      </c>
      <c r="AL202" s="1">
        <v>47.0</v>
      </c>
      <c r="AQ202" s="1">
        <v>73.0</v>
      </c>
    </row>
    <row r="203" ht="15.75" customHeight="1">
      <c r="A203" s="1">
        <v>202.0</v>
      </c>
      <c r="B203" s="1" t="s">
        <v>148</v>
      </c>
      <c r="C203" s="1" t="s">
        <v>911</v>
      </c>
      <c r="I203" s="1">
        <v>5.0</v>
      </c>
      <c r="J203" s="1">
        <v>2.0</v>
      </c>
      <c r="S203" s="1">
        <v>27.0</v>
      </c>
      <c r="V203" s="1">
        <v>40.0</v>
      </c>
      <c r="X203" s="1" t="s">
        <v>153</v>
      </c>
      <c r="Y203" s="1" t="s">
        <v>211</v>
      </c>
      <c r="Z203" s="1">
        <v>2700.0</v>
      </c>
      <c r="AE203" s="1">
        <v>820015.0</v>
      </c>
      <c r="AF203" s="1">
        <v>20397.0</v>
      </c>
      <c r="AG203" s="1">
        <v>10.0</v>
      </c>
      <c r="AL203" s="1">
        <v>55.0</v>
      </c>
      <c r="AN203" s="1">
        <v>4.0</v>
      </c>
    </row>
    <row r="204" ht="15.75" customHeight="1">
      <c r="A204" s="1">
        <v>203.0</v>
      </c>
      <c r="B204" s="1" t="s">
        <v>148</v>
      </c>
      <c r="C204" s="1" t="s">
        <v>915</v>
      </c>
      <c r="J204" s="1">
        <v>2.0</v>
      </c>
      <c r="L204" s="1">
        <v>5.0</v>
      </c>
      <c r="S204" s="1">
        <v>27.0</v>
      </c>
      <c r="V204" s="1">
        <v>19.0</v>
      </c>
      <c r="X204" s="1" t="s">
        <v>153</v>
      </c>
      <c r="Y204" s="1" t="s">
        <v>211</v>
      </c>
      <c r="Z204" s="1">
        <v>2700.0</v>
      </c>
      <c r="AE204" s="1">
        <v>820039.0</v>
      </c>
      <c r="AF204" s="1">
        <v>20397.0</v>
      </c>
      <c r="AG204" s="1">
        <v>5.0</v>
      </c>
      <c r="AL204" s="1">
        <v>31.0</v>
      </c>
      <c r="AN204" s="1">
        <v>4.0</v>
      </c>
    </row>
    <row r="205" ht="15.75" customHeight="1">
      <c r="A205" s="1">
        <v>204.0</v>
      </c>
      <c r="B205" s="1" t="s">
        <v>148</v>
      </c>
      <c r="C205" s="1" t="s">
        <v>919</v>
      </c>
      <c r="E205" s="1">
        <v>50.0</v>
      </c>
      <c r="F205" s="1">
        <v>10.0</v>
      </c>
      <c r="I205" s="1">
        <v>2.0</v>
      </c>
      <c r="J205" s="1">
        <v>4.0</v>
      </c>
      <c r="K205" s="1">
        <v>4.0</v>
      </c>
      <c r="S205" s="1">
        <v>25.0</v>
      </c>
      <c r="V205" s="1">
        <v>33.0</v>
      </c>
      <c r="X205" s="1" t="s">
        <v>153</v>
      </c>
      <c r="Y205" s="1" t="s">
        <v>208</v>
      </c>
      <c r="Z205" s="1">
        <v>25000.0</v>
      </c>
      <c r="AA205" s="1">
        <v>1.0</v>
      </c>
      <c r="AE205" s="1">
        <v>331326.0</v>
      </c>
      <c r="AF205" s="1">
        <v>2269.0</v>
      </c>
      <c r="AG205" s="1">
        <v>30.0</v>
      </c>
      <c r="AL205" s="1">
        <v>59.0</v>
      </c>
      <c r="AN205" s="1">
        <v>4.0</v>
      </c>
    </row>
    <row r="206" ht="15.75" customHeight="1">
      <c r="A206" s="1">
        <v>205.0</v>
      </c>
      <c r="B206" s="1" t="s">
        <v>148</v>
      </c>
      <c r="C206" s="1" t="s">
        <v>923</v>
      </c>
      <c r="I206" s="1">
        <v>5.0</v>
      </c>
      <c r="J206" s="1">
        <v>5.0</v>
      </c>
      <c r="K206" s="1">
        <v>10.0</v>
      </c>
      <c r="S206" s="1">
        <v>50.0</v>
      </c>
      <c r="V206" s="1">
        <v>85.0</v>
      </c>
      <c r="X206" s="1" t="s">
        <v>153</v>
      </c>
      <c r="Y206" s="1" t="s">
        <v>208</v>
      </c>
      <c r="AE206" s="1">
        <v>270168.0</v>
      </c>
      <c r="AF206" s="1">
        <v>3081.0</v>
      </c>
      <c r="AG206" s="1">
        <v>177.0</v>
      </c>
      <c r="AL206" s="1">
        <v>59.0</v>
      </c>
      <c r="AN206" s="1">
        <v>4.0</v>
      </c>
    </row>
    <row r="207" ht="15.75" customHeight="1">
      <c r="A207" s="1">
        <v>206.0</v>
      </c>
      <c r="B207" s="1" t="s">
        <v>148</v>
      </c>
      <c r="C207" s="1" t="s">
        <v>927</v>
      </c>
      <c r="E207" s="1">
        <v>100.0</v>
      </c>
      <c r="I207" s="1">
        <v>10.0</v>
      </c>
      <c r="J207" s="1">
        <v>10.0</v>
      </c>
      <c r="K207" s="1">
        <v>10.0</v>
      </c>
      <c r="S207" s="1">
        <v>50.0</v>
      </c>
      <c r="V207" s="1">
        <v>120.0</v>
      </c>
      <c r="X207" s="1" t="s">
        <v>153</v>
      </c>
      <c r="Y207" s="1" t="s">
        <v>211</v>
      </c>
      <c r="AA207" s="1">
        <v>1.0</v>
      </c>
      <c r="AE207" s="1">
        <v>331353.0</v>
      </c>
      <c r="AF207" s="1">
        <v>2269.0</v>
      </c>
      <c r="AG207" s="1">
        <v>69.0</v>
      </c>
      <c r="AL207" s="1">
        <v>55.0</v>
      </c>
      <c r="AN207" s="1">
        <v>4.0</v>
      </c>
      <c r="AO207" s="1">
        <v>115.0</v>
      </c>
    </row>
    <row r="208" ht="15.75" customHeight="1">
      <c r="A208" s="1">
        <v>207.0</v>
      </c>
      <c r="B208" s="1" t="s">
        <v>148</v>
      </c>
      <c r="C208" s="1" t="s">
        <v>935</v>
      </c>
      <c r="J208" s="1">
        <v>5.0</v>
      </c>
      <c r="K208" s="1">
        <v>10.0</v>
      </c>
      <c r="L208" s="1">
        <v>10.0</v>
      </c>
      <c r="S208" s="1">
        <v>50.0</v>
      </c>
      <c r="V208" s="1">
        <v>35.0</v>
      </c>
      <c r="X208" s="1" t="s">
        <v>202</v>
      </c>
      <c r="Y208" s="1" t="s">
        <v>937</v>
      </c>
      <c r="AA208" s="1">
        <v>1.0</v>
      </c>
      <c r="AE208" s="1">
        <v>270155.0</v>
      </c>
      <c r="AF208" s="1">
        <v>3081.0</v>
      </c>
      <c r="AG208" s="1">
        <v>171.0</v>
      </c>
      <c r="AL208" s="1">
        <v>47.0</v>
      </c>
      <c r="AN208" s="1">
        <v>6.0</v>
      </c>
    </row>
    <row r="209" ht="15.75" customHeight="1">
      <c r="A209" s="1">
        <v>208.0</v>
      </c>
      <c r="B209" s="1" t="s">
        <v>148</v>
      </c>
      <c r="C209" s="1" t="s">
        <v>940</v>
      </c>
      <c r="S209" s="1">
        <v>35.0</v>
      </c>
      <c r="V209" s="1">
        <v>48.0</v>
      </c>
      <c r="X209" s="1" t="s">
        <v>153</v>
      </c>
      <c r="Y209" s="1" t="s">
        <v>211</v>
      </c>
      <c r="Z209" s="1">
        <v>1500.0</v>
      </c>
      <c r="AE209" s="1">
        <v>331380.0</v>
      </c>
      <c r="AF209" s="1">
        <v>2269.0</v>
      </c>
      <c r="AG209" s="1">
        <v>98.0</v>
      </c>
      <c r="AL209" s="1">
        <v>55.0</v>
      </c>
      <c r="AN209" s="1">
        <v>4.0</v>
      </c>
    </row>
    <row r="210" ht="15.75" customHeight="1">
      <c r="A210" s="1">
        <v>209.0</v>
      </c>
      <c r="B210" s="1" t="s">
        <v>148</v>
      </c>
      <c r="C210" s="1" t="s">
        <v>944</v>
      </c>
      <c r="E210" s="1">
        <v>250.0</v>
      </c>
      <c r="F210" s="1">
        <v>50.0</v>
      </c>
      <c r="I210" s="1">
        <v>5.0</v>
      </c>
      <c r="J210" s="1">
        <v>5.0</v>
      </c>
      <c r="K210" s="1">
        <v>5.0</v>
      </c>
      <c r="L210" s="1">
        <v>5.0</v>
      </c>
      <c r="S210" s="1">
        <v>1.0</v>
      </c>
      <c r="V210" s="1">
        <v>100.0</v>
      </c>
      <c r="X210" s="1" t="s">
        <v>202</v>
      </c>
      <c r="Y210" s="1" t="s">
        <v>948</v>
      </c>
      <c r="Z210" s="1">
        <v>20000.0</v>
      </c>
      <c r="AE210" s="1">
        <v>331321.0</v>
      </c>
      <c r="AF210" s="1">
        <v>2269.0</v>
      </c>
      <c r="AG210" s="1">
        <v>20.0</v>
      </c>
      <c r="AN210" s="1">
        <v>6.0</v>
      </c>
      <c r="AR210" s="1">
        <v>5.0</v>
      </c>
    </row>
    <row r="211" ht="15.75" customHeight="1">
      <c r="A211" s="1">
        <v>210.0</v>
      </c>
      <c r="B211" s="1" t="s">
        <v>148</v>
      </c>
      <c r="C211" s="1" t="s">
        <v>951</v>
      </c>
      <c r="E211" s="1">
        <v>5.0</v>
      </c>
      <c r="F211" s="1">
        <v>50.0</v>
      </c>
      <c r="I211" s="1">
        <v>5.0</v>
      </c>
      <c r="J211" s="1">
        <v>5.0</v>
      </c>
      <c r="K211" s="1">
        <v>5.0</v>
      </c>
      <c r="L211" s="1">
        <v>5.0</v>
      </c>
      <c r="S211" s="1">
        <v>1.0</v>
      </c>
      <c r="V211" s="1">
        <v>50.0</v>
      </c>
      <c r="X211" s="1" t="s">
        <v>202</v>
      </c>
      <c r="Y211" s="1" t="s">
        <v>948</v>
      </c>
      <c r="Z211" s="1">
        <v>1000.0</v>
      </c>
      <c r="AE211" s="1">
        <v>331349.0</v>
      </c>
      <c r="AF211" s="1">
        <v>2269.0</v>
      </c>
      <c r="AG211" s="1">
        <v>61.0</v>
      </c>
      <c r="AH211" s="1">
        <v>24.0</v>
      </c>
      <c r="AI211" s="1">
        <v>81.0</v>
      </c>
      <c r="AJ211" s="1">
        <v>33.0</v>
      </c>
      <c r="AK211" s="1">
        <v>160.0</v>
      </c>
      <c r="AN211" s="1">
        <v>6.0</v>
      </c>
    </row>
    <row r="212" ht="15.75" customHeight="1">
      <c r="A212" s="1">
        <v>211.0</v>
      </c>
      <c r="B212" s="1" t="s">
        <v>148</v>
      </c>
      <c r="C212" s="1" t="s">
        <v>958</v>
      </c>
      <c r="I212" s="1">
        <v>2.0</v>
      </c>
      <c r="K212" s="1">
        <v>5.0</v>
      </c>
      <c r="S212" s="1">
        <v>27.0</v>
      </c>
      <c r="V212" s="1">
        <v>34.0</v>
      </c>
      <c r="X212" s="1" t="s">
        <v>153</v>
      </c>
      <c r="Y212" s="1" t="s">
        <v>208</v>
      </c>
      <c r="Z212" s="1">
        <v>2700.0</v>
      </c>
      <c r="AE212" s="1">
        <v>331379.0</v>
      </c>
      <c r="AF212" s="1">
        <v>2269.0</v>
      </c>
      <c r="AG212" s="1">
        <v>11.0</v>
      </c>
      <c r="AL212" s="1">
        <v>59.0</v>
      </c>
      <c r="AN212" s="1">
        <v>4.0</v>
      </c>
    </row>
    <row r="213" ht="15.75" customHeight="1">
      <c r="A213" s="1">
        <v>212.0</v>
      </c>
      <c r="B213" s="1" t="s">
        <v>148</v>
      </c>
      <c r="C213" s="1" t="s">
        <v>963</v>
      </c>
      <c r="J213" s="1">
        <v>5.0</v>
      </c>
      <c r="L213" s="1">
        <v>7.0</v>
      </c>
      <c r="S213" s="1">
        <v>40.0</v>
      </c>
      <c r="V213" s="1">
        <v>34.0</v>
      </c>
      <c r="X213" s="1" t="s">
        <v>153</v>
      </c>
      <c r="Y213" s="1" t="s">
        <v>211</v>
      </c>
      <c r="AE213" s="1">
        <v>331355.0</v>
      </c>
      <c r="AF213" s="1">
        <v>2269.0</v>
      </c>
      <c r="AG213" s="1">
        <v>72.0</v>
      </c>
      <c r="AL213" s="1">
        <v>31.0</v>
      </c>
      <c r="AN213" s="1">
        <v>4.0</v>
      </c>
    </row>
    <row r="214" ht="15.75" customHeight="1">
      <c r="A214" s="1">
        <v>213.0</v>
      </c>
      <c r="B214" s="1" t="s">
        <v>148</v>
      </c>
      <c r="C214" s="1" t="s">
        <v>968</v>
      </c>
      <c r="E214" s="1">
        <v>20.0</v>
      </c>
      <c r="F214" s="1">
        <v>20.0</v>
      </c>
      <c r="H214" s="1">
        <v>10.0</v>
      </c>
      <c r="I214" s="1">
        <v>4.0</v>
      </c>
      <c r="J214" s="1">
        <v>4.0</v>
      </c>
      <c r="K214" s="1">
        <v>4.0</v>
      </c>
      <c r="L214" s="1">
        <v>4.0</v>
      </c>
      <c r="S214" s="1">
        <v>30.0</v>
      </c>
      <c r="V214" s="1">
        <v>35.0</v>
      </c>
      <c r="X214" s="1" t="s">
        <v>202</v>
      </c>
      <c r="Y214" s="1" t="s">
        <v>937</v>
      </c>
      <c r="AA214" s="1">
        <v>1.0</v>
      </c>
      <c r="AE214" s="1">
        <v>331351.0</v>
      </c>
      <c r="AF214" s="1">
        <v>2269.0</v>
      </c>
      <c r="AG214" s="1">
        <v>62.0</v>
      </c>
      <c r="AN214" s="1">
        <v>6.0</v>
      </c>
    </row>
    <row r="215" ht="15.75" customHeight="1">
      <c r="A215" s="1">
        <v>214.0</v>
      </c>
      <c r="B215" s="1" t="s">
        <v>148</v>
      </c>
      <c r="C215" s="1" t="s">
        <v>971</v>
      </c>
      <c r="I215" s="1">
        <v>20.0</v>
      </c>
      <c r="S215" s="1">
        <v>25.0</v>
      </c>
      <c r="V215" s="1">
        <v>40.0</v>
      </c>
      <c r="X215" s="1" t="s">
        <v>153</v>
      </c>
      <c r="Y215" s="1" t="s">
        <v>211</v>
      </c>
      <c r="AE215" s="1">
        <v>331333.0</v>
      </c>
      <c r="AF215" s="1">
        <v>2269.0</v>
      </c>
      <c r="AG215" s="1">
        <v>38.0</v>
      </c>
      <c r="AH215" s="1">
        <v>115.0</v>
      </c>
      <c r="AI215" s="1">
        <v>81.0</v>
      </c>
      <c r="AJ215" s="1">
        <v>33.0</v>
      </c>
      <c r="AK215" s="1">
        <v>140.0</v>
      </c>
      <c r="AN215" s="1">
        <v>4.0</v>
      </c>
    </row>
    <row r="216" ht="15.75" customHeight="1">
      <c r="A216" s="1">
        <v>215.0</v>
      </c>
      <c r="B216" s="1" t="s">
        <v>148</v>
      </c>
      <c r="C216" s="1" t="s">
        <v>976</v>
      </c>
      <c r="K216" s="1">
        <v>2.0</v>
      </c>
      <c r="L216" s="1">
        <v>5.0</v>
      </c>
      <c r="S216" s="1">
        <v>27.0</v>
      </c>
      <c r="V216" s="1">
        <v>21.0</v>
      </c>
      <c r="X216" s="1" t="s">
        <v>202</v>
      </c>
      <c r="Y216" s="1" t="s">
        <v>937</v>
      </c>
      <c r="Z216" s="1">
        <v>2700.0</v>
      </c>
      <c r="AE216" s="1">
        <v>820021.0</v>
      </c>
      <c r="AF216" s="1">
        <v>20397.0</v>
      </c>
      <c r="AG216" s="1">
        <v>13.0</v>
      </c>
      <c r="AL216" s="1">
        <v>47.0</v>
      </c>
      <c r="AN216" s="1">
        <v>6.0</v>
      </c>
    </row>
    <row r="217" ht="15.75" customHeight="1">
      <c r="A217" s="1">
        <v>216.0</v>
      </c>
      <c r="B217" s="1" t="s">
        <v>148</v>
      </c>
      <c r="C217" s="1" t="s">
        <v>980</v>
      </c>
      <c r="E217" s="1">
        <v>50.0</v>
      </c>
      <c r="F217" s="1">
        <v>500.0</v>
      </c>
      <c r="H217" s="1">
        <v>50.0</v>
      </c>
      <c r="J217" s="1">
        <v>10.0</v>
      </c>
      <c r="K217" s="1">
        <v>5.0</v>
      </c>
      <c r="L217" s="1">
        <v>20.0</v>
      </c>
      <c r="S217" s="1">
        <v>50.0</v>
      </c>
      <c r="V217" s="1">
        <v>42.0</v>
      </c>
      <c r="X217" s="1" t="s">
        <v>202</v>
      </c>
      <c r="Y217" s="1" t="s">
        <v>203</v>
      </c>
      <c r="AA217" s="1">
        <v>1.0</v>
      </c>
      <c r="AE217" s="1">
        <v>820227.0</v>
      </c>
      <c r="AF217" s="1">
        <v>20399.0</v>
      </c>
      <c r="AG217" s="1">
        <v>41.0</v>
      </c>
      <c r="AL217" s="1">
        <v>15.0</v>
      </c>
      <c r="AN217" s="1">
        <v>5.0</v>
      </c>
    </row>
    <row r="218" ht="15.75" customHeight="1">
      <c r="A218" s="1">
        <v>217.0</v>
      </c>
      <c r="B218" s="1" t="s">
        <v>148</v>
      </c>
      <c r="C218" s="1" t="s">
        <v>984</v>
      </c>
      <c r="E218" s="1">
        <v>30.0</v>
      </c>
      <c r="F218" s="1">
        <v>10.0</v>
      </c>
      <c r="I218" s="1">
        <v>10.0</v>
      </c>
      <c r="J218" s="1">
        <v>5.0</v>
      </c>
      <c r="K218" s="1">
        <v>5.0</v>
      </c>
      <c r="L218" s="1">
        <v>7.0</v>
      </c>
      <c r="S218" s="1">
        <v>50.0</v>
      </c>
      <c r="V218" s="1">
        <v>80.0</v>
      </c>
      <c r="X218" s="1" t="s">
        <v>153</v>
      </c>
      <c r="Y218" s="1" t="s">
        <v>155</v>
      </c>
      <c r="Z218" s="1">
        <v>10000.0</v>
      </c>
      <c r="AE218" s="1">
        <v>331405.0</v>
      </c>
      <c r="AF218" s="1">
        <v>2270.0</v>
      </c>
      <c r="AG218" s="1">
        <v>1.0</v>
      </c>
      <c r="AN218" s="1">
        <v>4.0</v>
      </c>
    </row>
    <row r="219" ht="15.75" customHeight="1">
      <c r="A219" s="1">
        <v>218.0</v>
      </c>
      <c r="B219" s="1" t="s">
        <v>148</v>
      </c>
      <c r="C219" s="1" t="s">
        <v>987</v>
      </c>
      <c r="F219" s="1">
        <v>125.0</v>
      </c>
      <c r="J219" s="1">
        <v>10.0</v>
      </c>
      <c r="K219" s="1">
        <v>5.0</v>
      </c>
      <c r="L219" s="1">
        <v>25.0</v>
      </c>
      <c r="S219" s="1">
        <v>50.0</v>
      </c>
      <c r="V219" s="1">
        <v>18.0</v>
      </c>
      <c r="X219" s="1" t="s">
        <v>202</v>
      </c>
      <c r="Y219" s="1" t="s">
        <v>203</v>
      </c>
      <c r="AA219" s="1">
        <v>1.0</v>
      </c>
      <c r="AE219" s="1">
        <v>331322.0</v>
      </c>
      <c r="AF219" s="1">
        <v>2269.0</v>
      </c>
      <c r="AG219" s="1">
        <v>22.0</v>
      </c>
      <c r="AL219" s="1">
        <v>15.0</v>
      </c>
      <c r="AN219" s="1">
        <v>5.0</v>
      </c>
    </row>
    <row r="220" ht="15.75" customHeight="1">
      <c r="A220" s="1">
        <v>219.0</v>
      </c>
      <c r="B220" s="1" t="s">
        <v>148</v>
      </c>
      <c r="C220" s="1" t="s">
        <v>989</v>
      </c>
      <c r="I220" s="1">
        <v>15.0</v>
      </c>
      <c r="J220" s="1">
        <v>5.0</v>
      </c>
      <c r="K220" s="1">
        <v>2.0</v>
      </c>
      <c r="S220" s="1">
        <v>33.0</v>
      </c>
      <c r="V220" s="1">
        <v>70.0</v>
      </c>
      <c r="X220" s="1" t="s">
        <v>153</v>
      </c>
      <c r="Y220" s="1" t="s">
        <v>211</v>
      </c>
      <c r="Z220" s="1">
        <v>1500.0</v>
      </c>
      <c r="AA220" s="1">
        <v>1.0</v>
      </c>
      <c r="AE220" s="1">
        <v>820015.0</v>
      </c>
      <c r="AF220" s="1">
        <v>20397.0</v>
      </c>
      <c r="AG220" s="1">
        <v>10.0</v>
      </c>
      <c r="AH220" s="1">
        <v>107.0</v>
      </c>
      <c r="AI220" s="1">
        <v>73.0</v>
      </c>
      <c r="AJ220" s="1">
        <v>107.0</v>
      </c>
      <c r="AK220" s="1">
        <v>120.0</v>
      </c>
      <c r="AL220" s="1">
        <v>55.0</v>
      </c>
      <c r="AN220" s="1">
        <v>4.0</v>
      </c>
    </row>
    <row r="221" ht="15.75" customHeight="1">
      <c r="A221" s="1">
        <v>220.0</v>
      </c>
      <c r="B221" s="1" t="s">
        <v>148</v>
      </c>
      <c r="C221" s="1" t="s">
        <v>991</v>
      </c>
      <c r="I221" s="1">
        <v>8.0</v>
      </c>
      <c r="J221" s="1">
        <v>3.0</v>
      </c>
      <c r="K221" s="1">
        <v>10.0</v>
      </c>
      <c r="S221" s="1">
        <v>33.0</v>
      </c>
      <c r="V221" s="1">
        <v>63.0</v>
      </c>
      <c r="X221" s="1" t="s">
        <v>153</v>
      </c>
      <c r="Y221" s="1" t="s">
        <v>208</v>
      </c>
      <c r="Z221" s="1">
        <v>1500.0</v>
      </c>
      <c r="AA221" s="1">
        <v>1.0</v>
      </c>
      <c r="AE221" s="1">
        <v>331379.0</v>
      </c>
      <c r="AF221" s="1">
        <v>2269.0</v>
      </c>
      <c r="AG221" s="1">
        <v>11.0</v>
      </c>
      <c r="AH221" s="1">
        <v>107.0</v>
      </c>
      <c r="AI221" s="1">
        <v>73.0</v>
      </c>
      <c r="AJ221" s="1">
        <v>107.0</v>
      </c>
      <c r="AK221" s="1">
        <v>120.0</v>
      </c>
      <c r="AL221" s="1">
        <v>59.0</v>
      </c>
      <c r="AN221" s="1">
        <v>4.0</v>
      </c>
    </row>
    <row r="222" ht="15.75" customHeight="1">
      <c r="A222" s="1">
        <v>221.0</v>
      </c>
      <c r="B222" s="1" t="s">
        <v>148</v>
      </c>
      <c r="C222" s="1" t="s">
        <v>995</v>
      </c>
      <c r="E222" s="1">
        <v>25.0</v>
      </c>
      <c r="F222" s="1">
        <v>100.0</v>
      </c>
      <c r="J222" s="1">
        <v>5.0</v>
      </c>
      <c r="K222" s="1">
        <v>2.0</v>
      </c>
      <c r="L222" s="1">
        <v>10.0</v>
      </c>
      <c r="S222" s="1">
        <v>30.0</v>
      </c>
      <c r="V222" s="1">
        <v>22.0</v>
      </c>
      <c r="X222" s="1" t="s">
        <v>202</v>
      </c>
      <c r="Y222" s="1" t="s">
        <v>937</v>
      </c>
      <c r="AA222" s="1">
        <v>1.0</v>
      </c>
      <c r="AE222" s="1">
        <v>270155.0</v>
      </c>
      <c r="AF222" s="1">
        <v>3081.0</v>
      </c>
      <c r="AG222" s="1">
        <v>171.0</v>
      </c>
      <c r="AH222" s="1">
        <v>107.0</v>
      </c>
      <c r="AI222" s="1">
        <v>73.0</v>
      </c>
      <c r="AJ222" s="1">
        <v>107.0</v>
      </c>
      <c r="AK222" s="1">
        <v>160.0</v>
      </c>
      <c r="AL222" s="1">
        <v>47.0</v>
      </c>
      <c r="AN222" s="1">
        <v>6.0</v>
      </c>
    </row>
    <row r="223" ht="15.75" customHeight="1">
      <c r="A223" s="1">
        <v>222.0</v>
      </c>
      <c r="B223" s="1" t="s">
        <v>137</v>
      </c>
      <c r="C223" s="1" t="s">
        <v>997</v>
      </c>
      <c r="H223" s="1">
        <v>100.0</v>
      </c>
      <c r="M223" s="1">
        <v>5.0</v>
      </c>
      <c r="S223" s="1">
        <v>35.0</v>
      </c>
      <c r="X223" s="1" t="s">
        <v>604</v>
      </c>
      <c r="Z223" s="1">
        <v>3500.0</v>
      </c>
      <c r="AE223" s="1">
        <v>820259.0</v>
      </c>
      <c r="AF223" s="1">
        <v>20399.0</v>
      </c>
      <c r="AG223" s="1">
        <v>263.0</v>
      </c>
      <c r="AH223" s="1">
        <v>150.0</v>
      </c>
      <c r="AK223" s="1">
        <v>140.0</v>
      </c>
      <c r="AL223" s="1">
        <v>55.0</v>
      </c>
      <c r="AN223" s="1">
        <v>4.0</v>
      </c>
    </row>
    <row r="224" ht="15.75" customHeight="1">
      <c r="A224" s="1">
        <v>223.0</v>
      </c>
      <c r="B224" s="1" t="s">
        <v>137</v>
      </c>
      <c r="C224" s="1" t="s">
        <v>999</v>
      </c>
      <c r="H224" s="1">
        <v>10.0</v>
      </c>
      <c r="X224" s="1" t="s">
        <v>140</v>
      </c>
      <c r="Y224" s="1" t="s">
        <v>141</v>
      </c>
      <c r="Z224" s="1">
        <v>100.0</v>
      </c>
      <c r="AE224" s="1">
        <v>820027.0</v>
      </c>
      <c r="AF224" s="1">
        <v>20397.0</v>
      </c>
      <c r="AG224" s="1">
        <v>3.0</v>
      </c>
      <c r="AH224" s="1">
        <v>251.0</v>
      </c>
      <c r="AI224" s="1">
        <v>170.0</v>
      </c>
      <c r="AJ224" s="1">
        <v>255.0</v>
      </c>
      <c r="AK224" s="1">
        <v>180.0</v>
      </c>
    </row>
    <row r="225" ht="15.75" customHeight="1">
      <c r="A225" s="1">
        <v>224.0</v>
      </c>
      <c r="B225" s="1" t="s">
        <v>137</v>
      </c>
      <c r="C225" s="1" t="s">
        <v>1003</v>
      </c>
      <c r="E225" s="1">
        <v>25.0</v>
      </c>
      <c r="F225" s="1">
        <v>50.0</v>
      </c>
      <c r="H225" s="1">
        <v>25.0</v>
      </c>
      <c r="I225" s="1">
        <v>3.0</v>
      </c>
      <c r="J225" s="1">
        <v>3.0</v>
      </c>
      <c r="K225" s="1">
        <v>3.0</v>
      </c>
      <c r="L225" s="1">
        <v>3.0</v>
      </c>
      <c r="S225" s="1">
        <v>40.0</v>
      </c>
      <c r="X225" s="1" t="s">
        <v>564</v>
      </c>
      <c r="Y225" s="1" t="s">
        <v>141</v>
      </c>
      <c r="AE225" s="1">
        <v>332204.0</v>
      </c>
      <c r="AF225" s="1">
        <v>2278.0</v>
      </c>
      <c r="AG225" s="1">
        <v>1.0</v>
      </c>
      <c r="AH225" s="1">
        <v>28.0</v>
      </c>
      <c r="AI225" s="1">
        <v>113.0</v>
      </c>
      <c r="AJ225" s="1">
        <v>216.0</v>
      </c>
      <c r="AK225" s="1">
        <v>180.0</v>
      </c>
      <c r="AL225" s="1">
        <v>31.0</v>
      </c>
    </row>
    <row r="226" ht="15.75" customHeight="1">
      <c r="A226" s="1">
        <v>225.0</v>
      </c>
      <c r="B226" s="1" t="s">
        <v>137</v>
      </c>
      <c r="C226" s="1" t="s">
        <v>1008</v>
      </c>
      <c r="F226" s="1">
        <v>30.0</v>
      </c>
      <c r="H226" s="1">
        <v>15.0</v>
      </c>
      <c r="J226" s="1">
        <v>2.0</v>
      </c>
      <c r="L226" s="1">
        <v>3.0</v>
      </c>
      <c r="S226" s="1">
        <v>40.0</v>
      </c>
      <c r="X226" s="1" t="s">
        <v>634</v>
      </c>
      <c r="Y226" s="1" t="s">
        <v>141</v>
      </c>
      <c r="AE226" s="1">
        <v>332213.0</v>
      </c>
      <c r="AF226" s="1">
        <v>2278.0</v>
      </c>
      <c r="AG226" s="1">
        <v>2.0</v>
      </c>
      <c r="AH226" s="1">
        <v>181.0</v>
      </c>
      <c r="AI226" s="1">
        <v>131.0</v>
      </c>
      <c r="AJ226" s="1">
        <v>90.0</v>
      </c>
      <c r="AK226" s="1">
        <v>180.0</v>
      </c>
      <c r="AL226" s="1">
        <v>31.0</v>
      </c>
    </row>
    <row r="227" ht="15.75" customHeight="1">
      <c r="A227" s="1">
        <v>226.0</v>
      </c>
      <c r="B227" s="1" t="s">
        <v>137</v>
      </c>
      <c r="C227" s="1" t="s">
        <v>1012</v>
      </c>
      <c r="E227" s="1">
        <v>50.0</v>
      </c>
      <c r="F227" s="1">
        <v>50.0</v>
      </c>
      <c r="H227" s="1">
        <v>30.0</v>
      </c>
      <c r="J227" s="1">
        <v>4.0</v>
      </c>
      <c r="L227" s="1">
        <v>5.0</v>
      </c>
      <c r="S227" s="1">
        <v>40.0</v>
      </c>
      <c r="X227" s="1" t="s">
        <v>140</v>
      </c>
      <c r="Y227" s="1" t="s">
        <v>141</v>
      </c>
      <c r="AE227" s="1">
        <v>332245.0</v>
      </c>
      <c r="AF227" s="1">
        <v>2278.0</v>
      </c>
      <c r="AG227" s="1">
        <v>15.0</v>
      </c>
      <c r="AH227" s="1">
        <v>49.0</v>
      </c>
      <c r="AI227" s="1">
        <v>65.0</v>
      </c>
      <c r="AJ227" s="1">
        <v>148.0</v>
      </c>
      <c r="AK227" s="1">
        <v>160.0</v>
      </c>
      <c r="AL227" s="1">
        <v>31.0</v>
      </c>
    </row>
    <row r="228" ht="15.75" customHeight="1">
      <c r="A228" s="1">
        <v>227.0</v>
      </c>
      <c r="B228" s="1" t="s">
        <v>137</v>
      </c>
      <c r="C228" s="1" t="s">
        <v>1016</v>
      </c>
      <c r="E228" s="1">
        <v>25.0</v>
      </c>
      <c r="F228" s="1">
        <v>50.0</v>
      </c>
      <c r="H228" s="1">
        <v>20.0</v>
      </c>
      <c r="L228" s="1">
        <v>5.0</v>
      </c>
      <c r="S228" s="1">
        <v>40.0</v>
      </c>
      <c r="X228" s="1" t="s">
        <v>564</v>
      </c>
      <c r="Y228" s="1" t="s">
        <v>141</v>
      </c>
      <c r="AE228" s="1">
        <v>332204.0</v>
      </c>
      <c r="AF228" s="1">
        <v>2278.0</v>
      </c>
      <c r="AG228" s="1">
        <v>1.0</v>
      </c>
      <c r="AH228" s="1">
        <v>224.0</v>
      </c>
      <c r="AI228" s="1">
        <v>27.0</v>
      </c>
      <c r="AJ228" s="1">
        <v>36.0</v>
      </c>
      <c r="AK228" s="1">
        <v>180.0</v>
      </c>
      <c r="AL228" s="1">
        <v>47.0</v>
      </c>
    </row>
    <row r="229" ht="15.75" customHeight="1">
      <c r="A229" s="1">
        <v>228.0</v>
      </c>
      <c r="B229" s="1" t="s">
        <v>137</v>
      </c>
      <c r="C229" s="1" t="s">
        <v>1018</v>
      </c>
      <c r="F229" s="1">
        <v>30.0</v>
      </c>
      <c r="H229" s="1">
        <v>15.0</v>
      </c>
      <c r="J229" s="1">
        <v>2.0</v>
      </c>
      <c r="L229" s="1">
        <v>4.0</v>
      </c>
      <c r="S229" s="1">
        <v>40.0</v>
      </c>
      <c r="X229" s="1" t="s">
        <v>634</v>
      </c>
      <c r="Y229" s="1" t="s">
        <v>141</v>
      </c>
      <c r="AE229" s="1">
        <v>332213.0</v>
      </c>
      <c r="AF229" s="1">
        <v>2278.0</v>
      </c>
      <c r="AG229" s="1">
        <v>2.0</v>
      </c>
      <c r="AH229" s="1">
        <v>237.0</v>
      </c>
      <c r="AI229" s="1">
        <v>51.0</v>
      </c>
      <c r="AJ229" s="1">
        <v>59.0</v>
      </c>
      <c r="AK229" s="1">
        <v>180.0</v>
      </c>
      <c r="AL229" s="1">
        <v>47.0</v>
      </c>
    </row>
    <row r="230" ht="15.75" customHeight="1">
      <c r="A230" s="1">
        <v>229.0</v>
      </c>
      <c r="B230" s="1" t="s">
        <v>137</v>
      </c>
      <c r="C230" s="1" t="s">
        <v>1023</v>
      </c>
      <c r="E230" s="1">
        <v>25.0</v>
      </c>
      <c r="F230" s="1">
        <v>75.0</v>
      </c>
      <c r="H230" s="1">
        <v>25.0</v>
      </c>
      <c r="L230" s="1">
        <v>10.0</v>
      </c>
      <c r="S230" s="1">
        <v>40.0</v>
      </c>
      <c r="X230" s="1" t="s">
        <v>140</v>
      </c>
      <c r="Y230" s="1" t="s">
        <v>141</v>
      </c>
      <c r="AE230" s="1">
        <v>332245.0</v>
      </c>
      <c r="AF230" s="1">
        <v>2278.0</v>
      </c>
      <c r="AG230" s="1">
        <v>15.0</v>
      </c>
      <c r="AH230" s="1">
        <v>192.0</v>
      </c>
      <c r="AI230" s="1">
        <v>28.0</v>
      </c>
      <c r="AJ230" s="1">
        <v>40.0</v>
      </c>
      <c r="AK230" s="1">
        <v>180.0</v>
      </c>
      <c r="AL230" s="1">
        <v>47.0</v>
      </c>
    </row>
    <row r="231" ht="15.75" customHeight="1">
      <c r="A231" s="1">
        <v>230.0</v>
      </c>
      <c r="B231" s="1" t="s">
        <v>137</v>
      </c>
      <c r="C231" s="1" t="s">
        <v>1026</v>
      </c>
      <c r="H231" s="1">
        <v>20.0</v>
      </c>
      <c r="J231" s="1">
        <v>2.0</v>
      </c>
      <c r="L231" s="1">
        <v>5.0</v>
      </c>
      <c r="S231" s="1">
        <v>40.0</v>
      </c>
      <c r="X231" s="1" t="s">
        <v>186</v>
      </c>
      <c r="Y231" s="1" t="s">
        <v>141</v>
      </c>
      <c r="AE231" s="1">
        <v>332240.0</v>
      </c>
      <c r="AF231" s="1">
        <v>2278.0</v>
      </c>
      <c r="AG231" s="1">
        <v>22.0</v>
      </c>
      <c r="AH231" s="1">
        <v>224.0</v>
      </c>
      <c r="AI231" s="1">
        <v>27.0</v>
      </c>
      <c r="AJ231" s="1">
        <v>36.0</v>
      </c>
      <c r="AK231" s="1">
        <v>180.0</v>
      </c>
      <c r="AL231" s="1">
        <v>47.0</v>
      </c>
    </row>
    <row r="232" ht="15.75" customHeight="1">
      <c r="A232" s="1">
        <v>231.0</v>
      </c>
      <c r="B232" s="1" t="s">
        <v>137</v>
      </c>
      <c r="C232" s="1" t="s">
        <v>1028</v>
      </c>
      <c r="H232" s="1">
        <v>28.0</v>
      </c>
      <c r="I232" s="1">
        <v>4.0</v>
      </c>
      <c r="J232" s="1">
        <v>4.0</v>
      </c>
      <c r="S232" s="1">
        <v>40.0</v>
      </c>
      <c r="X232" s="1" t="s">
        <v>186</v>
      </c>
      <c r="Y232" s="1" t="s">
        <v>471</v>
      </c>
      <c r="AE232" s="1">
        <v>332238.0</v>
      </c>
      <c r="AF232" s="1">
        <v>2278.0</v>
      </c>
      <c r="AG232" s="1">
        <v>20.0</v>
      </c>
      <c r="AL232" s="1">
        <v>55.0</v>
      </c>
    </row>
    <row r="233" ht="15.75" customHeight="1">
      <c r="A233" s="1">
        <v>232.0</v>
      </c>
      <c r="B233" s="1" t="s">
        <v>137</v>
      </c>
      <c r="C233" s="1" t="s">
        <v>1030</v>
      </c>
      <c r="E233" s="1">
        <v>75.0</v>
      </c>
      <c r="H233" s="1">
        <v>50.0</v>
      </c>
      <c r="I233" s="1">
        <v>3.0</v>
      </c>
      <c r="J233" s="1">
        <v>3.0</v>
      </c>
      <c r="K233" s="1">
        <v>3.0</v>
      </c>
      <c r="L233" s="1">
        <v>3.0</v>
      </c>
      <c r="S233" s="1">
        <v>40.0</v>
      </c>
      <c r="X233" s="1" t="s">
        <v>564</v>
      </c>
      <c r="Y233" s="1" t="s">
        <v>471</v>
      </c>
      <c r="AE233" s="1">
        <v>332232.0</v>
      </c>
      <c r="AF233" s="1">
        <v>2278.0</v>
      </c>
      <c r="AG233" s="1">
        <v>6.0</v>
      </c>
      <c r="AL233" s="1">
        <v>55.0</v>
      </c>
    </row>
    <row r="234" ht="15.75" customHeight="1">
      <c r="A234" s="1">
        <v>233.0</v>
      </c>
      <c r="B234" s="1" t="s">
        <v>137</v>
      </c>
      <c r="C234" s="1" t="s">
        <v>1031</v>
      </c>
      <c r="E234" s="1">
        <v>30.0</v>
      </c>
      <c r="H234" s="1">
        <v>18.0</v>
      </c>
      <c r="I234" s="1">
        <v>2.0</v>
      </c>
      <c r="J234" s="1">
        <v>2.0</v>
      </c>
      <c r="K234" s="1">
        <v>2.0</v>
      </c>
      <c r="S234" s="1">
        <v>40.0</v>
      </c>
      <c r="X234" s="1" t="s">
        <v>634</v>
      </c>
      <c r="Y234" s="1" t="s">
        <v>471</v>
      </c>
      <c r="AE234" s="1">
        <v>332233.0</v>
      </c>
      <c r="AF234" s="1">
        <v>2278.0</v>
      </c>
      <c r="AG234" s="1">
        <v>4.0</v>
      </c>
      <c r="AL234" s="1">
        <v>55.0</v>
      </c>
    </row>
    <row r="235" ht="15.75" customHeight="1">
      <c r="A235" s="1">
        <v>234.0</v>
      </c>
      <c r="B235" s="1" t="s">
        <v>137</v>
      </c>
      <c r="C235" s="1" t="s">
        <v>1033</v>
      </c>
      <c r="H235" s="1">
        <v>75.0</v>
      </c>
      <c r="I235" s="1">
        <v>5.0</v>
      </c>
      <c r="J235" s="1">
        <v>5.0</v>
      </c>
      <c r="K235" s="1">
        <v>3.0</v>
      </c>
      <c r="S235" s="1">
        <v>40.0</v>
      </c>
      <c r="X235" s="1" t="s">
        <v>140</v>
      </c>
      <c r="Y235" s="1" t="s">
        <v>471</v>
      </c>
      <c r="AE235" s="1">
        <v>332231.0</v>
      </c>
      <c r="AF235" s="1">
        <v>2278.0</v>
      </c>
      <c r="AG235" s="1">
        <v>11.0</v>
      </c>
      <c r="AH235" s="1">
        <v>66.0</v>
      </c>
      <c r="AI235" s="1">
        <v>69.0</v>
      </c>
      <c r="AJ235" s="1">
        <v>189.0</v>
      </c>
      <c r="AK235" s="1">
        <v>120.0</v>
      </c>
      <c r="AL235" s="1">
        <v>55.0</v>
      </c>
    </row>
    <row r="236" ht="15.75" customHeight="1">
      <c r="A236" s="1">
        <v>235.0</v>
      </c>
      <c r="B236" s="1" t="s">
        <v>137</v>
      </c>
      <c r="C236" s="1" t="s">
        <v>1035</v>
      </c>
      <c r="E236" s="1">
        <v>40.0</v>
      </c>
      <c r="H236" s="1">
        <v>19.0</v>
      </c>
      <c r="J236" s="1">
        <v>4.0</v>
      </c>
      <c r="L236" s="1">
        <v>3.0</v>
      </c>
      <c r="S236" s="1">
        <v>40.0</v>
      </c>
      <c r="X236" s="1" t="s">
        <v>186</v>
      </c>
      <c r="Y236" s="1" t="s">
        <v>471</v>
      </c>
      <c r="AE236" s="1">
        <v>332238.0</v>
      </c>
      <c r="AF236" s="1">
        <v>2278.0</v>
      </c>
      <c r="AG236" s="1">
        <v>20.0</v>
      </c>
      <c r="AH236" s="1">
        <v>58.0</v>
      </c>
      <c r="AI236" s="1">
        <v>56.0</v>
      </c>
      <c r="AJ236" s="1">
        <v>56.0</v>
      </c>
      <c r="AK236" s="1">
        <v>180.0</v>
      </c>
      <c r="AL236" s="1">
        <v>59.0</v>
      </c>
    </row>
    <row r="237" ht="15.75" customHeight="1">
      <c r="A237" s="1">
        <v>236.0</v>
      </c>
      <c r="B237" s="1" t="s">
        <v>137</v>
      </c>
      <c r="C237" s="1" t="s">
        <v>1038</v>
      </c>
      <c r="E237" s="1">
        <v>50.0</v>
      </c>
      <c r="H237" s="1">
        <v>25.0</v>
      </c>
      <c r="I237" s="1">
        <v>3.0</v>
      </c>
      <c r="J237" s="1">
        <v>4.0</v>
      </c>
      <c r="K237" s="1">
        <v>3.0</v>
      </c>
      <c r="S237" s="1">
        <v>40.0</v>
      </c>
      <c r="X237" s="1" t="s">
        <v>564</v>
      </c>
      <c r="Y237" s="1" t="s">
        <v>471</v>
      </c>
      <c r="AE237" s="1">
        <v>51332.0</v>
      </c>
      <c r="AF237" s="1">
        <v>2282.0</v>
      </c>
      <c r="AG237" s="1">
        <v>14.0</v>
      </c>
      <c r="AL237" s="1">
        <v>59.0</v>
      </c>
    </row>
    <row r="238" ht="15.75" customHeight="1">
      <c r="A238" s="1">
        <v>237.0</v>
      </c>
      <c r="B238" s="1" t="s">
        <v>137</v>
      </c>
      <c r="C238" s="1" t="s">
        <v>1040</v>
      </c>
      <c r="H238" s="1">
        <v>19.0</v>
      </c>
      <c r="I238" s="1">
        <v>2.0</v>
      </c>
      <c r="J238" s="1">
        <v>2.0</v>
      </c>
      <c r="K238" s="1">
        <v>2.0</v>
      </c>
      <c r="L238" s="1">
        <v>2.0</v>
      </c>
      <c r="S238" s="1">
        <v>40.0</v>
      </c>
      <c r="X238" s="1" t="s">
        <v>634</v>
      </c>
      <c r="Y238" s="1" t="s">
        <v>471</v>
      </c>
      <c r="AE238" s="1">
        <v>332288.0</v>
      </c>
      <c r="AF238" s="1">
        <v>2278.0</v>
      </c>
      <c r="AG238" s="1">
        <v>9.0</v>
      </c>
      <c r="AL238" s="1">
        <v>59.0</v>
      </c>
    </row>
    <row r="239" ht="15.75" customHeight="1">
      <c r="A239" s="1">
        <v>238.0</v>
      </c>
      <c r="B239" s="1" t="s">
        <v>137</v>
      </c>
      <c r="C239" s="1" t="s">
        <v>1042</v>
      </c>
      <c r="E239" s="1">
        <v>70.0</v>
      </c>
      <c r="H239" s="1">
        <v>40.0</v>
      </c>
      <c r="I239" s="1">
        <v>7.0</v>
      </c>
      <c r="J239" s="1">
        <v>7.0</v>
      </c>
      <c r="K239" s="1">
        <v>7.0</v>
      </c>
      <c r="S239" s="1">
        <v>40.0</v>
      </c>
      <c r="X239" s="1" t="s">
        <v>140</v>
      </c>
      <c r="Y239" s="1" t="s">
        <v>471</v>
      </c>
      <c r="AE239" s="1">
        <v>332231.0</v>
      </c>
      <c r="AF239" s="1">
        <v>2278.0</v>
      </c>
      <c r="AG239" s="1">
        <v>11.0</v>
      </c>
      <c r="AL239" s="1">
        <v>59.0</v>
      </c>
    </row>
    <row r="240" ht="15.75" customHeight="1">
      <c r="A240" s="1">
        <v>239.0</v>
      </c>
      <c r="B240" s="1" t="s">
        <v>137</v>
      </c>
      <c r="C240" s="1" t="s">
        <v>1050</v>
      </c>
      <c r="E240" s="1">
        <v>50.0</v>
      </c>
      <c r="F240" s="1">
        <v>80.0</v>
      </c>
      <c r="H240" s="1">
        <v>35.0</v>
      </c>
      <c r="I240" s="1">
        <v>5.0</v>
      </c>
      <c r="J240" s="1">
        <v>5.0</v>
      </c>
      <c r="K240" s="1">
        <v>5.0</v>
      </c>
      <c r="L240" s="1">
        <v>5.0</v>
      </c>
      <c r="S240" s="1">
        <v>50.0</v>
      </c>
      <c r="X240" s="1" t="s">
        <v>564</v>
      </c>
      <c r="Y240" s="1" t="s">
        <v>141</v>
      </c>
      <c r="AE240" s="1">
        <v>332204.0</v>
      </c>
      <c r="AF240" s="1">
        <v>2278.0</v>
      </c>
      <c r="AG240" s="1">
        <v>1.0</v>
      </c>
      <c r="AH240" s="1">
        <v>28.0</v>
      </c>
      <c r="AI240" s="1">
        <v>113.0</v>
      </c>
      <c r="AJ240" s="1">
        <v>216.0</v>
      </c>
      <c r="AK240" s="1">
        <v>180.0</v>
      </c>
      <c r="AL240" s="1">
        <v>31.0</v>
      </c>
    </row>
    <row r="241" ht="15.75" customHeight="1">
      <c r="A241" s="1">
        <v>240.0</v>
      </c>
      <c r="B241" s="1" t="s">
        <v>137</v>
      </c>
      <c r="C241" s="1" t="s">
        <v>1053</v>
      </c>
      <c r="F241" s="1">
        <v>50.0</v>
      </c>
      <c r="H241" s="1">
        <v>20.0</v>
      </c>
      <c r="J241" s="1">
        <v>3.0</v>
      </c>
      <c r="L241" s="1">
        <v>4.0</v>
      </c>
      <c r="S241" s="1">
        <v>50.0</v>
      </c>
      <c r="X241" s="1" t="s">
        <v>634</v>
      </c>
      <c r="Y241" s="1" t="s">
        <v>141</v>
      </c>
      <c r="AE241" s="1">
        <v>332213.0</v>
      </c>
      <c r="AF241" s="1">
        <v>2278.0</v>
      </c>
      <c r="AG241" s="1">
        <v>2.0</v>
      </c>
      <c r="AH241" s="1">
        <v>181.0</v>
      </c>
      <c r="AI241" s="1">
        <v>131.0</v>
      </c>
      <c r="AJ241" s="1">
        <v>90.0</v>
      </c>
      <c r="AK241" s="1">
        <v>180.0</v>
      </c>
      <c r="AL241" s="1">
        <v>31.0</v>
      </c>
    </row>
    <row r="242" ht="15.75" customHeight="1">
      <c r="A242" s="1">
        <v>241.0</v>
      </c>
      <c r="B242" s="1" t="s">
        <v>137</v>
      </c>
      <c r="C242" s="1" t="s">
        <v>1055</v>
      </c>
      <c r="H242" s="1">
        <v>35.0</v>
      </c>
      <c r="I242" s="1">
        <v>4.0</v>
      </c>
      <c r="J242" s="1">
        <v>4.0</v>
      </c>
      <c r="L242" s="1">
        <v>4.0</v>
      </c>
      <c r="S242" s="1">
        <v>50.0</v>
      </c>
      <c r="X242" s="1" t="s">
        <v>186</v>
      </c>
      <c r="Y242" s="1" t="s">
        <v>141</v>
      </c>
      <c r="AA242" s="1">
        <v>1.0</v>
      </c>
      <c r="AE242" s="1">
        <v>332240.0</v>
      </c>
      <c r="AF242" s="1">
        <v>2278.0</v>
      </c>
      <c r="AG242" s="1">
        <v>22.0</v>
      </c>
      <c r="AH242" s="1">
        <v>28.0</v>
      </c>
      <c r="AI242" s="1">
        <v>113.0</v>
      </c>
      <c r="AJ242" s="1">
        <v>216.0</v>
      </c>
      <c r="AK242" s="1">
        <v>180.0</v>
      </c>
      <c r="AL242" s="1">
        <v>31.0</v>
      </c>
    </row>
    <row r="243" ht="15.75" customHeight="1">
      <c r="A243" s="1">
        <v>242.0</v>
      </c>
      <c r="B243" s="1" t="s">
        <v>137</v>
      </c>
      <c r="C243" s="1" t="s">
        <v>768</v>
      </c>
      <c r="E243" s="1">
        <v>75.0</v>
      </c>
      <c r="F243" s="1">
        <v>100.0</v>
      </c>
      <c r="H243" s="1">
        <v>45.0</v>
      </c>
      <c r="J243" s="1">
        <v>6.0</v>
      </c>
      <c r="L243" s="1">
        <v>8.0</v>
      </c>
      <c r="S243" s="1">
        <v>50.0</v>
      </c>
      <c r="X243" s="1" t="s">
        <v>140</v>
      </c>
      <c r="Y243" s="1" t="s">
        <v>141</v>
      </c>
      <c r="AE243" s="1">
        <v>332245.0</v>
      </c>
      <c r="AF243" s="1">
        <v>2278.0</v>
      </c>
      <c r="AG243" s="1">
        <v>15.0</v>
      </c>
      <c r="AH243" s="1">
        <v>49.0</v>
      </c>
      <c r="AI243" s="1">
        <v>65.0</v>
      </c>
      <c r="AJ243" s="1">
        <v>148.0</v>
      </c>
      <c r="AK243" s="1">
        <v>160.0</v>
      </c>
      <c r="AL243" s="1">
        <v>31.0</v>
      </c>
    </row>
    <row r="244" ht="15.75" customHeight="1">
      <c r="A244" s="1">
        <v>243.0</v>
      </c>
      <c r="B244" s="1" t="s">
        <v>137</v>
      </c>
      <c r="C244" s="1" t="s">
        <v>1059</v>
      </c>
      <c r="E244" s="1">
        <v>35.0</v>
      </c>
      <c r="F244" s="1">
        <v>100.0</v>
      </c>
      <c r="H244" s="1">
        <v>30.0</v>
      </c>
      <c r="L244" s="1">
        <v>8.0</v>
      </c>
      <c r="S244" s="1">
        <v>50.0</v>
      </c>
      <c r="X244" s="1" t="s">
        <v>564</v>
      </c>
      <c r="Y244" s="1" t="s">
        <v>141</v>
      </c>
      <c r="AE244" s="1">
        <v>332204.0</v>
      </c>
      <c r="AF244" s="1">
        <v>2278.0</v>
      </c>
      <c r="AG244" s="1">
        <v>1.0</v>
      </c>
      <c r="AH244" s="1">
        <v>224.0</v>
      </c>
      <c r="AI244" s="1">
        <v>27.0</v>
      </c>
      <c r="AJ244" s="1">
        <v>36.0</v>
      </c>
      <c r="AK244" s="1">
        <v>180.0</v>
      </c>
      <c r="AL244" s="1">
        <v>47.0</v>
      </c>
    </row>
    <row r="245" ht="15.75" customHeight="1">
      <c r="A245" s="1">
        <v>244.0</v>
      </c>
      <c r="B245" s="1" t="s">
        <v>137</v>
      </c>
      <c r="C245" s="1" t="s">
        <v>1060</v>
      </c>
      <c r="F245" s="1">
        <v>40.0</v>
      </c>
      <c r="H245" s="1">
        <v>20.0</v>
      </c>
      <c r="J245" s="1">
        <v>3.0</v>
      </c>
      <c r="L245" s="1">
        <v>6.0</v>
      </c>
      <c r="S245" s="1">
        <v>50.0</v>
      </c>
      <c r="X245" s="1" t="s">
        <v>634</v>
      </c>
      <c r="Y245" s="1" t="s">
        <v>141</v>
      </c>
      <c r="AE245" s="1">
        <v>332213.0</v>
      </c>
      <c r="AF245" s="1">
        <v>2278.0</v>
      </c>
      <c r="AG245" s="1">
        <v>2.0</v>
      </c>
      <c r="AH245" s="1">
        <v>237.0</v>
      </c>
      <c r="AI245" s="1">
        <v>51.0</v>
      </c>
      <c r="AJ245" s="1">
        <v>59.0</v>
      </c>
      <c r="AK245" s="1">
        <v>180.0</v>
      </c>
      <c r="AL245" s="1">
        <v>47.0</v>
      </c>
    </row>
    <row r="246" ht="15.75" customHeight="1">
      <c r="A246" s="1">
        <v>245.0</v>
      </c>
      <c r="B246" s="1" t="s">
        <v>137</v>
      </c>
      <c r="C246" s="1" t="s">
        <v>1061</v>
      </c>
      <c r="E246" s="1">
        <v>40.0</v>
      </c>
      <c r="F246" s="1">
        <v>125.0</v>
      </c>
      <c r="H246" s="1">
        <v>40.0</v>
      </c>
      <c r="L246" s="1">
        <v>15.0</v>
      </c>
      <c r="S246" s="1">
        <v>50.0</v>
      </c>
      <c r="X246" s="1" t="s">
        <v>140</v>
      </c>
      <c r="Y246" s="1" t="s">
        <v>141</v>
      </c>
      <c r="AE246" s="1">
        <v>332245.0</v>
      </c>
      <c r="AF246" s="1">
        <v>2278.0</v>
      </c>
      <c r="AG246" s="1">
        <v>15.0</v>
      </c>
      <c r="AH246" s="1">
        <v>192.0</v>
      </c>
      <c r="AI246" s="1">
        <v>28.0</v>
      </c>
      <c r="AJ246" s="1">
        <v>40.0</v>
      </c>
      <c r="AK246" s="1">
        <v>180.0</v>
      </c>
      <c r="AL246" s="1">
        <v>47.0</v>
      </c>
    </row>
    <row r="247" ht="15.75" customHeight="1">
      <c r="A247" s="1">
        <v>246.0</v>
      </c>
      <c r="B247" s="1" t="s">
        <v>137</v>
      </c>
      <c r="C247" s="1" t="s">
        <v>1063</v>
      </c>
      <c r="H247" s="1">
        <v>30.0</v>
      </c>
      <c r="J247" s="1">
        <v>3.0</v>
      </c>
      <c r="L247" s="1">
        <v>8.0</v>
      </c>
      <c r="S247" s="1">
        <v>50.0</v>
      </c>
      <c r="X247" s="1" t="s">
        <v>186</v>
      </c>
      <c r="Y247" s="1" t="s">
        <v>141</v>
      </c>
      <c r="AA247" s="1">
        <v>1.0</v>
      </c>
      <c r="AE247" s="1">
        <v>332240.0</v>
      </c>
      <c r="AF247" s="1">
        <v>2278.0</v>
      </c>
      <c r="AG247" s="1">
        <v>22.0</v>
      </c>
      <c r="AH247" s="1">
        <v>224.0</v>
      </c>
      <c r="AI247" s="1">
        <v>27.0</v>
      </c>
      <c r="AJ247" s="1">
        <v>36.0</v>
      </c>
      <c r="AK247" s="1">
        <v>180.0</v>
      </c>
      <c r="AL247" s="1">
        <v>47.0</v>
      </c>
    </row>
    <row r="248" ht="15.75" customHeight="1">
      <c r="A248" s="1">
        <v>247.0</v>
      </c>
      <c r="B248" s="1" t="s">
        <v>137</v>
      </c>
      <c r="C248" s="1" t="s">
        <v>1064</v>
      </c>
      <c r="E248" s="1">
        <v>25.0</v>
      </c>
      <c r="F248" s="1">
        <v>120.0</v>
      </c>
      <c r="H248" s="1">
        <v>75.0</v>
      </c>
      <c r="J248" s="1">
        <v>3.0</v>
      </c>
      <c r="L248" s="1">
        <v>15.0</v>
      </c>
      <c r="S248" s="1">
        <v>50.0</v>
      </c>
      <c r="X248" s="1" t="s">
        <v>564</v>
      </c>
      <c r="Y248" s="1" t="s">
        <v>141</v>
      </c>
      <c r="AE248" s="1">
        <v>332204.0</v>
      </c>
      <c r="AF248" s="1">
        <v>2278.0</v>
      </c>
      <c r="AG248" s="1">
        <v>1.0</v>
      </c>
      <c r="AH248" s="1">
        <v>82.0</v>
      </c>
      <c r="AI248" s="1">
        <v>138.0</v>
      </c>
      <c r="AJ248" s="1">
        <v>156.0</v>
      </c>
      <c r="AK248" s="1">
        <v>190.0</v>
      </c>
      <c r="AL248" s="1">
        <v>15.0</v>
      </c>
    </row>
    <row r="249" ht="15.75" customHeight="1">
      <c r="A249" s="1">
        <v>248.0</v>
      </c>
      <c r="B249" s="1" t="s">
        <v>137</v>
      </c>
      <c r="C249" s="1" t="s">
        <v>1065</v>
      </c>
      <c r="F249" s="1">
        <v>75.0</v>
      </c>
      <c r="H249" s="1">
        <v>35.0</v>
      </c>
      <c r="J249" s="1">
        <v>5.0</v>
      </c>
      <c r="L249" s="1">
        <v>9.0</v>
      </c>
      <c r="S249" s="1">
        <v>50.0</v>
      </c>
      <c r="X249" s="1" t="s">
        <v>634</v>
      </c>
      <c r="Y249" s="1" t="s">
        <v>141</v>
      </c>
      <c r="AE249" s="1">
        <v>332213.0</v>
      </c>
      <c r="AF249" s="1">
        <v>2278.0</v>
      </c>
      <c r="AG249" s="1">
        <v>2.0</v>
      </c>
      <c r="AH249" s="1">
        <v>82.0</v>
      </c>
      <c r="AI249" s="1">
        <v>138.0</v>
      </c>
      <c r="AJ249" s="1">
        <v>156.0</v>
      </c>
      <c r="AK249" s="1">
        <v>190.0</v>
      </c>
      <c r="AL249" s="1">
        <v>15.0</v>
      </c>
    </row>
    <row r="250" ht="15.75" customHeight="1">
      <c r="A250" s="1">
        <v>249.0</v>
      </c>
      <c r="B250" s="1" t="s">
        <v>137</v>
      </c>
      <c r="C250" s="1" t="s">
        <v>1066</v>
      </c>
      <c r="H250" s="1">
        <v>55.0</v>
      </c>
      <c r="J250" s="1">
        <v>5.0</v>
      </c>
      <c r="L250" s="1">
        <v>13.0</v>
      </c>
      <c r="S250" s="1">
        <v>50.0</v>
      </c>
      <c r="X250" s="1" t="s">
        <v>186</v>
      </c>
      <c r="Y250" s="1" t="s">
        <v>141</v>
      </c>
      <c r="AA250" s="1">
        <v>1.0</v>
      </c>
      <c r="AE250" s="1">
        <v>332240.0</v>
      </c>
      <c r="AF250" s="1">
        <v>2278.0</v>
      </c>
      <c r="AG250" s="1">
        <v>22.0</v>
      </c>
      <c r="AH250" s="1">
        <v>82.0</v>
      </c>
      <c r="AI250" s="1">
        <v>138.0</v>
      </c>
      <c r="AJ250" s="1">
        <v>156.0</v>
      </c>
      <c r="AK250" s="1">
        <v>190.0</v>
      </c>
      <c r="AL250" s="1">
        <v>15.0</v>
      </c>
    </row>
    <row r="251" ht="15.75" customHeight="1">
      <c r="A251" s="1">
        <v>250.0</v>
      </c>
      <c r="B251" s="1" t="s">
        <v>137</v>
      </c>
      <c r="C251" s="1" t="s">
        <v>1067</v>
      </c>
      <c r="E251" s="1">
        <v>25.0</v>
      </c>
      <c r="F251" s="1">
        <v>200.0</v>
      </c>
      <c r="H251" s="1">
        <v>75.0</v>
      </c>
      <c r="J251" s="1">
        <v>3.0</v>
      </c>
      <c r="L251" s="1">
        <v>20.0</v>
      </c>
      <c r="S251" s="1">
        <v>50.0</v>
      </c>
      <c r="X251" s="1" t="s">
        <v>140</v>
      </c>
      <c r="Y251" s="1" t="s">
        <v>141</v>
      </c>
      <c r="AA251" s="1">
        <v>1.0</v>
      </c>
      <c r="AE251" s="1">
        <v>820002.0</v>
      </c>
      <c r="AF251" s="1">
        <v>20397.0</v>
      </c>
      <c r="AG251" s="1">
        <v>118.0</v>
      </c>
      <c r="AI251" s="1">
        <v>128.0</v>
      </c>
      <c r="AK251" s="1">
        <v>100.0</v>
      </c>
      <c r="AL251" s="1">
        <v>15.0</v>
      </c>
    </row>
    <row r="252" ht="15.75" customHeight="1">
      <c r="A252" s="1">
        <v>251.0</v>
      </c>
      <c r="B252" s="1" t="s">
        <v>148</v>
      </c>
      <c r="C252" s="1" t="s">
        <v>1068</v>
      </c>
      <c r="E252" s="1">
        <v>125.0</v>
      </c>
      <c r="F252" s="1">
        <v>125.0</v>
      </c>
      <c r="S252" s="1">
        <v>50.0</v>
      </c>
      <c r="V252" s="1">
        <v>50.0</v>
      </c>
      <c r="X252" s="1" t="s">
        <v>153</v>
      </c>
      <c r="Y252" s="1" t="s">
        <v>211</v>
      </c>
      <c r="AA252" s="1">
        <v>1.0</v>
      </c>
      <c r="AB252" s="1">
        <v>1.0</v>
      </c>
      <c r="AC252" s="1">
        <v>1.0</v>
      </c>
      <c r="AE252" s="1">
        <v>331352.0</v>
      </c>
      <c r="AF252" s="1">
        <v>2269.0</v>
      </c>
      <c r="AG252" s="1">
        <v>64.0</v>
      </c>
      <c r="AH252" s="1">
        <v>185.0</v>
      </c>
      <c r="AI252" s="1">
        <v>40.0</v>
      </c>
      <c r="AJ252" s="1">
        <v>29.0</v>
      </c>
      <c r="AK252" s="1">
        <v>160.0</v>
      </c>
      <c r="AN252" s="1">
        <v>4.0</v>
      </c>
      <c r="AO252" s="1">
        <v>76.0</v>
      </c>
    </row>
    <row r="253" ht="15.75" customHeight="1">
      <c r="A253" s="1">
        <v>252.0</v>
      </c>
      <c r="B253" s="1" t="s">
        <v>148</v>
      </c>
      <c r="C253" s="1" t="s">
        <v>1069</v>
      </c>
      <c r="E253" s="1">
        <v>100.0</v>
      </c>
      <c r="I253" s="1">
        <v>5.0</v>
      </c>
      <c r="J253" s="1">
        <v>7.0</v>
      </c>
      <c r="K253" s="1">
        <v>15.0</v>
      </c>
      <c r="S253" s="1">
        <v>50.0</v>
      </c>
      <c r="V253" s="1">
        <v>100.0</v>
      </c>
      <c r="X253" s="1" t="s">
        <v>153</v>
      </c>
      <c r="Y253" s="1" t="s">
        <v>211</v>
      </c>
      <c r="AA253" s="1">
        <v>1.0</v>
      </c>
      <c r="AE253" s="1">
        <v>331356.0</v>
      </c>
      <c r="AF253" s="1">
        <v>2269.0</v>
      </c>
      <c r="AG253" s="1">
        <v>73.0</v>
      </c>
      <c r="AH253" s="1">
        <v>231.0</v>
      </c>
      <c r="AI253" s="1">
        <v>223.0</v>
      </c>
      <c r="AJ253" s="1">
        <v>107.0</v>
      </c>
      <c r="AK253" s="1">
        <v>130.0</v>
      </c>
      <c r="AL253" s="1">
        <v>59.0</v>
      </c>
      <c r="AN253" s="1">
        <v>4.0</v>
      </c>
      <c r="AO253" s="1">
        <v>115.0</v>
      </c>
    </row>
    <row r="254" ht="15.75" customHeight="1">
      <c r="A254" s="1">
        <v>253.0</v>
      </c>
      <c r="B254" s="1" t="s">
        <v>148</v>
      </c>
      <c r="C254" s="1" t="s">
        <v>1070</v>
      </c>
      <c r="I254" s="1">
        <v>25.0</v>
      </c>
      <c r="J254" s="1">
        <v>10.0</v>
      </c>
      <c r="S254" s="1">
        <v>50.0</v>
      </c>
      <c r="V254" s="1">
        <v>110.0</v>
      </c>
      <c r="X254" s="1" t="s">
        <v>153</v>
      </c>
      <c r="Y254" s="1" t="s">
        <v>211</v>
      </c>
      <c r="AA254" s="1">
        <v>1.0</v>
      </c>
      <c r="AE254" s="1">
        <v>331385.0</v>
      </c>
      <c r="AF254" s="1">
        <v>2269.0</v>
      </c>
      <c r="AG254" s="1">
        <v>109.0</v>
      </c>
      <c r="AL254" s="1">
        <v>55.0</v>
      </c>
      <c r="AN254" s="1">
        <v>4.0</v>
      </c>
    </row>
    <row r="255" ht="15.75" customHeight="1">
      <c r="A255" s="1">
        <v>254.0</v>
      </c>
      <c r="B255" s="1" t="s">
        <v>137</v>
      </c>
      <c r="C255" s="1" t="s">
        <v>1071</v>
      </c>
      <c r="E255" s="1">
        <v>20.0</v>
      </c>
      <c r="F255" s="1">
        <v>20.0</v>
      </c>
      <c r="H255" s="1">
        <v>20.0</v>
      </c>
      <c r="S255" s="1">
        <v>20.0</v>
      </c>
      <c r="V255" s="1">
        <v>0.0</v>
      </c>
      <c r="X255" s="1" t="s">
        <v>715</v>
      </c>
      <c r="AA255" s="1">
        <v>1.0</v>
      </c>
      <c r="AE255" s="1">
        <v>820233.0</v>
      </c>
      <c r="AF255" s="1">
        <v>20399.0</v>
      </c>
    </row>
    <row r="256" ht="15.75" customHeight="1">
      <c r="A256" s="1">
        <v>255.0</v>
      </c>
      <c r="B256" s="1" t="s">
        <v>137</v>
      </c>
      <c r="C256" s="1" t="s">
        <v>1072</v>
      </c>
      <c r="E256" s="1">
        <v>25.0</v>
      </c>
      <c r="F256" s="1">
        <v>15.0</v>
      </c>
      <c r="H256" s="1">
        <v>10.0</v>
      </c>
      <c r="I256" s="1">
        <v>3.0</v>
      </c>
      <c r="J256" s="1">
        <v>3.0</v>
      </c>
      <c r="K256" s="1">
        <v>3.0</v>
      </c>
      <c r="L256" s="1">
        <v>3.0</v>
      </c>
      <c r="S256" s="1">
        <v>20.0</v>
      </c>
      <c r="V256" s="1">
        <v>0.0</v>
      </c>
      <c r="X256" s="1" t="s">
        <v>737</v>
      </c>
      <c r="AE256" s="1">
        <v>820205.0</v>
      </c>
      <c r="AF256" s="1">
        <v>20399.0</v>
      </c>
    </row>
    <row r="257" ht="15.75" customHeight="1">
      <c r="A257" s="1">
        <v>256.0</v>
      </c>
      <c r="B257" s="1" t="s">
        <v>137</v>
      </c>
      <c r="C257" s="1" t="s">
        <v>1073</v>
      </c>
      <c r="E257" s="1">
        <v>25.0</v>
      </c>
      <c r="H257" s="1">
        <v>35.0</v>
      </c>
      <c r="I257" s="1">
        <v>2.0</v>
      </c>
      <c r="J257" s="1">
        <v>2.0</v>
      </c>
      <c r="K257" s="1">
        <v>2.0</v>
      </c>
      <c r="L257" s="1">
        <v>2.0</v>
      </c>
      <c r="S257" s="1">
        <v>20.0</v>
      </c>
      <c r="X257" s="1" t="s">
        <v>140</v>
      </c>
      <c r="Y257" s="1" t="s">
        <v>141</v>
      </c>
      <c r="AE257" s="1">
        <v>820040.0</v>
      </c>
      <c r="AF257" s="1">
        <v>20397.0</v>
      </c>
      <c r="AG257" s="1">
        <v>13.0</v>
      </c>
    </row>
    <row r="258" ht="15.75" customHeight="1">
      <c r="A258" s="1">
        <v>257.0</v>
      </c>
      <c r="B258" s="1" t="s">
        <v>148</v>
      </c>
      <c r="C258" s="1" t="s">
        <v>1074</v>
      </c>
      <c r="I258" s="1">
        <v>5.0</v>
      </c>
      <c r="J258" s="1">
        <v>4.0</v>
      </c>
      <c r="K258" s="1">
        <v>9.0</v>
      </c>
      <c r="S258" s="1">
        <v>50.0</v>
      </c>
      <c r="V258" s="1">
        <v>90.0</v>
      </c>
      <c r="X258" s="1" t="s">
        <v>153</v>
      </c>
      <c r="Y258" s="1" t="s">
        <v>208</v>
      </c>
      <c r="AA258" s="1">
        <v>1.0</v>
      </c>
      <c r="AE258" s="1">
        <v>331371.0</v>
      </c>
      <c r="AF258" s="1">
        <v>2269.0</v>
      </c>
      <c r="AG258" s="1">
        <v>90.0</v>
      </c>
      <c r="AL258" s="1">
        <v>51.0</v>
      </c>
    </row>
    <row r="259" ht="15.75" customHeight="1">
      <c r="A259" s="1">
        <v>258.0</v>
      </c>
      <c r="B259" s="1" t="s">
        <v>148</v>
      </c>
      <c r="C259" s="1" t="s">
        <v>1075</v>
      </c>
      <c r="I259" s="1">
        <v>3.0</v>
      </c>
      <c r="J259" s="1">
        <v>3.0</v>
      </c>
      <c r="K259" s="1">
        <v>7.0</v>
      </c>
      <c r="S259" s="1">
        <v>50.0</v>
      </c>
      <c r="V259" s="1">
        <v>65.0</v>
      </c>
      <c r="X259" s="1" t="s">
        <v>153</v>
      </c>
      <c r="Y259" s="1" t="s">
        <v>208</v>
      </c>
      <c r="AA259" s="1">
        <v>1.0</v>
      </c>
      <c r="AE259" s="1">
        <v>820050.0</v>
      </c>
      <c r="AF259" s="1">
        <v>20397.0</v>
      </c>
      <c r="AG259" s="1">
        <v>85.0</v>
      </c>
      <c r="AL259" s="1">
        <v>15.0</v>
      </c>
      <c r="AN259" s="1">
        <v>4.0</v>
      </c>
    </row>
    <row r="260" ht="15.75" customHeight="1">
      <c r="A260" s="1">
        <v>259.0</v>
      </c>
      <c r="B260" s="1" t="s">
        <v>148</v>
      </c>
      <c r="C260" s="1" t="s">
        <v>1076</v>
      </c>
      <c r="E260" s="1">
        <v>50.0</v>
      </c>
      <c r="F260" s="1">
        <v>50.0</v>
      </c>
      <c r="I260" s="1">
        <v>3.0</v>
      </c>
      <c r="J260" s="1">
        <v>2.0</v>
      </c>
      <c r="K260" s="1">
        <v>3.0</v>
      </c>
      <c r="S260" s="1">
        <v>40.0</v>
      </c>
      <c r="V260" s="1">
        <v>80.0</v>
      </c>
      <c r="X260" s="1" t="s">
        <v>153</v>
      </c>
      <c r="Y260" s="1" t="s">
        <v>208</v>
      </c>
      <c r="AA260" s="1">
        <v>1.0</v>
      </c>
      <c r="AE260" s="1">
        <v>820050.0</v>
      </c>
      <c r="AF260" s="1">
        <v>20397.0</v>
      </c>
      <c r="AG260" s="1">
        <v>85.0</v>
      </c>
      <c r="AL260" s="1">
        <v>51.0</v>
      </c>
      <c r="AN260" s="1">
        <v>4.0</v>
      </c>
    </row>
    <row r="261" ht="15.75" customHeight="1">
      <c r="A261" s="1">
        <v>260.0</v>
      </c>
      <c r="B261" s="1" t="s">
        <v>137</v>
      </c>
      <c r="C261" s="1" t="s">
        <v>1077</v>
      </c>
      <c r="E261" s="1">
        <v>50.0</v>
      </c>
      <c r="F261" s="1">
        <v>100.0</v>
      </c>
      <c r="H261" s="1">
        <v>30.0</v>
      </c>
      <c r="I261" s="1">
        <v>5.0</v>
      </c>
      <c r="J261" s="1">
        <v>5.0</v>
      </c>
      <c r="L261" s="1">
        <v>5.0</v>
      </c>
      <c r="X261" s="1" t="s">
        <v>634</v>
      </c>
      <c r="Y261" s="1" t="s">
        <v>141</v>
      </c>
      <c r="AE261" s="1">
        <v>331404.0</v>
      </c>
      <c r="AF261" s="1">
        <v>2270.0</v>
      </c>
      <c r="AG261" s="1">
        <v>7.0</v>
      </c>
    </row>
    <row r="262" ht="15.75" customHeight="1">
      <c r="A262" s="1">
        <v>261.0</v>
      </c>
      <c r="B262" s="1" t="s">
        <v>148</v>
      </c>
      <c r="C262" s="1" t="s">
        <v>1078</v>
      </c>
      <c r="E262" s="1">
        <v>300.0</v>
      </c>
      <c r="F262" s="1">
        <v>300.0</v>
      </c>
      <c r="I262" s="1">
        <v>20.0</v>
      </c>
      <c r="J262" s="1">
        <v>10.0</v>
      </c>
      <c r="K262" s="1">
        <v>10.0</v>
      </c>
      <c r="L262" s="1">
        <v>10.0</v>
      </c>
      <c r="S262" s="1">
        <v>50.0</v>
      </c>
      <c r="V262" s="1">
        <v>100.0</v>
      </c>
      <c r="X262" s="1" t="s">
        <v>153</v>
      </c>
      <c r="Y262" s="1" t="s">
        <v>155</v>
      </c>
      <c r="AE262" s="1">
        <v>820014.0</v>
      </c>
      <c r="AF262" s="1">
        <v>20397.0</v>
      </c>
    </row>
    <row r="263" ht="15.75" customHeight="1">
      <c r="A263" s="1">
        <v>262.0</v>
      </c>
      <c r="B263" s="1" t="s">
        <v>177</v>
      </c>
      <c r="C263" s="1" t="s">
        <v>1079</v>
      </c>
      <c r="AE263" s="1">
        <v>820500.0</v>
      </c>
      <c r="AF263" s="1">
        <v>20402.0</v>
      </c>
      <c r="AH263" s="1">
        <v>128.0</v>
      </c>
      <c r="AK263" s="1">
        <v>100.0</v>
      </c>
      <c r="AM263" s="1">
        <v>10.0</v>
      </c>
    </row>
    <row r="264" ht="15.75" customHeight="1">
      <c r="A264" s="1">
        <v>263.0</v>
      </c>
      <c r="B264" s="1" t="s">
        <v>177</v>
      </c>
      <c r="C264" s="1" t="s">
        <v>1080</v>
      </c>
      <c r="AE264" s="1">
        <v>820500.0</v>
      </c>
      <c r="AF264" s="1">
        <v>20402.0</v>
      </c>
      <c r="AI264" s="1">
        <v>128.0</v>
      </c>
      <c r="AJ264" s="1">
        <v>255.0</v>
      </c>
      <c r="AK264" s="1">
        <v>100.0</v>
      </c>
      <c r="AM264" s="1">
        <v>10.0</v>
      </c>
    </row>
    <row r="265" ht="15.75" customHeight="1">
      <c r="A265" s="1">
        <v>264.0</v>
      </c>
      <c r="B265" s="1" t="s">
        <v>177</v>
      </c>
      <c r="C265" s="1" t="s">
        <v>1081</v>
      </c>
      <c r="AE265" s="1">
        <v>820500.0</v>
      </c>
      <c r="AF265" s="1">
        <v>20402.0</v>
      </c>
      <c r="AH265" s="1">
        <v>255.0</v>
      </c>
      <c r="AK265" s="1">
        <v>100.0</v>
      </c>
      <c r="AM265" s="1">
        <v>10.0</v>
      </c>
    </row>
    <row r="266" ht="15.75" customHeight="1">
      <c r="A266" s="1">
        <v>265.0</v>
      </c>
      <c r="B266" s="1" t="s">
        <v>177</v>
      </c>
      <c r="C266" s="1" t="s">
        <v>1082</v>
      </c>
      <c r="AE266" s="1">
        <v>820500.0</v>
      </c>
      <c r="AF266" s="1">
        <v>20402.0</v>
      </c>
      <c r="AH266" s="1">
        <v>255.0</v>
      </c>
      <c r="AI266" s="1">
        <v>255.0</v>
      </c>
      <c r="AJ266" s="1">
        <v>255.0</v>
      </c>
      <c r="AK266" s="1">
        <v>130.0</v>
      </c>
      <c r="AM266" s="1">
        <v>10.0</v>
      </c>
    </row>
    <row r="267" ht="15.75" customHeight="1">
      <c r="A267" s="1">
        <v>266.0</v>
      </c>
      <c r="B267" s="1" t="s">
        <v>177</v>
      </c>
      <c r="C267" s="1" t="s">
        <v>1083</v>
      </c>
      <c r="AA267" s="1">
        <v>1.0</v>
      </c>
      <c r="AB267" s="1">
        <v>1.0</v>
      </c>
      <c r="AE267" s="1">
        <v>820171.0</v>
      </c>
      <c r="AF267" s="1">
        <v>20398.0</v>
      </c>
    </row>
    <row r="268" ht="15.75" customHeight="1">
      <c r="A268" s="1">
        <v>267.0</v>
      </c>
      <c r="B268" s="1" t="s">
        <v>177</v>
      </c>
      <c r="C268" s="1" t="s">
        <v>1084</v>
      </c>
      <c r="AA268" s="1">
        <v>1.0</v>
      </c>
      <c r="AE268" s="1">
        <v>820501.0</v>
      </c>
      <c r="AF268" s="1">
        <v>20402.0</v>
      </c>
      <c r="AH268" s="1">
        <v>180.0</v>
      </c>
      <c r="AK268" s="1">
        <v>150.0</v>
      </c>
    </row>
    <row r="269" ht="15.75" customHeight="1">
      <c r="A269" s="1">
        <v>268.0</v>
      </c>
      <c r="B269" s="1" t="s">
        <v>177</v>
      </c>
      <c r="C269" s="1" t="s">
        <v>1085</v>
      </c>
      <c r="AA269" s="1">
        <v>1.0</v>
      </c>
      <c r="AE269" s="1">
        <v>820102.0</v>
      </c>
      <c r="AF269" s="1">
        <v>20398.0</v>
      </c>
    </row>
    <row r="270" ht="15.75" customHeight="1">
      <c r="A270" s="1">
        <v>269.0</v>
      </c>
      <c r="B270" s="1" t="s">
        <v>177</v>
      </c>
      <c r="C270" s="1" t="s">
        <v>1086</v>
      </c>
      <c r="AA270" s="1">
        <v>1.0</v>
      </c>
      <c r="AE270" s="1">
        <v>820103.0</v>
      </c>
      <c r="AF270" s="1">
        <v>20398.0</v>
      </c>
    </row>
    <row r="271" ht="15.75" customHeight="1">
      <c r="A271" s="1">
        <v>270.0</v>
      </c>
      <c r="B271" s="1" t="s">
        <v>177</v>
      </c>
      <c r="C271" s="1" t="s">
        <v>1087</v>
      </c>
      <c r="AA271" s="1">
        <v>1.0</v>
      </c>
      <c r="AE271" s="1">
        <v>820104.0</v>
      </c>
      <c r="AF271" s="1">
        <v>20398.0</v>
      </c>
    </row>
    <row r="272" ht="15.75" customHeight="1">
      <c r="A272" s="1">
        <v>271.0</v>
      </c>
      <c r="B272" s="1" t="s">
        <v>177</v>
      </c>
      <c r="C272" s="1" t="s">
        <v>1088</v>
      </c>
      <c r="AA272" s="1">
        <v>1.0</v>
      </c>
      <c r="AE272" s="1">
        <v>820105.0</v>
      </c>
      <c r="AF272" s="1">
        <v>20398.0</v>
      </c>
    </row>
    <row r="273" ht="15.75" customHeight="1">
      <c r="A273" s="1">
        <v>272.0</v>
      </c>
      <c r="B273" s="1" t="s">
        <v>190</v>
      </c>
      <c r="C273" s="1" t="s">
        <v>1089</v>
      </c>
      <c r="S273" s="1">
        <v>25.0</v>
      </c>
      <c r="AA273" s="1">
        <v>1.0</v>
      </c>
      <c r="AE273" s="1">
        <v>820110.0</v>
      </c>
      <c r="AF273" s="1">
        <v>20398.0</v>
      </c>
      <c r="AL273" s="1">
        <v>47.0</v>
      </c>
      <c r="AQ273" s="1">
        <v>88.0</v>
      </c>
    </row>
    <row r="274" ht="15.75" customHeight="1">
      <c r="A274" s="1">
        <v>273.0</v>
      </c>
      <c r="B274" s="1" t="s">
        <v>190</v>
      </c>
      <c r="C274" s="1" t="s">
        <v>1090</v>
      </c>
      <c r="S274" s="1">
        <v>50.0</v>
      </c>
      <c r="AA274" s="1">
        <v>1.0</v>
      </c>
      <c r="AE274" s="1">
        <v>820110.0</v>
      </c>
      <c r="AF274" s="1">
        <v>20398.0</v>
      </c>
      <c r="AL274" s="1">
        <v>47.0</v>
      </c>
      <c r="AQ274" s="1">
        <v>89.0</v>
      </c>
    </row>
    <row r="275" ht="15.75" customHeight="1">
      <c r="A275" s="1">
        <v>274.0</v>
      </c>
      <c r="B275" s="1" t="s">
        <v>190</v>
      </c>
      <c r="C275" s="1" t="s">
        <v>1091</v>
      </c>
      <c r="S275" s="1">
        <v>50.0</v>
      </c>
      <c r="AA275" s="1">
        <v>1.0</v>
      </c>
      <c r="AE275" s="1">
        <v>820146.0</v>
      </c>
      <c r="AF275" s="1">
        <v>20398.0</v>
      </c>
      <c r="AL275" s="1">
        <v>47.0</v>
      </c>
      <c r="AQ275" s="1">
        <v>90.0</v>
      </c>
    </row>
    <row r="276" ht="15.75" customHeight="1">
      <c r="A276" s="1">
        <v>275.0</v>
      </c>
      <c r="B276" s="1" t="s">
        <v>190</v>
      </c>
      <c r="C276" s="1" t="s">
        <v>1092</v>
      </c>
      <c r="S276" s="1">
        <v>50.0</v>
      </c>
      <c r="AA276" s="1">
        <v>1.0</v>
      </c>
      <c r="AE276" s="1">
        <v>820110.0</v>
      </c>
      <c r="AF276" s="1">
        <v>20398.0</v>
      </c>
      <c r="AL276" s="1">
        <v>55.0</v>
      </c>
      <c r="AQ276" s="1">
        <v>91.0</v>
      </c>
    </row>
    <row r="277" ht="15.75" customHeight="1">
      <c r="A277" s="1">
        <v>276.0</v>
      </c>
      <c r="B277" s="1" t="s">
        <v>190</v>
      </c>
      <c r="C277" s="1" t="s">
        <v>1093</v>
      </c>
      <c r="S277" s="1">
        <v>50.0</v>
      </c>
      <c r="AA277" s="1">
        <v>1.0</v>
      </c>
      <c r="AE277" s="1">
        <v>820110.0</v>
      </c>
      <c r="AF277" s="1">
        <v>20398.0</v>
      </c>
      <c r="AL277" s="1">
        <v>59.0</v>
      </c>
      <c r="AQ277" s="1">
        <v>92.0</v>
      </c>
    </row>
    <row r="278" ht="15.75" customHeight="1">
      <c r="A278" s="1">
        <v>277.0</v>
      </c>
      <c r="B278" s="1" t="s">
        <v>190</v>
      </c>
      <c r="C278" s="1" t="s">
        <v>1094</v>
      </c>
      <c r="S278" s="1">
        <v>50.0</v>
      </c>
      <c r="Z278" s="1">
        <v>2600.0</v>
      </c>
      <c r="AA278" s="1">
        <v>1.0</v>
      </c>
      <c r="AE278" s="1">
        <v>820110.0</v>
      </c>
      <c r="AF278" s="1">
        <v>20398.0</v>
      </c>
      <c r="AL278" s="1">
        <v>31.0</v>
      </c>
      <c r="AQ278" s="1">
        <v>93.0</v>
      </c>
    </row>
    <row r="279" ht="15.75" customHeight="1">
      <c r="A279" s="1">
        <v>278.0</v>
      </c>
      <c r="B279" s="1" t="s">
        <v>190</v>
      </c>
      <c r="C279" s="1" t="s">
        <v>1095</v>
      </c>
      <c r="S279" s="1">
        <v>50.0</v>
      </c>
      <c r="AA279" s="1">
        <v>1.0</v>
      </c>
      <c r="AE279" s="1">
        <v>820147.0</v>
      </c>
      <c r="AF279" s="1">
        <v>20398.0</v>
      </c>
      <c r="AL279" s="1">
        <v>31.0</v>
      </c>
      <c r="AQ279" s="1">
        <v>94.0</v>
      </c>
    </row>
    <row r="280" ht="15.75" customHeight="1">
      <c r="A280" s="1">
        <v>279.0</v>
      </c>
      <c r="B280" s="1" t="s">
        <v>163</v>
      </c>
      <c r="C280" s="1" t="s">
        <v>1096</v>
      </c>
      <c r="Z280" s="1">
        <v>1000.0</v>
      </c>
      <c r="AE280" s="1">
        <v>820118.0</v>
      </c>
      <c r="AF280" s="1">
        <v>20398.0</v>
      </c>
      <c r="AM280" s="1">
        <v>99.0</v>
      </c>
      <c r="AO280" s="1">
        <v>12.0</v>
      </c>
    </row>
    <row r="281" ht="15.75" customHeight="1">
      <c r="A281" s="1">
        <v>280.0</v>
      </c>
      <c r="B281" s="1" t="s">
        <v>163</v>
      </c>
      <c r="C281" s="1" t="s">
        <v>1097</v>
      </c>
      <c r="Z281" s="1">
        <v>1000.0</v>
      </c>
      <c r="AE281" s="1">
        <v>820118.0</v>
      </c>
      <c r="AF281" s="1">
        <v>20398.0</v>
      </c>
      <c r="AM281" s="1">
        <v>99.0</v>
      </c>
      <c r="AO281" s="1">
        <v>17.0</v>
      </c>
    </row>
    <row r="282" ht="15.75" customHeight="1">
      <c r="A282" s="1">
        <v>281.0</v>
      </c>
      <c r="B282" s="1" t="s">
        <v>163</v>
      </c>
      <c r="C282" s="1" t="s">
        <v>1098</v>
      </c>
      <c r="S282" s="1">
        <v>30.0</v>
      </c>
      <c r="Z282" s="1">
        <v>1000.0</v>
      </c>
      <c r="AE282" s="1">
        <v>820118.0</v>
      </c>
      <c r="AF282" s="1">
        <v>20398.0</v>
      </c>
      <c r="AM282" s="1">
        <v>99.0</v>
      </c>
      <c r="AO282" s="1">
        <v>107.0</v>
      </c>
    </row>
    <row r="283" ht="15.75" customHeight="1">
      <c r="A283" s="1">
        <v>282.0</v>
      </c>
      <c r="B283" s="1" t="s">
        <v>148</v>
      </c>
      <c r="C283" s="1" t="s">
        <v>1099</v>
      </c>
      <c r="E283" s="1">
        <v>250.0</v>
      </c>
      <c r="F283" s="1">
        <v>1000.0</v>
      </c>
      <c r="J283" s="1">
        <v>5.0</v>
      </c>
      <c r="L283" s="1">
        <v>15.0</v>
      </c>
      <c r="R283" s="1">
        <v>2.0E7</v>
      </c>
      <c r="S283" s="1">
        <v>50.0</v>
      </c>
      <c r="V283" s="1">
        <v>80.0</v>
      </c>
      <c r="X283" s="1" t="s">
        <v>153</v>
      </c>
      <c r="Y283" s="1" t="s">
        <v>211</v>
      </c>
      <c r="AA283" s="1">
        <v>1.0</v>
      </c>
      <c r="AC283" s="1">
        <v>1.0</v>
      </c>
      <c r="AE283" s="1">
        <v>331328.0</v>
      </c>
      <c r="AF283" s="1">
        <v>2269.0</v>
      </c>
      <c r="AG283" s="1">
        <v>29.0</v>
      </c>
      <c r="AL283" s="1">
        <v>15.0</v>
      </c>
      <c r="AN283" s="1">
        <v>4.0</v>
      </c>
    </row>
    <row r="284" ht="15.75" customHeight="1">
      <c r="A284" s="1">
        <v>283.0</v>
      </c>
      <c r="B284" s="1" t="s">
        <v>137</v>
      </c>
      <c r="C284" s="1" t="s">
        <v>1100</v>
      </c>
      <c r="E284" s="1">
        <v>250.0</v>
      </c>
      <c r="F284" s="1">
        <v>1750.0</v>
      </c>
      <c r="H284" s="1">
        <v>200.0</v>
      </c>
      <c r="L284" s="1">
        <v>10.0</v>
      </c>
      <c r="R284" s="1">
        <v>2.0E7</v>
      </c>
      <c r="S284" s="1">
        <v>50.0</v>
      </c>
      <c r="X284" s="1" t="s">
        <v>140</v>
      </c>
      <c r="Y284" s="1" t="s">
        <v>141</v>
      </c>
      <c r="AA284" s="1">
        <v>1.0</v>
      </c>
      <c r="AC284" s="1">
        <v>1.0</v>
      </c>
      <c r="AE284" s="1">
        <v>332224.0</v>
      </c>
      <c r="AF284" s="1">
        <v>2278.0</v>
      </c>
      <c r="AG284" s="1">
        <v>9.0</v>
      </c>
      <c r="AH284" s="1">
        <v>150.0</v>
      </c>
      <c r="AI284" s="1">
        <v>40.0</v>
      </c>
      <c r="AJ284" s="1">
        <v>40.0</v>
      </c>
      <c r="AK284" s="1">
        <v>150.0</v>
      </c>
      <c r="AL284" s="1">
        <v>15.0</v>
      </c>
    </row>
    <row r="285" ht="15.75" customHeight="1">
      <c r="A285" s="1">
        <v>284.0</v>
      </c>
      <c r="B285" s="1" t="s">
        <v>137</v>
      </c>
      <c r="C285" s="1" t="s">
        <v>1101</v>
      </c>
      <c r="E285" s="1">
        <v>650.0</v>
      </c>
      <c r="F285" s="1">
        <v>1000.0</v>
      </c>
      <c r="H285" s="1">
        <v>200.0</v>
      </c>
      <c r="J285" s="1">
        <v>20.0</v>
      </c>
      <c r="R285" s="1">
        <v>2.0E7</v>
      </c>
      <c r="S285" s="1">
        <v>50.0</v>
      </c>
      <c r="X285" s="1" t="s">
        <v>140</v>
      </c>
      <c r="Y285" s="1" t="s">
        <v>141</v>
      </c>
      <c r="AA285" s="1">
        <v>1.0</v>
      </c>
      <c r="AC285" s="1">
        <v>1.0</v>
      </c>
      <c r="AE285" s="1">
        <v>332236.0</v>
      </c>
      <c r="AF285" s="1">
        <v>2278.0</v>
      </c>
      <c r="AG285" s="1">
        <v>12.0</v>
      </c>
      <c r="AH285" s="1">
        <v>150.0</v>
      </c>
      <c r="AI285" s="1">
        <v>40.0</v>
      </c>
      <c r="AJ285" s="1">
        <v>40.0</v>
      </c>
      <c r="AK285" s="1">
        <v>150.0</v>
      </c>
      <c r="AL285" s="1">
        <v>15.0</v>
      </c>
    </row>
    <row r="286" ht="15.75" customHeight="1">
      <c r="A286" s="1">
        <v>285.0</v>
      </c>
      <c r="B286" s="1" t="s">
        <v>137</v>
      </c>
      <c r="C286" s="1" t="s">
        <v>1102</v>
      </c>
      <c r="E286" s="1">
        <v>525.0</v>
      </c>
      <c r="F286" s="1">
        <v>375.0</v>
      </c>
      <c r="H286" s="1">
        <v>45.0</v>
      </c>
      <c r="J286" s="1">
        <v>8.0</v>
      </c>
      <c r="L286" s="1">
        <v>10.0</v>
      </c>
      <c r="S286" s="1">
        <v>50.0</v>
      </c>
      <c r="X286" s="1" t="s">
        <v>186</v>
      </c>
      <c r="Y286" s="1" t="s">
        <v>141</v>
      </c>
      <c r="AA286" s="1">
        <v>1.0</v>
      </c>
      <c r="AE286" s="1">
        <v>51323.0</v>
      </c>
      <c r="AF286" s="1">
        <v>2282.0</v>
      </c>
      <c r="AG286" s="1">
        <v>62.0</v>
      </c>
      <c r="AL286" s="1">
        <v>1.0</v>
      </c>
    </row>
    <row r="287" ht="15.75" customHeight="1">
      <c r="A287" s="1">
        <v>286.0</v>
      </c>
      <c r="B287" s="1" t="s">
        <v>137</v>
      </c>
      <c r="C287" s="1" t="s">
        <v>1103</v>
      </c>
      <c r="E287" s="1">
        <v>525.0</v>
      </c>
      <c r="F287" s="1">
        <v>375.0</v>
      </c>
      <c r="H287" s="1">
        <v>100.0</v>
      </c>
      <c r="J287" s="1">
        <v>8.0</v>
      </c>
      <c r="L287" s="1">
        <v>10.0</v>
      </c>
      <c r="S287" s="1">
        <v>50.0</v>
      </c>
      <c r="X287" s="1" t="s">
        <v>186</v>
      </c>
      <c r="Y287" s="1" t="s">
        <v>141</v>
      </c>
      <c r="AA287" s="1">
        <v>1.0</v>
      </c>
      <c r="AE287" s="1">
        <v>51322.0</v>
      </c>
      <c r="AF287" s="1">
        <v>2282.0</v>
      </c>
      <c r="AG287" s="1">
        <v>61.0</v>
      </c>
      <c r="AL287" s="1">
        <v>1.0</v>
      </c>
    </row>
    <row r="288" ht="15.75" customHeight="1">
      <c r="A288" s="1">
        <v>287.0</v>
      </c>
      <c r="B288" s="1" t="s">
        <v>137</v>
      </c>
      <c r="C288" s="1" t="s">
        <v>1104</v>
      </c>
      <c r="E288" s="1">
        <v>250.0</v>
      </c>
      <c r="F288" s="1">
        <v>250.0</v>
      </c>
      <c r="H288" s="1">
        <v>30.0</v>
      </c>
      <c r="I288" s="1">
        <v>5.0</v>
      </c>
      <c r="J288" s="1">
        <v>5.0</v>
      </c>
      <c r="K288" s="1">
        <v>5.0</v>
      </c>
      <c r="L288" s="1">
        <v>5.0</v>
      </c>
      <c r="R288" s="1">
        <v>2.0E7</v>
      </c>
      <c r="S288" s="1">
        <v>50.0</v>
      </c>
      <c r="X288" s="1" t="s">
        <v>316</v>
      </c>
      <c r="AA288" s="1">
        <v>1.0</v>
      </c>
      <c r="AC288" s="1">
        <v>1.0</v>
      </c>
      <c r="AE288" s="1">
        <v>810034.0</v>
      </c>
      <c r="AF288" s="1">
        <v>20107.0</v>
      </c>
      <c r="AO288" s="1">
        <v>71.0</v>
      </c>
    </row>
    <row r="289" ht="15.75" customHeight="1">
      <c r="A289" s="1">
        <v>288.0</v>
      </c>
      <c r="B289" s="1" t="s">
        <v>137</v>
      </c>
      <c r="C289" s="1" t="s">
        <v>1105</v>
      </c>
      <c r="E289" s="1">
        <v>250.0</v>
      </c>
      <c r="F289" s="1">
        <v>250.0</v>
      </c>
      <c r="H289" s="1">
        <v>75.0</v>
      </c>
      <c r="I289" s="1">
        <v>5.0</v>
      </c>
      <c r="J289" s="1">
        <v>5.0</v>
      </c>
      <c r="K289" s="1">
        <v>5.0</v>
      </c>
      <c r="L289" s="1">
        <v>5.0</v>
      </c>
      <c r="R289" s="1">
        <v>2.0E7</v>
      </c>
      <c r="S289" s="1">
        <v>50.0</v>
      </c>
      <c r="X289" s="1" t="s">
        <v>715</v>
      </c>
      <c r="AA289" s="1">
        <v>1.0</v>
      </c>
      <c r="AC289" s="1">
        <v>1.0</v>
      </c>
      <c r="AE289" s="1">
        <v>820278.0</v>
      </c>
      <c r="AF289" s="1">
        <v>20399.0</v>
      </c>
      <c r="AO289" s="1">
        <v>71.0</v>
      </c>
    </row>
    <row r="290" ht="15.75" customHeight="1">
      <c r="A290" s="1">
        <v>289.0</v>
      </c>
      <c r="B290" s="1" t="s">
        <v>137</v>
      </c>
      <c r="C290" s="1" t="s">
        <v>1106</v>
      </c>
      <c r="E290" s="1">
        <v>250.0</v>
      </c>
      <c r="F290" s="1">
        <v>250.0</v>
      </c>
      <c r="H290" s="1">
        <v>60.0</v>
      </c>
      <c r="I290" s="1">
        <v>10.0</v>
      </c>
      <c r="J290" s="1">
        <v>10.0</v>
      </c>
      <c r="K290" s="1">
        <v>10.0</v>
      </c>
      <c r="L290" s="1">
        <v>10.0</v>
      </c>
      <c r="R290" s="1">
        <v>2.0E7</v>
      </c>
      <c r="S290" s="1">
        <v>50.0</v>
      </c>
      <c r="X290" s="1" t="s">
        <v>737</v>
      </c>
      <c r="AA290" s="1">
        <v>1.0</v>
      </c>
      <c r="AC290" s="1">
        <v>1.0</v>
      </c>
      <c r="AE290" s="1">
        <v>820093.0</v>
      </c>
      <c r="AF290" s="1">
        <v>20397.0</v>
      </c>
      <c r="AO290" s="1">
        <v>73.0</v>
      </c>
    </row>
    <row r="291" ht="15.75" customHeight="1">
      <c r="A291" s="1">
        <v>290.0</v>
      </c>
      <c r="B291" s="1" t="s">
        <v>148</v>
      </c>
      <c r="C291" s="1" t="s">
        <v>1107</v>
      </c>
      <c r="E291" s="1">
        <v>1750.0</v>
      </c>
      <c r="F291" s="1">
        <v>300.0</v>
      </c>
      <c r="H291" s="1">
        <v>375.0</v>
      </c>
      <c r="J291" s="1">
        <v>5.0</v>
      </c>
      <c r="L291" s="1">
        <v>15.0</v>
      </c>
      <c r="R291" s="1">
        <v>2.0E7</v>
      </c>
      <c r="S291" s="1">
        <v>50.0</v>
      </c>
      <c r="X291" s="1" t="s">
        <v>140</v>
      </c>
      <c r="Y291" s="1" t="s">
        <v>141</v>
      </c>
      <c r="AA291" s="1">
        <v>1.0</v>
      </c>
      <c r="AC291" s="1">
        <v>1.0</v>
      </c>
      <c r="AE291" s="1">
        <v>51331.0</v>
      </c>
      <c r="AF291" s="1">
        <v>2282.0</v>
      </c>
      <c r="AG291" s="1">
        <v>36.0</v>
      </c>
      <c r="AH291" s="1">
        <v>255.0</v>
      </c>
      <c r="AK291" s="1">
        <v>77.0</v>
      </c>
      <c r="AL291" s="1">
        <v>51.0</v>
      </c>
    </row>
    <row r="292" ht="15.75" customHeight="1">
      <c r="A292" s="1">
        <v>291.0</v>
      </c>
      <c r="B292" s="1" t="s">
        <v>148</v>
      </c>
      <c r="C292" s="1" t="s">
        <v>1108</v>
      </c>
      <c r="E292" s="1">
        <v>1250.0</v>
      </c>
      <c r="H292" s="1">
        <v>25.0</v>
      </c>
      <c r="I292" s="1">
        <v>15.0</v>
      </c>
      <c r="J292" s="1">
        <v>20.0</v>
      </c>
      <c r="R292" s="1">
        <v>2.0E7</v>
      </c>
      <c r="S292" s="1">
        <v>50.0</v>
      </c>
      <c r="V292" s="1">
        <v>150.0</v>
      </c>
      <c r="X292" s="1" t="s">
        <v>153</v>
      </c>
      <c r="Y292" s="1" t="s">
        <v>211</v>
      </c>
      <c r="AA292" s="1">
        <v>1.0</v>
      </c>
      <c r="AC292" s="1">
        <v>1.0</v>
      </c>
      <c r="AE292" s="1">
        <v>820282.0</v>
      </c>
      <c r="AF292" s="1">
        <v>20399.0</v>
      </c>
      <c r="AG292" s="1">
        <v>316.0</v>
      </c>
      <c r="AL292" s="1">
        <v>55.0</v>
      </c>
      <c r="AN292" s="1">
        <v>4.0</v>
      </c>
      <c r="AO292" s="1">
        <v>162.0</v>
      </c>
    </row>
    <row r="293" ht="15.75" customHeight="1">
      <c r="A293" s="1">
        <v>292.0</v>
      </c>
      <c r="B293" s="1" t="s">
        <v>148</v>
      </c>
      <c r="C293" s="1" t="s">
        <v>1109</v>
      </c>
      <c r="E293" s="1">
        <v>600.0</v>
      </c>
      <c r="F293" s="1">
        <v>600.0</v>
      </c>
      <c r="J293" s="1">
        <v>10.0</v>
      </c>
      <c r="K293" s="1">
        <v>50.0</v>
      </c>
      <c r="L293" s="1">
        <v>10.0</v>
      </c>
      <c r="R293" s="1">
        <v>2.0E7</v>
      </c>
      <c r="S293" s="1">
        <v>50.0</v>
      </c>
      <c r="V293" s="1">
        <v>120.0</v>
      </c>
      <c r="X293" s="1" t="s">
        <v>153</v>
      </c>
      <c r="Y293" s="1" t="s">
        <v>211</v>
      </c>
      <c r="AA293" s="1">
        <v>1.0</v>
      </c>
      <c r="AC293" s="1">
        <v>1.0</v>
      </c>
      <c r="AE293" s="1">
        <v>331313.0</v>
      </c>
      <c r="AF293" s="1">
        <v>2269.0</v>
      </c>
      <c r="AG293" s="1">
        <v>27.0</v>
      </c>
      <c r="AL293" s="1">
        <v>59.0</v>
      </c>
      <c r="AN293" s="1">
        <v>4.0</v>
      </c>
      <c r="AO293" s="1">
        <v>162.0</v>
      </c>
    </row>
    <row r="294" ht="15.75" customHeight="1">
      <c r="A294" s="1">
        <v>293.0</v>
      </c>
      <c r="B294" s="1" t="s">
        <v>137</v>
      </c>
      <c r="C294" s="1" t="s">
        <v>1110</v>
      </c>
      <c r="F294" s="1">
        <v>600.0</v>
      </c>
      <c r="H294" s="1">
        <v>150.0</v>
      </c>
      <c r="L294" s="1">
        <v>20.0</v>
      </c>
      <c r="R294" s="1">
        <v>2.0E7</v>
      </c>
      <c r="S294" s="1">
        <v>50.0</v>
      </c>
      <c r="V294" s="1">
        <v>0.0</v>
      </c>
      <c r="X294" s="1" t="s">
        <v>604</v>
      </c>
      <c r="AA294" s="1">
        <v>1.0</v>
      </c>
      <c r="AC294" s="1">
        <v>1.0</v>
      </c>
      <c r="AE294" s="1">
        <v>332277.0</v>
      </c>
      <c r="AF294" s="1">
        <v>2278.0</v>
      </c>
      <c r="AG294" s="1">
        <v>70.0</v>
      </c>
      <c r="AH294" s="1">
        <v>90.0</v>
      </c>
      <c r="AI294" s="1">
        <v>200.0</v>
      </c>
      <c r="AJ294" s="1">
        <v>40.0</v>
      </c>
      <c r="AK294" s="1">
        <v>150.0</v>
      </c>
      <c r="AL294" s="1">
        <v>47.0</v>
      </c>
      <c r="AN294" s="1">
        <v>4.0</v>
      </c>
      <c r="AO294" s="1">
        <v>71.0</v>
      </c>
    </row>
    <row r="295" ht="15.75" customHeight="1">
      <c r="A295" s="1">
        <v>294.0</v>
      </c>
      <c r="B295" s="1" t="s">
        <v>137</v>
      </c>
      <c r="C295" s="1" t="s">
        <v>1111</v>
      </c>
      <c r="E295" s="1">
        <v>100.0</v>
      </c>
      <c r="F295" s="1">
        <v>500.0</v>
      </c>
      <c r="H295" s="1">
        <v>150.0</v>
      </c>
      <c r="J295" s="1">
        <v>5.0</v>
      </c>
      <c r="L295" s="1">
        <v>15.0</v>
      </c>
      <c r="R295" s="1">
        <v>2.0E7</v>
      </c>
      <c r="S295" s="1">
        <v>50.0</v>
      </c>
      <c r="V295" s="1">
        <v>0.0</v>
      </c>
      <c r="X295" s="1" t="s">
        <v>604</v>
      </c>
      <c r="AA295" s="1">
        <v>1.0</v>
      </c>
      <c r="AC295" s="1">
        <v>1.0</v>
      </c>
      <c r="AE295" s="1">
        <v>332277.0</v>
      </c>
      <c r="AF295" s="1">
        <v>2278.0</v>
      </c>
      <c r="AG295" s="1">
        <v>70.0</v>
      </c>
      <c r="AH295" s="1">
        <v>40.0</v>
      </c>
      <c r="AI295" s="1">
        <v>160.0</v>
      </c>
      <c r="AJ295" s="1">
        <v>200.0</v>
      </c>
      <c r="AK295" s="1">
        <v>130.0</v>
      </c>
      <c r="AL295" s="1">
        <v>31.0</v>
      </c>
      <c r="AN295" s="1">
        <v>4.0</v>
      </c>
      <c r="AO295" s="1">
        <v>77.0</v>
      </c>
    </row>
    <row r="296" ht="15.75" customHeight="1">
      <c r="A296" s="1">
        <v>295.0</v>
      </c>
      <c r="B296" s="1" t="s">
        <v>137</v>
      </c>
      <c r="C296" s="1" t="s">
        <v>1112</v>
      </c>
      <c r="E296" s="1">
        <v>300.0</v>
      </c>
      <c r="F296" s="1">
        <v>300.0</v>
      </c>
      <c r="H296" s="1">
        <v>150.0</v>
      </c>
      <c r="J296" s="1">
        <v>10.0</v>
      </c>
      <c r="K296" s="1">
        <v>25.0</v>
      </c>
      <c r="L296" s="1">
        <v>10.0</v>
      </c>
      <c r="R296" s="1">
        <v>2.0E7</v>
      </c>
      <c r="S296" s="1">
        <v>50.0</v>
      </c>
      <c r="V296" s="1">
        <v>0.0</v>
      </c>
      <c r="X296" s="1" t="s">
        <v>604</v>
      </c>
      <c r="AA296" s="1">
        <v>1.0</v>
      </c>
      <c r="AC296" s="1">
        <v>1.0</v>
      </c>
      <c r="AE296" s="1">
        <v>332277.0</v>
      </c>
      <c r="AF296" s="1">
        <v>2278.0</v>
      </c>
      <c r="AG296" s="1">
        <v>70.0</v>
      </c>
      <c r="AH296" s="1">
        <v>20.0</v>
      </c>
      <c r="AI296" s="1">
        <v>70.0</v>
      </c>
      <c r="AJ296" s="1">
        <v>130.0</v>
      </c>
      <c r="AK296" s="1">
        <v>150.0</v>
      </c>
      <c r="AL296" s="1">
        <v>59.0</v>
      </c>
      <c r="AN296" s="1">
        <v>4.0</v>
      </c>
      <c r="AO296" s="1">
        <v>77.0</v>
      </c>
    </row>
    <row r="297" ht="15.75" customHeight="1">
      <c r="A297" s="1">
        <v>296.0</v>
      </c>
      <c r="B297" s="1" t="s">
        <v>137</v>
      </c>
      <c r="C297" s="1" t="s">
        <v>1113</v>
      </c>
      <c r="E297" s="1">
        <v>600.0</v>
      </c>
      <c r="H297" s="1">
        <v>250.0</v>
      </c>
      <c r="J297" s="1">
        <v>20.0</v>
      </c>
      <c r="R297" s="1">
        <v>2.0E7</v>
      </c>
      <c r="S297" s="1">
        <v>50.0</v>
      </c>
      <c r="V297" s="1">
        <v>0.0</v>
      </c>
      <c r="X297" s="1" t="s">
        <v>604</v>
      </c>
      <c r="AA297" s="1">
        <v>1.0</v>
      </c>
      <c r="AC297" s="1">
        <v>1.0</v>
      </c>
      <c r="AE297" s="1">
        <v>332277.0</v>
      </c>
      <c r="AF297" s="1">
        <v>2278.0</v>
      </c>
      <c r="AG297" s="1">
        <v>70.0</v>
      </c>
      <c r="AH297" s="1">
        <v>180.0</v>
      </c>
      <c r="AI297" s="1">
        <v>60.0</v>
      </c>
      <c r="AJ297" s="1">
        <v>25.0</v>
      </c>
      <c r="AK297" s="1">
        <v>130.0</v>
      </c>
      <c r="AL297" s="1">
        <v>55.0</v>
      </c>
      <c r="AN297" s="1">
        <v>4.0</v>
      </c>
      <c r="AO297" s="1">
        <v>140.0</v>
      </c>
    </row>
    <row r="298" ht="15.75" customHeight="1">
      <c r="A298" s="1">
        <v>297.0</v>
      </c>
      <c r="B298" s="1" t="s">
        <v>177</v>
      </c>
      <c r="C298" s="1" t="s">
        <v>1114</v>
      </c>
      <c r="AE298" s="1">
        <v>820500.0</v>
      </c>
      <c r="AF298" s="1">
        <v>20402.0</v>
      </c>
      <c r="AH298" s="1">
        <v>128.0</v>
      </c>
      <c r="AK298" s="1">
        <v>100.0</v>
      </c>
      <c r="AM298" s="1">
        <v>10.0</v>
      </c>
    </row>
    <row r="299" ht="15.75" customHeight="1">
      <c r="A299" s="1">
        <v>298.0</v>
      </c>
      <c r="B299" s="1" t="s">
        <v>177</v>
      </c>
      <c r="C299" s="1" t="s">
        <v>1115</v>
      </c>
      <c r="AE299" s="1">
        <v>820500.0</v>
      </c>
      <c r="AF299" s="1">
        <v>20402.0</v>
      </c>
      <c r="AI299" s="1">
        <v>128.0</v>
      </c>
      <c r="AJ299" s="1">
        <v>255.0</v>
      </c>
      <c r="AK299" s="1">
        <v>100.0</v>
      </c>
      <c r="AM299" s="1">
        <v>10.0</v>
      </c>
    </row>
    <row r="300" ht="15.75" customHeight="1">
      <c r="A300" s="1">
        <v>299.0</v>
      </c>
      <c r="B300" s="1" t="s">
        <v>177</v>
      </c>
      <c r="C300" s="1" t="s">
        <v>1116</v>
      </c>
      <c r="AE300" s="1">
        <v>820500.0</v>
      </c>
      <c r="AF300" s="1">
        <v>20402.0</v>
      </c>
      <c r="AH300" s="1">
        <v>255.0</v>
      </c>
      <c r="AK300" s="1">
        <v>100.0</v>
      </c>
      <c r="AM300" s="1">
        <v>10.0</v>
      </c>
    </row>
    <row r="301" ht="15.75" customHeight="1">
      <c r="A301" s="1">
        <v>300.0</v>
      </c>
      <c r="B301" s="1" t="s">
        <v>177</v>
      </c>
      <c r="C301" s="1" t="s">
        <v>1117</v>
      </c>
      <c r="AE301" s="1">
        <v>820500.0</v>
      </c>
      <c r="AF301" s="1">
        <v>20402.0</v>
      </c>
      <c r="AH301" s="1">
        <v>255.0</v>
      </c>
      <c r="AI301" s="1">
        <v>255.0</v>
      </c>
      <c r="AJ301" s="1">
        <v>255.0</v>
      </c>
      <c r="AK301" s="1">
        <v>130.0</v>
      </c>
      <c r="AM301" s="1">
        <v>10.0</v>
      </c>
    </row>
    <row r="302" ht="15.75" customHeight="1">
      <c r="A302" s="1">
        <v>301.0</v>
      </c>
      <c r="B302" s="1" t="s">
        <v>163</v>
      </c>
      <c r="C302" s="1" t="s">
        <v>1118</v>
      </c>
      <c r="S302" s="1">
        <v>50.0</v>
      </c>
      <c r="Z302" s="1">
        <v>2000.0</v>
      </c>
      <c r="AE302" s="1">
        <v>820118.0</v>
      </c>
      <c r="AF302" s="1">
        <v>20398.0</v>
      </c>
      <c r="AM302" s="1">
        <v>99.0</v>
      </c>
      <c r="AO302" s="1">
        <v>141.0</v>
      </c>
    </row>
    <row r="303" ht="15.75" customHeight="1">
      <c r="A303" s="1">
        <v>302.0</v>
      </c>
      <c r="B303" s="1" t="s">
        <v>190</v>
      </c>
      <c r="C303" s="1" t="s">
        <v>1119</v>
      </c>
      <c r="S303" s="1">
        <v>50.0</v>
      </c>
      <c r="AA303" s="1">
        <v>1.0</v>
      </c>
      <c r="AE303" s="1">
        <v>820110.0</v>
      </c>
      <c r="AF303" s="1">
        <v>20398.0</v>
      </c>
      <c r="AL303" s="1">
        <v>47.0</v>
      </c>
      <c r="AQ303" s="1">
        <v>95.0</v>
      </c>
    </row>
    <row r="304" ht="15.75" customHeight="1">
      <c r="A304" s="1">
        <v>303.0</v>
      </c>
      <c r="B304" s="1" t="s">
        <v>177</v>
      </c>
      <c r="C304" s="1" t="s">
        <v>1120</v>
      </c>
      <c r="AA304" s="1">
        <v>1.0</v>
      </c>
      <c r="AB304" s="1">
        <v>1.0</v>
      </c>
      <c r="AE304" s="1">
        <v>821102.0</v>
      </c>
      <c r="AF304" s="1">
        <v>20408.0</v>
      </c>
    </row>
    <row r="305" ht="15.75" customHeight="1">
      <c r="A305" s="1">
        <v>304.0</v>
      </c>
      <c r="B305" s="1" t="s">
        <v>137</v>
      </c>
      <c r="C305" s="1" t="s">
        <v>1121</v>
      </c>
      <c r="E305" s="1">
        <v>100.0</v>
      </c>
      <c r="F305" s="1">
        <v>100.0</v>
      </c>
      <c r="H305" s="1">
        <v>10.0</v>
      </c>
      <c r="I305" s="1">
        <v>10.0</v>
      </c>
      <c r="J305" s="1">
        <v>10.0</v>
      </c>
      <c r="K305" s="1">
        <v>10.0</v>
      </c>
      <c r="L305" s="1">
        <v>10.0</v>
      </c>
      <c r="M305" s="1">
        <v>50.0</v>
      </c>
      <c r="R305" s="1">
        <v>2.0E7</v>
      </c>
      <c r="S305" s="1">
        <v>50.0</v>
      </c>
      <c r="V305" s="1">
        <v>0.0</v>
      </c>
      <c r="X305" s="1" t="s">
        <v>694</v>
      </c>
      <c r="AA305" s="1">
        <v>1.0</v>
      </c>
      <c r="AC305" s="1">
        <v>1.0</v>
      </c>
      <c r="AE305" s="1">
        <v>820070.0</v>
      </c>
      <c r="AF305" s="1">
        <v>20397.0</v>
      </c>
    </row>
    <row r="306" ht="15.75" customHeight="1">
      <c r="A306" s="1">
        <v>305.0</v>
      </c>
      <c r="B306" s="1" t="s">
        <v>137</v>
      </c>
      <c r="C306" s="1" t="s">
        <v>1122</v>
      </c>
      <c r="E306" s="1">
        <v>100.0</v>
      </c>
      <c r="F306" s="1">
        <v>100.0</v>
      </c>
      <c r="H306" s="1">
        <v>10.0</v>
      </c>
      <c r="I306" s="1">
        <v>10.0</v>
      </c>
      <c r="J306" s="1">
        <v>10.0</v>
      </c>
      <c r="K306" s="1">
        <v>10.0</v>
      </c>
      <c r="L306" s="1">
        <v>10.0</v>
      </c>
      <c r="Q306" s="1">
        <v>50.0</v>
      </c>
      <c r="R306" s="1">
        <v>2.0E7</v>
      </c>
      <c r="S306" s="1">
        <v>50.0</v>
      </c>
      <c r="V306" s="1">
        <v>0.0</v>
      </c>
      <c r="X306" s="1" t="s">
        <v>694</v>
      </c>
      <c r="AA306" s="1">
        <v>1.0</v>
      </c>
      <c r="AC306" s="1">
        <v>1.0</v>
      </c>
      <c r="AE306" s="1">
        <v>820072.0</v>
      </c>
      <c r="AF306" s="1">
        <v>20397.0</v>
      </c>
    </row>
    <row r="307" ht="15.75" customHeight="1">
      <c r="A307" s="1">
        <v>306.0</v>
      </c>
      <c r="B307" s="1" t="s">
        <v>137</v>
      </c>
      <c r="C307" s="1" t="s">
        <v>1123</v>
      </c>
      <c r="E307" s="1">
        <v>100.0</v>
      </c>
      <c r="F307" s="1">
        <v>100.0</v>
      </c>
      <c r="H307" s="1">
        <v>10.0</v>
      </c>
      <c r="I307" s="1">
        <v>10.0</v>
      </c>
      <c r="J307" s="1">
        <v>10.0</v>
      </c>
      <c r="K307" s="1">
        <v>10.0</v>
      </c>
      <c r="L307" s="1">
        <v>10.0</v>
      </c>
      <c r="P307" s="1">
        <v>50.0</v>
      </c>
      <c r="R307" s="1">
        <v>2.0E7</v>
      </c>
      <c r="S307" s="1">
        <v>50.0</v>
      </c>
      <c r="V307" s="1">
        <v>0.0</v>
      </c>
      <c r="X307" s="1" t="s">
        <v>694</v>
      </c>
      <c r="AA307" s="1">
        <v>1.0</v>
      </c>
      <c r="AC307" s="1">
        <v>1.0</v>
      </c>
      <c r="AE307" s="1">
        <v>820074.0</v>
      </c>
      <c r="AF307" s="1">
        <v>20397.0</v>
      </c>
    </row>
    <row r="308" ht="15.75" customHeight="1">
      <c r="A308" s="1">
        <v>307.0</v>
      </c>
      <c r="B308" s="1" t="s">
        <v>137</v>
      </c>
      <c r="C308" s="1" t="s">
        <v>1124</v>
      </c>
      <c r="E308" s="1">
        <v>100.0</v>
      </c>
      <c r="F308" s="1">
        <v>100.0</v>
      </c>
      <c r="H308" s="1">
        <v>10.0</v>
      </c>
      <c r="I308" s="1">
        <v>10.0</v>
      </c>
      <c r="J308" s="1">
        <v>10.0</v>
      </c>
      <c r="K308" s="1">
        <v>10.0</v>
      </c>
      <c r="L308" s="1">
        <v>10.0</v>
      </c>
      <c r="N308" s="1">
        <v>50.0</v>
      </c>
      <c r="R308" s="1">
        <v>2.0E7</v>
      </c>
      <c r="S308" s="1">
        <v>50.0</v>
      </c>
      <c r="V308" s="1">
        <v>0.0</v>
      </c>
      <c r="X308" s="1" t="s">
        <v>694</v>
      </c>
      <c r="AA308" s="1">
        <v>1.0</v>
      </c>
      <c r="AC308" s="1">
        <v>1.0</v>
      </c>
      <c r="AE308" s="1">
        <v>820076.0</v>
      </c>
      <c r="AF308" s="1">
        <v>20397.0</v>
      </c>
    </row>
    <row r="309" ht="15.75" customHeight="1">
      <c r="A309" s="1">
        <v>308.0</v>
      </c>
      <c r="B309" s="1" t="s">
        <v>137</v>
      </c>
      <c r="C309" s="1" t="s">
        <v>1125</v>
      </c>
      <c r="E309" s="1">
        <v>100.0</v>
      </c>
      <c r="F309" s="1">
        <v>100.0</v>
      </c>
      <c r="H309" s="1">
        <v>10.0</v>
      </c>
      <c r="I309" s="1">
        <v>10.0</v>
      </c>
      <c r="J309" s="1">
        <v>10.0</v>
      </c>
      <c r="K309" s="1">
        <v>10.0</v>
      </c>
      <c r="L309" s="1">
        <v>10.0</v>
      </c>
      <c r="O309" s="1">
        <v>50.0</v>
      </c>
      <c r="R309" s="1">
        <v>2.0E7</v>
      </c>
      <c r="S309" s="1">
        <v>50.0</v>
      </c>
      <c r="V309" s="1">
        <v>0.0</v>
      </c>
      <c r="X309" s="1" t="s">
        <v>694</v>
      </c>
      <c r="AA309" s="1">
        <v>1.0</v>
      </c>
      <c r="AC309" s="1">
        <v>1.0</v>
      </c>
      <c r="AE309" s="1">
        <v>820079.0</v>
      </c>
      <c r="AF309" s="1">
        <v>20397.0</v>
      </c>
    </row>
    <row r="310" ht="15.75" customHeight="1">
      <c r="A310" s="1">
        <v>309.0</v>
      </c>
      <c r="B310" s="1" t="s">
        <v>137</v>
      </c>
      <c r="C310" s="1" t="s">
        <v>1126</v>
      </c>
      <c r="E310" s="1">
        <v>240.0</v>
      </c>
      <c r="H310" s="1">
        <v>150.0</v>
      </c>
      <c r="S310" s="1">
        <v>50.0</v>
      </c>
      <c r="V310" s="1">
        <v>0.0</v>
      </c>
      <c r="X310" s="1" t="s">
        <v>604</v>
      </c>
      <c r="Z310" s="1">
        <v>20000.0</v>
      </c>
      <c r="AE310" s="1">
        <v>820259.0</v>
      </c>
      <c r="AF310" s="1">
        <v>20399.0</v>
      </c>
      <c r="AG310" s="1">
        <v>263.0</v>
      </c>
      <c r="AH310" s="1">
        <v>20.0</v>
      </c>
      <c r="AI310" s="1">
        <v>150.0</v>
      </c>
      <c r="AJ310" s="1">
        <v>20.0</v>
      </c>
      <c r="AK310" s="1">
        <v>150.0</v>
      </c>
      <c r="AL310" s="1">
        <v>55.0</v>
      </c>
      <c r="AN310" s="1">
        <v>4.0</v>
      </c>
    </row>
    <row r="311" ht="15.75" customHeight="1">
      <c r="A311" s="1">
        <v>310.0</v>
      </c>
      <c r="B311" s="1" t="s">
        <v>137</v>
      </c>
      <c r="C311" s="1" t="s">
        <v>1131</v>
      </c>
      <c r="E311" s="1">
        <v>120.0</v>
      </c>
      <c r="F311" s="1">
        <v>120.0</v>
      </c>
      <c r="H311" s="1">
        <v>90.0</v>
      </c>
      <c r="S311" s="1">
        <v>50.0</v>
      </c>
      <c r="V311" s="1">
        <v>0.0</v>
      </c>
      <c r="X311" s="1" t="s">
        <v>604</v>
      </c>
      <c r="Z311" s="1">
        <v>20000.0</v>
      </c>
      <c r="AE311" s="1">
        <v>332225.0</v>
      </c>
      <c r="AF311" s="1">
        <v>2278.0</v>
      </c>
      <c r="AG311" s="1">
        <v>21.0</v>
      </c>
      <c r="AH311" s="1">
        <v>20.0</v>
      </c>
      <c r="AI311" s="1">
        <v>150.0</v>
      </c>
      <c r="AJ311" s="1">
        <v>20.0</v>
      </c>
      <c r="AK311" s="1">
        <v>150.0</v>
      </c>
      <c r="AL311" s="1">
        <v>59.0</v>
      </c>
      <c r="AN311" s="1">
        <v>4.0</v>
      </c>
    </row>
    <row r="312" ht="15.75" customHeight="1">
      <c r="A312" s="1">
        <v>311.0</v>
      </c>
      <c r="B312" s="1" t="s">
        <v>137</v>
      </c>
      <c r="C312" s="1" t="s">
        <v>1132</v>
      </c>
      <c r="E312" s="1">
        <v>60.0</v>
      </c>
      <c r="F312" s="1">
        <v>180.0</v>
      </c>
      <c r="H312" s="1">
        <v>70.0</v>
      </c>
      <c r="S312" s="1">
        <v>50.0</v>
      </c>
      <c r="V312" s="1">
        <v>0.0</v>
      </c>
      <c r="X312" s="1" t="s">
        <v>604</v>
      </c>
      <c r="Z312" s="1">
        <v>20000.0</v>
      </c>
      <c r="AE312" s="1">
        <v>332287.0</v>
      </c>
      <c r="AF312" s="1">
        <v>2278.0</v>
      </c>
      <c r="AG312" s="1">
        <v>68.0</v>
      </c>
      <c r="AH312" s="1">
        <v>20.0</v>
      </c>
      <c r="AI312" s="1">
        <v>150.0</v>
      </c>
      <c r="AJ312" s="1">
        <v>20.0</v>
      </c>
      <c r="AK312" s="1">
        <v>150.0</v>
      </c>
      <c r="AL312" s="1">
        <v>15.0</v>
      </c>
      <c r="AN312" s="1">
        <v>4.0</v>
      </c>
    </row>
    <row r="313" ht="15.75" customHeight="1">
      <c r="A313" s="1">
        <v>312.0</v>
      </c>
      <c r="B313" s="1" t="s">
        <v>137</v>
      </c>
      <c r="C313" s="1" t="s">
        <v>1133</v>
      </c>
      <c r="E313" s="1">
        <v>200.0</v>
      </c>
      <c r="F313" s="1">
        <v>25.0</v>
      </c>
      <c r="H313" s="1">
        <v>150.0</v>
      </c>
      <c r="J313" s="1">
        <v>20.0</v>
      </c>
      <c r="L313" s="1">
        <v>3.0</v>
      </c>
      <c r="S313" s="1">
        <v>50.0</v>
      </c>
      <c r="X313" s="1" t="s">
        <v>140</v>
      </c>
      <c r="Y313" s="1" t="s">
        <v>141</v>
      </c>
      <c r="AA313" s="1">
        <v>1.0</v>
      </c>
      <c r="AE313" s="1">
        <v>332231.0</v>
      </c>
      <c r="AF313" s="1">
        <v>2278.0</v>
      </c>
      <c r="AG313" s="1">
        <v>11.0</v>
      </c>
      <c r="AI313" s="1">
        <v>128.0</v>
      </c>
      <c r="AK313" s="1">
        <v>100.0</v>
      </c>
      <c r="AL313" s="1">
        <v>51.0</v>
      </c>
    </row>
    <row r="314" ht="15.75" customHeight="1">
      <c r="A314" s="1">
        <v>313.0</v>
      </c>
      <c r="B314" s="1" t="s">
        <v>190</v>
      </c>
      <c r="C314" s="1" t="s">
        <v>1134</v>
      </c>
      <c r="R314" s="1">
        <v>2.0E7</v>
      </c>
      <c r="S314" s="1">
        <v>50.0</v>
      </c>
      <c r="AA314" s="1">
        <v>1.0</v>
      </c>
      <c r="AB314" s="1">
        <v>1.0</v>
      </c>
      <c r="AE314" s="1">
        <v>820110.0</v>
      </c>
      <c r="AF314" s="1">
        <v>20398.0</v>
      </c>
      <c r="AL314" s="1">
        <v>31.0</v>
      </c>
      <c r="AQ314" s="1">
        <v>96.0</v>
      </c>
    </row>
    <row r="315" ht="15.75" customHeight="1">
      <c r="A315" s="1">
        <v>314.0</v>
      </c>
      <c r="B315" s="1" t="s">
        <v>190</v>
      </c>
      <c r="C315" s="1" t="s">
        <v>1135</v>
      </c>
      <c r="R315" s="1">
        <v>2.0E7</v>
      </c>
      <c r="S315" s="1">
        <v>50.0</v>
      </c>
      <c r="AA315" s="1">
        <v>1.0</v>
      </c>
      <c r="AB315" s="1">
        <v>1.0</v>
      </c>
      <c r="AE315" s="1">
        <v>820110.0</v>
      </c>
      <c r="AF315" s="1">
        <v>20398.0</v>
      </c>
      <c r="AL315" s="1">
        <v>47.0</v>
      </c>
      <c r="AQ315" s="1">
        <v>97.0</v>
      </c>
    </row>
    <row r="316" ht="15.75" customHeight="1">
      <c r="A316" s="1">
        <v>315.0</v>
      </c>
      <c r="B316" s="1" t="s">
        <v>190</v>
      </c>
      <c r="C316" s="1" t="s">
        <v>1136</v>
      </c>
      <c r="R316" s="1">
        <v>2.0E7</v>
      </c>
      <c r="S316" s="1">
        <v>50.0</v>
      </c>
      <c r="AA316" s="1">
        <v>1.0</v>
      </c>
      <c r="AB316" s="1">
        <v>1.0</v>
      </c>
      <c r="AE316" s="1">
        <v>820110.0</v>
      </c>
      <c r="AF316" s="1">
        <v>20398.0</v>
      </c>
      <c r="AL316" s="1">
        <v>47.0</v>
      </c>
      <c r="AQ316" s="1">
        <v>98.0</v>
      </c>
    </row>
    <row r="317" ht="15.75" customHeight="1">
      <c r="A317" s="1">
        <v>316.0</v>
      </c>
      <c r="B317" s="1" t="s">
        <v>190</v>
      </c>
      <c r="C317" s="1" t="s">
        <v>1137</v>
      </c>
      <c r="R317" s="1">
        <v>2.0E7</v>
      </c>
      <c r="S317" s="1">
        <v>50.0</v>
      </c>
      <c r="AA317" s="1">
        <v>1.0</v>
      </c>
      <c r="AB317" s="1">
        <v>1.0</v>
      </c>
      <c r="AE317" s="1">
        <v>820110.0</v>
      </c>
      <c r="AF317" s="1">
        <v>20398.0</v>
      </c>
      <c r="AL317" s="1">
        <v>59.0</v>
      </c>
      <c r="AQ317" s="1">
        <v>99.0</v>
      </c>
    </row>
    <row r="318" ht="15.75" customHeight="1">
      <c r="A318" s="1">
        <v>317.0</v>
      </c>
      <c r="B318" s="1" t="s">
        <v>190</v>
      </c>
      <c r="C318" s="1" t="s">
        <v>1138</v>
      </c>
      <c r="R318" s="1">
        <v>2.0E7</v>
      </c>
      <c r="S318" s="1">
        <v>50.0</v>
      </c>
      <c r="AA318" s="1">
        <v>1.0</v>
      </c>
      <c r="AB318" s="1">
        <v>1.0</v>
      </c>
      <c r="AE318" s="1">
        <v>820110.0</v>
      </c>
      <c r="AF318" s="1">
        <v>20398.0</v>
      </c>
      <c r="AL318" s="1">
        <v>55.0</v>
      </c>
      <c r="AQ318" s="1">
        <v>100.0</v>
      </c>
    </row>
    <row r="319" ht="15.75" customHeight="1">
      <c r="A319" s="1">
        <v>318.0</v>
      </c>
      <c r="B319" s="1" t="s">
        <v>190</v>
      </c>
      <c r="C319" s="1" t="s">
        <v>1139</v>
      </c>
      <c r="R319" s="1">
        <v>2.0E7</v>
      </c>
      <c r="S319" s="1">
        <v>50.0</v>
      </c>
      <c r="AA319" s="1">
        <v>1.0</v>
      </c>
      <c r="AB319" s="1">
        <v>1.0</v>
      </c>
      <c r="AE319" s="1">
        <v>820110.0</v>
      </c>
      <c r="AF319" s="1">
        <v>20398.0</v>
      </c>
      <c r="AL319" s="1">
        <v>31.0</v>
      </c>
      <c r="AQ319" s="1">
        <v>101.0</v>
      </c>
    </row>
    <row r="320" ht="15.75" customHeight="1">
      <c r="A320" s="1">
        <v>319.0</v>
      </c>
      <c r="B320" s="1" t="s">
        <v>190</v>
      </c>
      <c r="C320" s="1" t="s">
        <v>1140</v>
      </c>
      <c r="R320" s="1">
        <v>2.0E7</v>
      </c>
      <c r="S320" s="1">
        <v>50.0</v>
      </c>
      <c r="AA320" s="1">
        <v>1.0</v>
      </c>
      <c r="AB320" s="1">
        <v>1.0</v>
      </c>
      <c r="AE320" s="1">
        <v>820110.0</v>
      </c>
      <c r="AF320" s="1">
        <v>20398.0</v>
      </c>
      <c r="AL320" s="1">
        <v>47.0</v>
      </c>
      <c r="AQ320" s="1">
        <v>102.0</v>
      </c>
    </row>
    <row r="321" ht="15.75" customHeight="1">
      <c r="A321" s="1">
        <v>320.0</v>
      </c>
      <c r="B321" s="1" t="s">
        <v>190</v>
      </c>
      <c r="C321" s="1" t="s">
        <v>1141</v>
      </c>
      <c r="R321" s="1">
        <v>2.0E7</v>
      </c>
      <c r="S321" s="1">
        <v>50.0</v>
      </c>
      <c r="AA321" s="1">
        <v>1.0</v>
      </c>
      <c r="AB321" s="1">
        <v>1.0</v>
      </c>
      <c r="AE321" s="1">
        <v>820110.0</v>
      </c>
      <c r="AF321" s="1">
        <v>20398.0</v>
      </c>
      <c r="AL321" s="1">
        <v>59.0</v>
      </c>
      <c r="AQ321" s="1">
        <v>103.0</v>
      </c>
    </row>
    <row r="322" ht="15.75" customHeight="1">
      <c r="A322" s="1">
        <v>321.0</v>
      </c>
      <c r="B322" s="1" t="s">
        <v>190</v>
      </c>
      <c r="C322" s="1" t="s">
        <v>1142</v>
      </c>
      <c r="R322" s="1">
        <v>2.0E7</v>
      </c>
      <c r="S322" s="1">
        <v>50.0</v>
      </c>
      <c r="AA322" s="1">
        <v>1.0</v>
      </c>
      <c r="AB322" s="1">
        <v>1.0</v>
      </c>
      <c r="AE322" s="1">
        <v>820110.0</v>
      </c>
      <c r="AF322" s="1">
        <v>20398.0</v>
      </c>
      <c r="AL322" s="1">
        <v>55.0</v>
      </c>
      <c r="AQ322" s="1">
        <v>104.0</v>
      </c>
    </row>
    <row r="323" ht="15.75" customHeight="1">
      <c r="A323" s="1">
        <v>322.0</v>
      </c>
      <c r="B323" s="1" t="s">
        <v>190</v>
      </c>
      <c r="C323" s="1" t="s">
        <v>1143</v>
      </c>
      <c r="R323" s="1">
        <v>2.0E7</v>
      </c>
      <c r="S323" s="1">
        <v>50.0</v>
      </c>
      <c r="AA323" s="1">
        <v>1.0</v>
      </c>
      <c r="AB323" s="1">
        <v>1.0</v>
      </c>
      <c r="AE323" s="1">
        <v>820110.0</v>
      </c>
      <c r="AF323" s="1">
        <v>20398.0</v>
      </c>
      <c r="AL323" s="1">
        <v>31.0</v>
      </c>
      <c r="AQ323" s="1">
        <v>105.0</v>
      </c>
    </row>
    <row r="324" ht="15.75" customHeight="1">
      <c r="A324" s="1">
        <v>323.0</v>
      </c>
      <c r="B324" s="1" t="s">
        <v>190</v>
      </c>
      <c r="C324" s="1" t="s">
        <v>1144</v>
      </c>
      <c r="S324" s="1">
        <v>25.0</v>
      </c>
      <c r="AA324" s="1">
        <v>1.0</v>
      </c>
      <c r="AE324" s="1">
        <v>820110.0</v>
      </c>
      <c r="AF324" s="1">
        <v>20398.0</v>
      </c>
      <c r="AL324" s="1">
        <v>59.0</v>
      </c>
      <c r="AQ324" s="1">
        <v>106.0</v>
      </c>
    </row>
    <row r="325" ht="15.75" customHeight="1">
      <c r="A325" s="1">
        <v>324.0</v>
      </c>
      <c r="B325" s="1" t="s">
        <v>190</v>
      </c>
      <c r="C325" s="1" t="s">
        <v>1145</v>
      </c>
      <c r="S325" s="1">
        <v>25.0</v>
      </c>
      <c r="AA325" s="1">
        <v>1.0</v>
      </c>
      <c r="AE325" s="1">
        <v>820110.0</v>
      </c>
      <c r="AF325" s="1">
        <v>20398.0</v>
      </c>
      <c r="AL325" s="1">
        <v>31.0</v>
      </c>
      <c r="AQ325" s="1">
        <v>107.0</v>
      </c>
    </row>
    <row r="326" ht="15.75" customHeight="1">
      <c r="A326" s="1">
        <v>325.0</v>
      </c>
      <c r="B326" s="1" t="s">
        <v>190</v>
      </c>
      <c r="C326" s="1" t="s">
        <v>1146</v>
      </c>
      <c r="S326" s="1">
        <v>25.0</v>
      </c>
      <c r="AA326" s="1">
        <v>1.0</v>
      </c>
      <c r="AE326" s="1">
        <v>820110.0</v>
      </c>
      <c r="AF326" s="1">
        <v>20398.0</v>
      </c>
      <c r="AL326" s="1">
        <v>55.0</v>
      </c>
      <c r="AQ326" s="1">
        <v>108.0</v>
      </c>
    </row>
    <row r="327" ht="15.75" customHeight="1">
      <c r="A327" s="1">
        <v>326.0</v>
      </c>
      <c r="B327" s="1" t="s">
        <v>163</v>
      </c>
      <c r="C327" s="1" t="s">
        <v>755</v>
      </c>
      <c r="AE327" s="1">
        <v>821122.0</v>
      </c>
      <c r="AF327" s="1">
        <v>20408.0</v>
      </c>
      <c r="AH327" s="1">
        <v>40.0</v>
      </c>
      <c r="AI327" s="1">
        <v>255.0</v>
      </c>
      <c r="AK327" s="1">
        <v>160.0</v>
      </c>
      <c r="AM327" s="1">
        <v>99.0</v>
      </c>
      <c r="AO327" s="1">
        <v>156.0</v>
      </c>
    </row>
    <row r="328" ht="15.75" customHeight="1">
      <c r="A328" s="1">
        <v>327.0</v>
      </c>
      <c r="B328" s="1" t="s">
        <v>163</v>
      </c>
      <c r="C328" s="1" t="s">
        <v>761</v>
      </c>
      <c r="AE328" s="1">
        <v>821122.0</v>
      </c>
      <c r="AF328" s="1">
        <v>20408.0</v>
      </c>
      <c r="AH328" s="1">
        <v>255.0</v>
      </c>
      <c r="AI328" s="1">
        <v>255.0</v>
      </c>
      <c r="AJ328" s="1">
        <v>255.0</v>
      </c>
      <c r="AK328" s="1">
        <v>180.0</v>
      </c>
      <c r="AM328" s="1">
        <v>99.0</v>
      </c>
      <c r="AO328" s="1">
        <v>157.0</v>
      </c>
    </row>
    <row r="329" ht="15.75" customHeight="1">
      <c r="A329" s="1">
        <v>328.0</v>
      </c>
      <c r="B329" s="1" t="s">
        <v>177</v>
      </c>
      <c r="C329" s="1" t="s">
        <v>1147</v>
      </c>
      <c r="Z329" s="1">
        <v>50.0</v>
      </c>
      <c r="AE329" s="1">
        <v>820110.0</v>
      </c>
      <c r="AF329" s="1">
        <v>20398.0</v>
      </c>
      <c r="AM329" s="1">
        <v>10.0</v>
      </c>
    </row>
    <row r="330" ht="15.75" customHeight="1">
      <c r="A330" s="1">
        <v>329.0</v>
      </c>
      <c r="B330" s="1" t="s">
        <v>190</v>
      </c>
      <c r="C330" s="1" t="s">
        <v>1148</v>
      </c>
      <c r="S330" s="1">
        <v>10.0</v>
      </c>
      <c r="AA330" s="1">
        <v>1.0</v>
      </c>
      <c r="AE330" s="1">
        <v>820110.0</v>
      </c>
      <c r="AF330" s="1">
        <v>20398.0</v>
      </c>
      <c r="AQ330" s="1">
        <v>119.0</v>
      </c>
    </row>
    <row r="331" ht="15.75" customHeight="1">
      <c r="A331" s="1">
        <v>330.0</v>
      </c>
      <c r="B331" s="1" t="s">
        <v>177</v>
      </c>
      <c r="C331" s="1" t="s">
        <v>1149</v>
      </c>
      <c r="AE331" s="1">
        <v>820402.0</v>
      </c>
      <c r="AF331" s="1">
        <v>20401.0</v>
      </c>
    </row>
    <row r="332" ht="15.75" customHeight="1">
      <c r="A332" s="1">
        <v>331.0</v>
      </c>
      <c r="B332" s="1" t="s">
        <v>177</v>
      </c>
      <c r="C332" s="1" t="s">
        <v>1150</v>
      </c>
      <c r="AE332" s="1">
        <v>331808.0</v>
      </c>
      <c r="AF332" s="1">
        <v>2274.0</v>
      </c>
    </row>
    <row r="333" ht="15.75" customHeight="1">
      <c r="A333" s="1">
        <v>332.0</v>
      </c>
      <c r="B333" s="1" t="s">
        <v>177</v>
      </c>
      <c r="C333" s="1" t="s">
        <v>1151</v>
      </c>
      <c r="Z333" s="1">
        <v>150.0</v>
      </c>
      <c r="AE333" s="1">
        <v>821137.0</v>
      </c>
      <c r="AF333" s="1">
        <v>20408.0</v>
      </c>
      <c r="AM333" s="1">
        <v>5.0</v>
      </c>
    </row>
    <row r="334" ht="15.75" customHeight="1">
      <c r="A334" s="1">
        <v>333.0</v>
      </c>
      <c r="B334" s="1" t="s">
        <v>177</v>
      </c>
      <c r="C334" s="1" t="s">
        <v>1152</v>
      </c>
      <c r="AA334" s="1">
        <v>1.0</v>
      </c>
      <c r="AE334" s="1">
        <v>821111.0</v>
      </c>
      <c r="AF334" s="1">
        <v>20408.0</v>
      </c>
    </row>
    <row r="335" ht="15.75" customHeight="1">
      <c r="A335" s="1">
        <v>334.0</v>
      </c>
      <c r="B335" s="1" t="s">
        <v>177</v>
      </c>
      <c r="C335" s="1" t="s">
        <v>1153</v>
      </c>
      <c r="Z335" s="1">
        <v>500.0</v>
      </c>
      <c r="AE335" s="1">
        <v>821139.0</v>
      </c>
      <c r="AF335" s="1">
        <v>20408.0</v>
      </c>
      <c r="AM335" s="1">
        <v>10.0</v>
      </c>
    </row>
    <row r="336" ht="15.75" customHeight="1">
      <c r="A336" s="1">
        <v>335.0</v>
      </c>
      <c r="B336" s="1" t="s">
        <v>177</v>
      </c>
      <c r="C336" s="1" t="s">
        <v>1154</v>
      </c>
      <c r="Z336" s="1">
        <v>400.0</v>
      </c>
      <c r="AE336" s="1">
        <v>821140.0</v>
      </c>
      <c r="AF336" s="1">
        <v>20408.0</v>
      </c>
      <c r="AM336" s="1">
        <v>10.0</v>
      </c>
    </row>
    <row r="337" ht="15.75" customHeight="1">
      <c r="A337" s="1">
        <v>336.0</v>
      </c>
      <c r="B337" s="1" t="s">
        <v>177</v>
      </c>
      <c r="C337" s="1" t="s">
        <v>1155</v>
      </c>
      <c r="Z337" s="1">
        <v>250.0</v>
      </c>
      <c r="AE337" s="1">
        <v>821139.0</v>
      </c>
      <c r="AF337" s="1">
        <v>20408.0</v>
      </c>
      <c r="AM337" s="1">
        <v>10.0</v>
      </c>
    </row>
    <row r="338" ht="15.75" customHeight="1">
      <c r="A338" s="1">
        <v>337.0</v>
      </c>
      <c r="B338" s="1" t="s">
        <v>177</v>
      </c>
      <c r="C338" s="1" t="s">
        <v>1156</v>
      </c>
      <c r="Z338" s="1">
        <v>200.0</v>
      </c>
      <c r="AE338" s="1">
        <v>821140.0</v>
      </c>
      <c r="AF338" s="1">
        <v>20408.0</v>
      </c>
      <c r="AM338" s="1">
        <v>10.0</v>
      </c>
    </row>
    <row r="339" ht="15.75" customHeight="1">
      <c r="A339" s="1">
        <v>338.0</v>
      </c>
      <c r="B339" s="1" t="s">
        <v>177</v>
      </c>
      <c r="C339" s="1" t="s">
        <v>1157</v>
      </c>
      <c r="Z339" s="1">
        <v>125.0</v>
      </c>
      <c r="AE339" s="1">
        <v>821139.0</v>
      </c>
      <c r="AF339" s="1">
        <v>20408.0</v>
      </c>
      <c r="AM339" s="1">
        <v>10.0</v>
      </c>
    </row>
    <row r="340" ht="15.75" customHeight="1">
      <c r="A340" s="1">
        <v>339.0</v>
      </c>
      <c r="B340" s="1" t="s">
        <v>177</v>
      </c>
      <c r="C340" s="1" t="s">
        <v>1158</v>
      </c>
      <c r="Z340" s="1">
        <v>100.0</v>
      </c>
      <c r="AE340" s="1">
        <v>821140.0</v>
      </c>
      <c r="AF340" s="1">
        <v>20408.0</v>
      </c>
      <c r="AM340" s="1">
        <v>10.0</v>
      </c>
    </row>
    <row r="341" ht="15.75" customHeight="1">
      <c r="A341" s="1">
        <v>340.0</v>
      </c>
      <c r="B341" s="1" t="s">
        <v>177</v>
      </c>
      <c r="C341" s="1" t="s">
        <v>1159</v>
      </c>
      <c r="Z341" s="1">
        <v>175.0</v>
      </c>
      <c r="AE341" s="1">
        <v>821126.0</v>
      </c>
      <c r="AF341" s="1">
        <v>20408.0</v>
      </c>
      <c r="AM341" s="1">
        <v>5.0</v>
      </c>
    </row>
    <row r="342" ht="15.75" customHeight="1">
      <c r="A342" s="1">
        <v>341.0</v>
      </c>
      <c r="B342" s="1" t="s">
        <v>177</v>
      </c>
      <c r="C342" s="1" t="s">
        <v>1160</v>
      </c>
      <c r="Z342" s="1">
        <v>150.0</v>
      </c>
      <c r="AE342" s="1">
        <v>821141.0</v>
      </c>
      <c r="AF342" s="1">
        <v>20408.0</v>
      </c>
      <c r="AM342" s="1">
        <v>5.0</v>
      </c>
    </row>
    <row r="343" ht="15.75" customHeight="1">
      <c r="A343" s="1">
        <v>342.0</v>
      </c>
      <c r="B343" s="1" t="s">
        <v>177</v>
      </c>
      <c r="C343" s="1" t="s">
        <v>1161</v>
      </c>
      <c r="Z343" s="1">
        <v>500.0</v>
      </c>
      <c r="AE343" s="1">
        <v>821136.0</v>
      </c>
      <c r="AF343" s="1">
        <v>20408.0</v>
      </c>
      <c r="AM343" s="1">
        <v>10.0</v>
      </c>
    </row>
    <row r="344" ht="15.75" customHeight="1">
      <c r="A344" s="1">
        <v>343.0</v>
      </c>
      <c r="B344" s="1" t="s">
        <v>177</v>
      </c>
      <c r="C344" s="1" t="s">
        <v>1162</v>
      </c>
      <c r="Z344" s="1">
        <v>100.0</v>
      </c>
      <c r="AE344" s="1">
        <v>820400.0</v>
      </c>
      <c r="AF344" s="1">
        <v>20401.0</v>
      </c>
      <c r="AM344" s="1">
        <v>99.0</v>
      </c>
    </row>
    <row r="345" ht="15.75" customHeight="1">
      <c r="A345" s="1">
        <v>344.0</v>
      </c>
      <c r="B345" s="1" t="s">
        <v>177</v>
      </c>
      <c r="C345" s="1" t="s">
        <v>1163</v>
      </c>
      <c r="Z345" s="1">
        <v>50.0</v>
      </c>
      <c r="AE345" s="1">
        <v>821124.0</v>
      </c>
      <c r="AF345" s="1">
        <v>20408.0</v>
      </c>
      <c r="AM345" s="1">
        <v>5.0</v>
      </c>
    </row>
    <row r="346" ht="15.75" customHeight="1">
      <c r="A346" s="1">
        <v>345.0</v>
      </c>
      <c r="B346" s="1" t="s">
        <v>177</v>
      </c>
      <c r="C346" s="1" t="s">
        <v>1164</v>
      </c>
      <c r="Z346" s="1">
        <v>250.0</v>
      </c>
      <c r="AA346" s="1">
        <v>1.0</v>
      </c>
      <c r="AE346" s="1">
        <v>821104.0</v>
      </c>
      <c r="AF346" s="1">
        <v>20408.0</v>
      </c>
    </row>
    <row r="347" ht="15.75" customHeight="1">
      <c r="A347" s="1">
        <v>346.0</v>
      </c>
      <c r="B347" s="1" t="s">
        <v>177</v>
      </c>
      <c r="C347" s="1" t="s">
        <v>1165</v>
      </c>
      <c r="Z347" s="1">
        <v>200.0</v>
      </c>
      <c r="AE347" s="1">
        <v>820241.0</v>
      </c>
      <c r="AF347" s="1">
        <v>20399.0</v>
      </c>
    </row>
    <row r="348" ht="15.75" customHeight="1">
      <c r="A348" s="1">
        <v>347.0</v>
      </c>
      <c r="B348" s="1" t="s">
        <v>177</v>
      </c>
      <c r="C348" s="1" t="s">
        <v>1166</v>
      </c>
      <c r="Z348" s="1">
        <v>200.0</v>
      </c>
      <c r="AE348" s="1">
        <v>821133.0</v>
      </c>
      <c r="AF348" s="1">
        <v>20408.0</v>
      </c>
      <c r="AM348" s="1">
        <v>5.0</v>
      </c>
    </row>
    <row r="349" ht="15.75" customHeight="1">
      <c r="A349" s="1">
        <v>348.0</v>
      </c>
      <c r="B349" s="1" t="s">
        <v>177</v>
      </c>
      <c r="C349" s="1" t="s">
        <v>1167</v>
      </c>
      <c r="Z349" s="1">
        <v>200.0</v>
      </c>
      <c r="AE349" s="1">
        <v>821132.0</v>
      </c>
      <c r="AF349" s="1">
        <v>20408.0</v>
      </c>
      <c r="AM349" s="1">
        <v>5.0</v>
      </c>
    </row>
    <row r="350" ht="15.75" customHeight="1">
      <c r="A350" s="1">
        <v>349.0</v>
      </c>
      <c r="B350" s="1" t="s">
        <v>177</v>
      </c>
      <c r="C350" s="1" t="s">
        <v>1168</v>
      </c>
      <c r="Z350" s="1">
        <v>200.0</v>
      </c>
      <c r="AE350" s="1">
        <v>821131.0</v>
      </c>
      <c r="AF350" s="1">
        <v>20408.0</v>
      </c>
      <c r="AM350" s="1">
        <v>5.0</v>
      </c>
    </row>
    <row r="351" ht="15.75" customHeight="1">
      <c r="A351" s="1">
        <v>350.0</v>
      </c>
      <c r="B351" s="1" t="s">
        <v>177</v>
      </c>
      <c r="C351" s="1" t="s">
        <v>1169</v>
      </c>
      <c r="Z351" s="1">
        <v>200.0</v>
      </c>
      <c r="AE351" s="1">
        <v>821130.0</v>
      </c>
      <c r="AF351" s="1">
        <v>20408.0</v>
      </c>
      <c r="AM351" s="1">
        <v>5.0</v>
      </c>
    </row>
    <row r="352" ht="15.75" customHeight="1">
      <c r="A352" s="1">
        <v>351.0</v>
      </c>
      <c r="B352" s="1" t="s">
        <v>177</v>
      </c>
      <c r="C352" s="1" t="s">
        <v>1170</v>
      </c>
      <c r="Z352" s="1">
        <v>200.0</v>
      </c>
      <c r="AE352" s="1">
        <v>821129.0</v>
      </c>
      <c r="AF352" s="1">
        <v>20408.0</v>
      </c>
      <c r="AM352" s="1">
        <v>5.0</v>
      </c>
    </row>
    <row r="353" ht="15.75" customHeight="1">
      <c r="A353" s="1">
        <v>352.0</v>
      </c>
      <c r="B353" s="1" t="s">
        <v>177</v>
      </c>
      <c r="C353" s="1" t="s">
        <v>1171</v>
      </c>
      <c r="Z353" s="1">
        <v>200.0</v>
      </c>
      <c r="AE353" s="1">
        <v>821128.0</v>
      </c>
      <c r="AF353" s="1">
        <v>20408.0</v>
      </c>
      <c r="AM353" s="1">
        <v>5.0</v>
      </c>
    </row>
    <row r="354" ht="15.75" customHeight="1">
      <c r="A354" s="1">
        <v>353.0</v>
      </c>
      <c r="B354" s="1" t="s">
        <v>177</v>
      </c>
      <c r="C354" s="1" t="s">
        <v>1172</v>
      </c>
      <c r="Z354" s="1">
        <v>200.0</v>
      </c>
      <c r="AE354" s="1">
        <v>821127.0</v>
      </c>
      <c r="AF354" s="1">
        <v>20408.0</v>
      </c>
      <c r="AM354" s="1">
        <v>5.0</v>
      </c>
    </row>
    <row r="355" ht="15.75" customHeight="1">
      <c r="A355" s="1">
        <v>354.0</v>
      </c>
      <c r="B355" s="1" t="s">
        <v>177</v>
      </c>
      <c r="C355" s="1" t="s">
        <v>1174</v>
      </c>
      <c r="Z355" s="1">
        <v>500.0</v>
      </c>
      <c r="AE355" s="1">
        <v>820504.0</v>
      </c>
      <c r="AF355" s="1">
        <v>20402.0</v>
      </c>
      <c r="AM355" s="1">
        <v>5.0</v>
      </c>
    </row>
    <row r="356" ht="15.75" customHeight="1">
      <c r="A356" s="1">
        <v>355.0</v>
      </c>
      <c r="B356" s="1" t="s">
        <v>177</v>
      </c>
      <c r="C356" s="1" t="s">
        <v>1177</v>
      </c>
      <c r="Z356" s="1">
        <v>20.0</v>
      </c>
      <c r="AE356" s="1">
        <v>821124.0</v>
      </c>
      <c r="AF356" s="1">
        <v>20408.0</v>
      </c>
    </row>
    <row r="357" ht="15.75" customHeight="1">
      <c r="A357" s="1">
        <v>356.0</v>
      </c>
      <c r="B357" s="1" t="s">
        <v>190</v>
      </c>
      <c r="C357" s="1" t="s">
        <v>1178</v>
      </c>
      <c r="S357" s="1">
        <v>15.0</v>
      </c>
      <c r="AA357" s="1">
        <v>1.0</v>
      </c>
      <c r="AE357" s="1">
        <v>820110.0</v>
      </c>
      <c r="AF357" s="1">
        <v>20398.0</v>
      </c>
      <c r="AQ357" s="1">
        <v>120.0</v>
      </c>
    </row>
    <row r="358" ht="15.75" customHeight="1">
      <c r="A358" s="1">
        <v>357.0</v>
      </c>
      <c r="B358" s="1" t="s">
        <v>137</v>
      </c>
      <c r="C358" s="1" t="s">
        <v>1179</v>
      </c>
      <c r="E358" s="1">
        <v>10.0</v>
      </c>
      <c r="F358" s="1">
        <v>5.0</v>
      </c>
      <c r="H358" s="1">
        <v>15.0</v>
      </c>
      <c r="I358" s="1">
        <v>3.0</v>
      </c>
      <c r="J358" s="1">
        <v>3.0</v>
      </c>
      <c r="K358" s="1">
        <v>3.0</v>
      </c>
      <c r="L358" s="1">
        <v>3.0</v>
      </c>
      <c r="S358" s="1">
        <v>10.0</v>
      </c>
      <c r="V358" s="1">
        <v>0.0</v>
      </c>
      <c r="X358" s="1" t="s">
        <v>694</v>
      </c>
      <c r="Z358" s="1">
        <v>250.0</v>
      </c>
      <c r="AA358" s="1">
        <v>1.0</v>
      </c>
      <c r="AE358" s="1">
        <v>820060.0</v>
      </c>
      <c r="AF358" s="1">
        <v>20397.0</v>
      </c>
    </row>
    <row r="359" ht="15.75" customHeight="1">
      <c r="A359" s="1">
        <v>358.0</v>
      </c>
      <c r="B359" s="1" t="s">
        <v>137</v>
      </c>
      <c r="C359" s="1" t="s">
        <v>1180</v>
      </c>
      <c r="H359" s="1">
        <v>5.0</v>
      </c>
      <c r="S359" s="1">
        <v>1.0</v>
      </c>
      <c r="V359" s="1">
        <v>0.0</v>
      </c>
      <c r="X359" s="1" t="s">
        <v>694</v>
      </c>
      <c r="Z359" s="1">
        <v>150.0</v>
      </c>
      <c r="AA359" s="1">
        <v>1.0</v>
      </c>
      <c r="AE359" s="1">
        <v>820053.0</v>
      </c>
      <c r="AF359" s="1">
        <v>20397.0</v>
      </c>
    </row>
    <row r="360" ht="15.75" customHeight="1">
      <c r="A360" s="1">
        <v>359.0</v>
      </c>
      <c r="B360" s="1" t="s">
        <v>137</v>
      </c>
      <c r="C360" s="1" t="s">
        <v>1181</v>
      </c>
      <c r="E360" s="1">
        <v>10.0</v>
      </c>
      <c r="F360" s="1">
        <v>5.0</v>
      </c>
      <c r="H360" s="1">
        <v>15.0</v>
      </c>
      <c r="I360" s="1">
        <v>3.0</v>
      </c>
      <c r="J360" s="1">
        <v>3.0</v>
      </c>
      <c r="K360" s="1">
        <v>3.0</v>
      </c>
      <c r="L360" s="1">
        <v>3.0</v>
      </c>
      <c r="S360" s="1">
        <v>10.0</v>
      </c>
      <c r="V360" s="1">
        <v>0.0</v>
      </c>
      <c r="X360" s="1" t="s">
        <v>694</v>
      </c>
      <c r="Z360" s="1">
        <v>250.0</v>
      </c>
      <c r="AA360" s="1">
        <v>1.0</v>
      </c>
      <c r="AE360" s="1">
        <v>820055.0</v>
      </c>
      <c r="AF360" s="1">
        <v>20397.0</v>
      </c>
    </row>
    <row r="361" ht="15.75" customHeight="1">
      <c r="A361" s="1">
        <v>360.0</v>
      </c>
      <c r="B361" s="1" t="s">
        <v>137</v>
      </c>
      <c r="C361" s="1" t="s">
        <v>1182</v>
      </c>
      <c r="E361" s="1">
        <v>50.0</v>
      </c>
      <c r="F361" s="1">
        <v>50.0</v>
      </c>
      <c r="H361" s="1">
        <v>15.0</v>
      </c>
      <c r="I361" s="1">
        <v>4.0</v>
      </c>
      <c r="J361" s="1">
        <v>4.0</v>
      </c>
      <c r="K361" s="1">
        <v>4.0</v>
      </c>
      <c r="L361" s="1">
        <v>4.0</v>
      </c>
      <c r="S361" s="1">
        <v>10.0</v>
      </c>
      <c r="V361" s="1">
        <v>0.0</v>
      </c>
      <c r="X361" s="1" t="s">
        <v>694</v>
      </c>
      <c r="AA361" s="1">
        <v>1.0</v>
      </c>
      <c r="AE361" s="1">
        <v>820078.0</v>
      </c>
      <c r="AF361" s="1">
        <v>20397.0</v>
      </c>
    </row>
    <row r="362" ht="15.75" customHeight="1">
      <c r="A362" s="1">
        <v>361.0</v>
      </c>
      <c r="B362" s="1" t="s">
        <v>148</v>
      </c>
      <c r="C362" s="1" t="s">
        <v>940</v>
      </c>
      <c r="I362" s="1">
        <v>12.0</v>
      </c>
      <c r="J362" s="1">
        <v>4.0</v>
      </c>
      <c r="K362" s="1">
        <v>2.0</v>
      </c>
      <c r="S362" s="1">
        <v>35.0</v>
      </c>
      <c r="V362" s="1">
        <v>65.0</v>
      </c>
      <c r="X362" s="1" t="s">
        <v>153</v>
      </c>
      <c r="Y362" s="1" t="s">
        <v>211</v>
      </c>
      <c r="Z362" s="1">
        <v>1500.0</v>
      </c>
      <c r="AE362" s="1">
        <v>331380.0</v>
      </c>
      <c r="AF362" s="1">
        <v>2269.0</v>
      </c>
      <c r="AG362" s="1">
        <v>98.0</v>
      </c>
      <c r="AL362" s="1">
        <v>55.0</v>
      </c>
      <c r="AN362" s="1">
        <v>4.0</v>
      </c>
    </row>
    <row r="363" ht="15.75" customHeight="1">
      <c r="A363" s="1">
        <v>362.0</v>
      </c>
      <c r="B363" s="1" t="s">
        <v>148</v>
      </c>
      <c r="C363" s="1" t="s">
        <v>1183</v>
      </c>
      <c r="I363" s="1">
        <v>5.0</v>
      </c>
      <c r="J363" s="1">
        <v>2.0</v>
      </c>
      <c r="S363" s="1">
        <v>20.0</v>
      </c>
      <c r="V363" s="1">
        <v>30.0</v>
      </c>
      <c r="X363" s="1" t="s">
        <v>153</v>
      </c>
      <c r="Y363" s="1" t="s">
        <v>211</v>
      </c>
      <c r="Z363" s="1">
        <v>1000.0</v>
      </c>
      <c r="AE363" s="1">
        <v>331380.0</v>
      </c>
      <c r="AF363" s="1">
        <v>2269.0</v>
      </c>
      <c r="AG363" s="1">
        <v>98.0</v>
      </c>
      <c r="AL363" s="1">
        <v>50.0</v>
      </c>
      <c r="AN363" s="1">
        <v>4.0</v>
      </c>
    </row>
    <row r="364" ht="15.75" customHeight="1">
      <c r="A364" s="1">
        <v>363.0</v>
      </c>
      <c r="B364" s="1" t="s">
        <v>148</v>
      </c>
      <c r="C364" s="1" t="s">
        <v>1184</v>
      </c>
      <c r="I364" s="1">
        <v>2.0</v>
      </c>
      <c r="J364" s="1">
        <v>1.0</v>
      </c>
      <c r="S364" s="1">
        <v>13.0</v>
      </c>
      <c r="V364" s="1">
        <v>26.0</v>
      </c>
      <c r="X364" s="1" t="s">
        <v>153</v>
      </c>
      <c r="Y364" s="1" t="s">
        <v>211</v>
      </c>
      <c r="Z364" s="1">
        <v>1000.0</v>
      </c>
      <c r="AE364" s="1">
        <v>331380.0</v>
      </c>
      <c r="AF364" s="1">
        <v>2269.0</v>
      </c>
      <c r="AG364" s="1">
        <v>98.0</v>
      </c>
      <c r="AL364" s="1">
        <v>50.0</v>
      </c>
      <c r="AN364" s="1">
        <v>4.0</v>
      </c>
    </row>
    <row r="365" ht="15.75" customHeight="1">
      <c r="A365" s="1">
        <v>364.0</v>
      </c>
      <c r="B365" s="1" t="s">
        <v>137</v>
      </c>
      <c r="C365" s="1" t="s">
        <v>1185</v>
      </c>
      <c r="E365" s="1">
        <v>75.0</v>
      </c>
      <c r="F365" s="1">
        <v>150.0</v>
      </c>
      <c r="H365" s="1">
        <v>50.0</v>
      </c>
      <c r="I365" s="1">
        <v>10.0</v>
      </c>
      <c r="J365" s="1">
        <v>10.0</v>
      </c>
      <c r="K365" s="1">
        <v>10.0</v>
      </c>
      <c r="L365" s="1">
        <v>10.0</v>
      </c>
      <c r="S365" s="1">
        <v>1.0</v>
      </c>
      <c r="X365" s="1" t="s">
        <v>186</v>
      </c>
      <c r="Y365" s="1" t="s">
        <v>141</v>
      </c>
      <c r="AE365" s="1">
        <v>332210.0</v>
      </c>
      <c r="AF365" s="1">
        <v>2278.0</v>
      </c>
      <c r="AG365" s="1">
        <v>4.0</v>
      </c>
      <c r="AI365" s="1">
        <v>255.0</v>
      </c>
      <c r="AK365" s="1">
        <v>200.0</v>
      </c>
      <c r="AO365" s="1">
        <v>71.0</v>
      </c>
    </row>
    <row r="366" ht="15.75" customHeight="1">
      <c r="A366" s="1">
        <v>365.0</v>
      </c>
      <c r="B366" s="1" t="s">
        <v>137</v>
      </c>
      <c r="C366" s="1" t="s">
        <v>1186</v>
      </c>
      <c r="S366" s="1">
        <v>50.0</v>
      </c>
      <c r="X366" s="1" t="s">
        <v>186</v>
      </c>
      <c r="Y366" s="1" t="s">
        <v>471</v>
      </c>
      <c r="Z366" s="1">
        <v>250000.0</v>
      </c>
      <c r="AE366" s="1">
        <v>820250.0</v>
      </c>
      <c r="AF366" s="1">
        <v>20399.0</v>
      </c>
      <c r="AG366" s="1">
        <v>68.0</v>
      </c>
      <c r="AH366" s="1">
        <v>214.0</v>
      </c>
      <c r="AI366" s="1">
        <v>214.0</v>
      </c>
      <c r="AJ366" s="1">
        <v>214.0</v>
      </c>
      <c r="AK366" s="1">
        <v>140.0</v>
      </c>
    </row>
    <row r="367" ht="15.75" customHeight="1">
      <c r="A367" s="1">
        <v>366.0</v>
      </c>
      <c r="B367" s="1" t="s">
        <v>137</v>
      </c>
      <c r="C367" s="1" t="s">
        <v>1187</v>
      </c>
      <c r="S367" s="1">
        <v>50.0</v>
      </c>
      <c r="X367" s="1" t="s">
        <v>140</v>
      </c>
      <c r="Y367" s="1" t="s">
        <v>471</v>
      </c>
      <c r="Z367" s="1">
        <v>250000.0</v>
      </c>
      <c r="AE367" s="1">
        <v>51331.0</v>
      </c>
      <c r="AF367" s="1">
        <v>2282.0</v>
      </c>
      <c r="AG367" s="1">
        <v>36.0</v>
      </c>
      <c r="AH367" s="1">
        <v>214.0</v>
      </c>
      <c r="AI367" s="1">
        <v>214.0</v>
      </c>
      <c r="AJ367" s="1">
        <v>214.0</v>
      </c>
      <c r="AK367" s="1">
        <v>140.0</v>
      </c>
    </row>
    <row r="368" ht="15.75" customHeight="1">
      <c r="A368" s="1">
        <v>367.0</v>
      </c>
      <c r="B368" s="1" t="s">
        <v>137</v>
      </c>
      <c r="C368" s="1" t="s">
        <v>1188</v>
      </c>
      <c r="S368" s="1">
        <v>50.0</v>
      </c>
      <c r="X368" s="1" t="s">
        <v>564</v>
      </c>
      <c r="Y368" s="1" t="s">
        <v>471</v>
      </c>
      <c r="Z368" s="1">
        <v>250000.0</v>
      </c>
      <c r="AE368" s="1">
        <v>51332.0</v>
      </c>
      <c r="AF368" s="1">
        <v>2282.0</v>
      </c>
      <c r="AG368" s="1">
        <v>14.0</v>
      </c>
      <c r="AH368" s="1">
        <v>214.0</v>
      </c>
      <c r="AI368" s="1">
        <v>214.0</v>
      </c>
      <c r="AJ368" s="1">
        <v>214.0</v>
      </c>
      <c r="AK368" s="1">
        <v>140.0</v>
      </c>
    </row>
    <row r="369" ht="15.75" customHeight="1">
      <c r="A369" s="1">
        <v>368.0</v>
      </c>
      <c r="B369" s="1" t="s">
        <v>137</v>
      </c>
      <c r="C369" s="1" t="s">
        <v>1189</v>
      </c>
      <c r="S369" s="1">
        <v>50.0</v>
      </c>
      <c r="X369" s="1" t="s">
        <v>634</v>
      </c>
      <c r="Y369" s="1" t="s">
        <v>471</v>
      </c>
      <c r="Z369" s="1">
        <v>250000.0</v>
      </c>
      <c r="AE369" s="1">
        <v>332288.0</v>
      </c>
      <c r="AF369" s="1">
        <v>2278.0</v>
      </c>
      <c r="AG369" s="1">
        <v>9.0</v>
      </c>
      <c r="AH369" s="1">
        <v>214.0</v>
      </c>
      <c r="AI369" s="1">
        <v>214.0</v>
      </c>
      <c r="AJ369" s="1">
        <v>214.0</v>
      </c>
      <c r="AK369" s="1">
        <v>140.0</v>
      </c>
    </row>
    <row r="370" ht="15.75" customHeight="1">
      <c r="A370" s="1">
        <v>369.0</v>
      </c>
      <c r="B370" s="1" t="s">
        <v>137</v>
      </c>
      <c r="C370" s="1" t="s">
        <v>1190</v>
      </c>
      <c r="S370" s="1">
        <v>50.0</v>
      </c>
      <c r="X370" s="1" t="s">
        <v>186</v>
      </c>
      <c r="Y370" s="1" t="s">
        <v>141</v>
      </c>
      <c r="Z370" s="1">
        <v>250000.0</v>
      </c>
      <c r="AE370" s="1">
        <v>332240.0</v>
      </c>
      <c r="AF370" s="1">
        <v>2278.0</v>
      </c>
      <c r="AG370" s="1">
        <v>22.0</v>
      </c>
      <c r="AH370" s="1">
        <v>214.0</v>
      </c>
      <c r="AI370" s="1">
        <v>214.0</v>
      </c>
      <c r="AJ370" s="1">
        <v>214.0</v>
      </c>
      <c r="AK370" s="1">
        <v>180.0</v>
      </c>
    </row>
    <row r="371" ht="15.75" customHeight="1">
      <c r="A371" s="1">
        <v>370.0</v>
      </c>
      <c r="B371" s="1" t="s">
        <v>137</v>
      </c>
      <c r="C371" s="1" t="s">
        <v>1191</v>
      </c>
      <c r="S371" s="1">
        <v>50.0</v>
      </c>
      <c r="X371" s="1" t="s">
        <v>140</v>
      </c>
      <c r="Y371" s="1" t="s">
        <v>141</v>
      </c>
      <c r="Z371" s="1">
        <v>250000.0</v>
      </c>
      <c r="AE371" s="1">
        <v>332236.0</v>
      </c>
      <c r="AF371" s="1">
        <v>2278.0</v>
      </c>
      <c r="AG371" s="1">
        <v>12.0</v>
      </c>
      <c r="AH371" s="1">
        <v>214.0</v>
      </c>
      <c r="AI371" s="1">
        <v>214.0</v>
      </c>
      <c r="AJ371" s="1">
        <v>214.0</v>
      </c>
      <c r="AK371" s="1">
        <v>140.0</v>
      </c>
    </row>
    <row r="372" ht="15.75" customHeight="1">
      <c r="A372" s="1">
        <v>371.0</v>
      </c>
      <c r="B372" s="1" t="s">
        <v>137</v>
      </c>
      <c r="C372" s="1" t="s">
        <v>1192</v>
      </c>
      <c r="S372" s="1">
        <v>50.0</v>
      </c>
      <c r="X372" s="1" t="s">
        <v>140</v>
      </c>
      <c r="Y372" s="1" t="s">
        <v>471</v>
      </c>
      <c r="Z372" s="1">
        <v>250000.0</v>
      </c>
      <c r="AE372" s="1">
        <v>283266.0</v>
      </c>
      <c r="AF372" s="1">
        <v>3770.0</v>
      </c>
      <c r="AG372" s="1">
        <v>58.0</v>
      </c>
      <c r="AH372" s="1">
        <v>214.0</v>
      </c>
      <c r="AI372" s="1">
        <v>214.0</v>
      </c>
      <c r="AJ372" s="1">
        <v>214.0</v>
      </c>
      <c r="AK372" s="1">
        <v>180.0</v>
      </c>
    </row>
    <row r="373" ht="15.75" customHeight="1">
      <c r="A373" s="1">
        <v>372.0</v>
      </c>
      <c r="B373" s="1" t="s">
        <v>137</v>
      </c>
      <c r="C373" s="1" t="s">
        <v>1193</v>
      </c>
      <c r="S373" s="1">
        <v>50.0</v>
      </c>
      <c r="X373" s="1" t="s">
        <v>186</v>
      </c>
      <c r="Y373" s="1" t="s">
        <v>471</v>
      </c>
      <c r="Z373" s="1">
        <v>250000.0</v>
      </c>
      <c r="AE373" s="1">
        <v>332238.0</v>
      </c>
      <c r="AF373" s="1">
        <v>2278.0</v>
      </c>
      <c r="AG373" s="1">
        <v>20.0</v>
      </c>
      <c r="AH373" s="1">
        <v>214.0</v>
      </c>
      <c r="AI373" s="1">
        <v>214.0</v>
      </c>
      <c r="AJ373" s="1">
        <v>214.0</v>
      </c>
      <c r="AK373" s="1">
        <v>180.0</v>
      </c>
    </row>
    <row r="374" ht="15.75" customHeight="1">
      <c r="A374" s="1">
        <v>373.0</v>
      </c>
      <c r="B374" s="1" t="s">
        <v>137</v>
      </c>
      <c r="C374" s="1" t="s">
        <v>1186</v>
      </c>
      <c r="E374" s="1">
        <v>200.0</v>
      </c>
      <c r="F374" s="1">
        <v>100.0</v>
      </c>
      <c r="H374" s="1">
        <v>130.0</v>
      </c>
      <c r="I374" s="1">
        <v>10.0</v>
      </c>
      <c r="J374" s="1">
        <v>7.0</v>
      </c>
      <c r="K374" s="1">
        <v>7.0</v>
      </c>
      <c r="S374" s="1">
        <v>50.0</v>
      </c>
      <c r="X374" s="1" t="s">
        <v>186</v>
      </c>
      <c r="Y374" s="1" t="s">
        <v>471</v>
      </c>
      <c r="AE374" s="1">
        <v>820250.0</v>
      </c>
      <c r="AF374" s="1">
        <v>20399.0</v>
      </c>
      <c r="AG374" s="1">
        <v>68.0</v>
      </c>
      <c r="AH374" s="1">
        <v>214.0</v>
      </c>
      <c r="AI374" s="1">
        <v>214.0</v>
      </c>
      <c r="AJ374" s="1">
        <v>214.0</v>
      </c>
      <c r="AK374" s="1">
        <v>140.0</v>
      </c>
      <c r="AL374" s="1">
        <v>51.0</v>
      </c>
    </row>
    <row r="375" ht="15.75" customHeight="1">
      <c r="A375" s="1">
        <v>374.0</v>
      </c>
      <c r="B375" s="1" t="s">
        <v>137</v>
      </c>
      <c r="C375" s="1" t="s">
        <v>1187</v>
      </c>
      <c r="E375" s="1">
        <v>300.0</v>
      </c>
      <c r="H375" s="1">
        <v>275.0</v>
      </c>
      <c r="I375" s="1">
        <v>20.0</v>
      </c>
      <c r="J375" s="1">
        <v>20.0</v>
      </c>
      <c r="K375" s="1">
        <v>20.0</v>
      </c>
      <c r="S375" s="1">
        <v>50.0</v>
      </c>
      <c r="X375" s="1" t="s">
        <v>140</v>
      </c>
      <c r="Y375" s="1" t="s">
        <v>471</v>
      </c>
      <c r="AE375" s="1">
        <v>51331.0</v>
      </c>
      <c r="AF375" s="1">
        <v>2282.0</v>
      </c>
      <c r="AG375" s="1">
        <v>36.0</v>
      </c>
      <c r="AH375" s="1">
        <v>214.0</v>
      </c>
      <c r="AI375" s="1">
        <v>214.0</v>
      </c>
      <c r="AJ375" s="1">
        <v>214.0</v>
      </c>
      <c r="AK375" s="1">
        <v>140.0</v>
      </c>
      <c r="AL375" s="1">
        <v>51.0</v>
      </c>
    </row>
    <row r="376" ht="15.75" customHeight="1">
      <c r="A376" s="1">
        <v>375.0</v>
      </c>
      <c r="B376" s="1" t="s">
        <v>137</v>
      </c>
      <c r="C376" s="1" t="s">
        <v>1188</v>
      </c>
      <c r="E376" s="1">
        <v>175.0</v>
      </c>
      <c r="F376" s="1">
        <v>150.0</v>
      </c>
      <c r="H376" s="1">
        <v>120.0</v>
      </c>
      <c r="I376" s="1">
        <v>15.0</v>
      </c>
      <c r="J376" s="1">
        <v>15.0</v>
      </c>
      <c r="K376" s="1">
        <v>15.0</v>
      </c>
      <c r="L376" s="1">
        <v>15.0</v>
      </c>
      <c r="S376" s="1">
        <v>50.0</v>
      </c>
      <c r="X376" s="1" t="s">
        <v>564</v>
      </c>
      <c r="Y376" s="1" t="s">
        <v>471</v>
      </c>
      <c r="AE376" s="1">
        <v>51332.0</v>
      </c>
      <c r="AF376" s="1">
        <v>2282.0</v>
      </c>
      <c r="AG376" s="1">
        <v>14.0</v>
      </c>
      <c r="AH376" s="1">
        <v>214.0</v>
      </c>
      <c r="AI376" s="1">
        <v>214.0</v>
      </c>
      <c r="AJ376" s="1">
        <v>214.0</v>
      </c>
      <c r="AK376" s="1">
        <v>140.0</v>
      </c>
    </row>
    <row r="377" ht="15.75" customHeight="1">
      <c r="A377" s="1">
        <v>376.0</v>
      </c>
      <c r="B377" s="1" t="s">
        <v>137</v>
      </c>
      <c r="C377" s="1" t="s">
        <v>1189</v>
      </c>
      <c r="E377" s="1">
        <v>150.0</v>
      </c>
      <c r="F377" s="1">
        <v>100.0</v>
      </c>
      <c r="H377" s="1">
        <v>75.0</v>
      </c>
      <c r="I377" s="1">
        <v>10.0</v>
      </c>
      <c r="J377" s="1">
        <v>10.0</v>
      </c>
      <c r="S377" s="1">
        <v>50.0</v>
      </c>
      <c r="X377" s="1" t="s">
        <v>634</v>
      </c>
      <c r="Y377" s="1" t="s">
        <v>471</v>
      </c>
      <c r="AE377" s="1">
        <v>332288.0</v>
      </c>
      <c r="AF377" s="1">
        <v>2278.0</v>
      </c>
      <c r="AG377" s="1">
        <v>9.0</v>
      </c>
      <c r="AH377" s="1">
        <v>214.0</v>
      </c>
      <c r="AI377" s="1">
        <v>214.0</v>
      </c>
      <c r="AJ377" s="1">
        <v>214.0</v>
      </c>
      <c r="AK377" s="1">
        <v>140.0</v>
      </c>
    </row>
    <row r="378" ht="15.75" customHeight="1">
      <c r="A378" s="1">
        <v>377.0</v>
      </c>
      <c r="B378" s="1" t="s">
        <v>137</v>
      </c>
      <c r="C378" s="1" t="s">
        <v>1190</v>
      </c>
      <c r="E378" s="1">
        <v>200.0</v>
      </c>
      <c r="F378" s="1">
        <v>100.0</v>
      </c>
      <c r="H378" s="1">
        <v>70.0</v>
      </c>
      <c r="J378" s="1">
        <v>8.0</v>
      </c>
      <c r="L378" s="1">
        <v>18.0</v>
      </c>
      <c r="S378" s="1">
        <v>50.0</v>
      </c>
      <c r="X378" s="1" t="s">
        <v>186</v>
      </c>
      <c r="Y378" s="1" t="s">
        <v>141</v>
      </c>
      <c r="AE378" s="1">
        <v>332240.0</v>
      </c>
      <c r="AF378" s="1">
        <v>2278.0</v>
      </c>
      <c r="AG378" s="1">
        <v>22.0</v>
      </c>
      <c r="AH378" s="1">
        <v>214.0</v>
      </c>
      <c r="AI378" s="1">
        <v>214.0</v>
      </c>
      <c r="AJ378" s="1">
        <v>214.0</v>
      </c>
      <c r="AK378" s="1">
        <v>180.0</v>
      </c>
      <c r="AL378" s="1">
        <v>15.0</v>
      </c>
    </row>
    <row r="379" ht="15.75" customHeight="1">
      <c r="A379" s="1">
        <v>378.0</v>
      </c>
      <c r="B379" s="1" t="s">
        <v>137</v>
      </c>
      <c r="C379" s="1" t="s">
        <v>1191</v>
      </c>
      <c r="E379" s="1">
        <v>125.0</v>
      </c>
      <c r="F379" s="1">
        <v>425.0</v>
      </c>
      <c r="H379" s="1">
        <v>200.0</v>
      </c>
      <c r="K379" s="1">
        <v>5.0</v>
      </c>
      <c r="L379" s="1">
        <v>35.0</v>
      </c>
      <c r="S379" s="1">
        <v>50.0</v>
      </c>
      <c r="X379" s="1" t="s">
        <v>140</v>
      </c>
      <c r="Y379" s="1" t="s">
        <v>141</v>
      </c>
      <c r="AE379" s="1">
        <v>332236.0</v>
      </c>
      <c r="AF379" s="1">
        <v>2278.0</v>
      </c>
      <c r="AG379" s="1">
        <v>12.0</v>
      </c>
      <c r="AH379" s="1">
        <v>214.0</v>
      </c>
      <c r="AI379" s="1">
        <v>214.0</v>
      </c>
      <c r="AJ379" s="1">
        <v>214.0</v>
      </c>
      <c r="AK379" s="1">
        <v>140.0</v>
      </c>
      <c r="AL379" s="1">
        <v>15.0</v>
      </c>
    </row>
    <row r="380" ht="15.75" customHeight="1">
      <c r="A380" s="1">
        <v>379.0</v>
      </c>
      <c r="B380" s="1" t="s">
        <v>137</v>
      </c>
      <c r="C380" s="1" t="s">
        <v>1192</v>
      </c>
      <c r="E380" s="1">
        <v>250.0</v>
      </c>
      <c r="F380" s="1">
        <v>150.0</v>
      </c>
      <c r="H380" s="1">
        <v>235.0</v>
      </c>
      <c r="I380" s="1">
        <v>20.0</v>
      </c>
      <c r="J380" s="1">
        <v>20.0</v>
      </c>
      <c r="K380" s="1">
        <v>20.0</v>
      </c>
      <c r="S380" s="1">
        <v>50.0</v>
      </c>
      <c r="X380" s="1" t="s">
        <v>140</v>
      </c>
      <c r="Y380" s="1" t="s">
        <v>471</v>
      </c>
      <c r="AE380" s="1">
        <v>283266.0</v>
      </c>
      <c r="AF380" s="1">
        <v>3770.0</v>
      </c>
      <c r="AG380" s="1">
        <v>58.0</v>
      </c>
      <c r="AH380" s="1">
        <v>214.0</v>
      </c>
      <c r="AI380" s="1">
        <v>214.0</v>
      </c>
      <c r="AJ380" s="1">
        <v>214.0</v>
      </c>
      <c r="AK380" s="1">
        <v>180.0</v>
      </c>
      <c r="AL380" s="1">
        <v>59.0</v>
      </c>
    </row>
    <row r="381" ht="15.75" customHeight="1">
      <c r="A381" s="1">
        <v>380.0</v>
      </c>
      <c r="B381" s="1" t="s">
        <v>137</v>
      </c>
      <c r="C381" s="1" t="s">
        <v>1193</v>
      </c>
      <c r="E381" s="1">
        <v>150.0</v>
      </c>
      <c r="F381" s="1">
        <v>150.0</v>
      </c>
      <c r="H381" s="1">
        <v>120.0</v>
      </c>
      <c r="I381" s="1">
        <v>20.0</v>
      </c>
      <c r="J381" s="1">
        <v>10.0</v>
      </c>
      <c r="K381" s="1">
        <v>20.0</v>
      </c>
      <c r="L381" s="1">
        <v>10.0</v>
      </c>
      <c r="S381" s="1">
        <v>50.0</v>
      </c>
      <c r="X381" s="1" t="s">
        <v>186</v>
      </c>
      <c r="Y381" s="1" t="s">
        <v>471</v>
      </c>
      <c r="AE381" s="1">
        <v>332238.0</v>
      </c>
      <c r="AF381" s="1">
        <v>2278.0</v>
      </c>
      <c r="AG381" s="1">
        <v>20.0</v>
      </c>
      <c r="AH381" s="1">
        <v>214.0</v>
      </c>
      <c r="AI381" s="1">
        <v>214.0</v>
      </c>
      <c r="AJ381" s="1">
        <v>214.0</v>
      </c>
      <c r="AK381" s="1">
        <v>180.0</v>
      </c>
      <c r="AL381" s="1">
        <v>59.0</v>
      </c>
    </row>
    <row r="382" ht="15.75" customHeight="1">
      <c r="A382" s="1">
        <v>381.0</v>
      </c>
      <c r="B382" s="1" t="s">
        <v>137</v>
      </c>
      <c r="C382" s="1" t="s">
        <v>1194</v>
      </c>
      <c r="E382" s="1">
        <v>90.0</v>
      </c>
      <c r="H382" s="1">
        <v>60.0</v>
      </c>
      <c r="J382" s="1">
        <v>6.0</v>
      </c>
      <c r="L382" s="1">
        <v>6.0</v>
      </c>
      <c r="V382" s="1">
        <v>0.0</v>
      </c>
      <c r="X382" s="1" t="s">
        <v>715</v>
      </c>
      <c r="Z382" s="1">
        <v>50000.0</v>
      </c>
      <c r="AA382" s="1">
        <v>1.0</v>
      </c>
      <c r="AD382" s="1">
        <v>1.0</v>
      </c>
      <c r="AE382" s="1">
        <v>820278.0</v>
      </c>
      <c r="AF382" s="1">
        <v>20399.0</v>
      </c>
      <c r="AO382" s="1">
        <v>68.0</v>
      </c>
      <c r="AR382" s="1">
        <v>5.0</v>
      </c>
    </row>
    <row r="383" ht="15.75" customHeight="1">
      <c r="A383" s="1">
        <v>382.0</v>
      </c>
      <c r="B383" s="1" t="s">
        <v>137</v>
      </c>
      <c r="C383" s="1" t="s">
        <v>1195</v>
      </c>
      <c r="E383" s="1">
        <v>150.0</v>
      </c>
      <c r="F383" s="1">
        <v>150.0</v>
      </c>
      <c r="H383" s="1">
        <v>100.0</v>
      </c>
      <c r="I383" s="1">
        <v>10.0</v>
      </c>
      <c r="J383" s="1">
        <v>10.0</v>
      </c>
      <c r="K383" s="1">
        <v>10.0</v>
      </c>
      <c r="L383" s="1">
        <v>10.0</v>
      </c>
      <c r="M383" s="1">
        <v>10.0</v>
      </c>
      <c r="N383" s="1">
        <v>10.0</v>
      </c>
      <c r="O383" s="1">
        <v>10.0</v>
      </c>
      <c r="P383" s="1">
        <v>10.0</v>
      </c>
      <c r="Q383" s="1">
        <v>10.0</v>
      </c>
      <c r="X383" s="1" t="s">
        <v>186</v>
      </c>
      <c r="Y383" s="1" t="s">
        <v>141</v>
      </c>
      <c r="Z383" s="1">
        <v>40000.0</v>
      </c>
      <c r="AE383" s="1">
        <v>332210.0</v>
      </c>
      <c r="AF383" s="1">
        <v>2278.0</v>
      </c>
      <c r="AG383" s="1">
        <v>4.0</v>
      </c>
      <c r="AR383" s="1">
        <v>5.0</v>
      </c>
    </row>
    <row r="384" ht="15.75" customHeight="1">
      <c r="A384" s="1">
        <v>383.0</v>
      </c>
      <c r="B384" s="1" t="s">
        <v>137</v>
      </c>
      <c r="C384" s="1" t="s">
        <v>1196</v>
      </c>
      <c r="E384" s="1">
        <v>200.0</v>
      </c>
      <c r="F384" s="1">
        <v>200.0</v>
      </c>
      <c r="H384" s="1">
        <v>200.0</v>
      </c>
      <c r="I384" s="1">
        <v>20.0</v>
      </c>
      <c r="J384" s="1">
        <v>20.0</v>
      </c>
      <c r="K384" s="1">
        <v>20.0</v>
      </c>
      <c r="L384" s="1">
        <v>20.0</v>
      </c>
      <c r="M384" s="1">
        <v>20.0</v>
      </c>
      <c r="N384" s="1">
        <v>20.0</v>
      </c>
      <c r="O384" s="1">
        <v>20.0</v>
      </c>
      <c r="P384" s="1">
        <v>20.0</v>
      </c>
      <c r="Q384" s="1">
        <v>20.0</v>
      </c>
      <c r="S384" s="1">
        <v>1.0</v>
      </c>
      <c r="X384" s="1" t="s">
        <v>140</v>
      </c>
      <c r="Y384" s="1" t="s">
        <v>141</v>
      </c>
      <c r="Z384" s="1">
        <v>50000.0</v>
      </c>
      <c r="AE384" s="1">
        <v>332248.0</v>
      </c>
      <c r="AF384" s="1">
        <v>2278.0</v>
      </c>
      <c r="AG384" s="1">
        <v>16.0</v>
      </c>
      <c r="AH384" s="1">
        <v>224.0</v>
      </c>
      <c r="AI384" s="1">
        <v>27.0</v>
      </c>
      <c r="AJ384" s="1">
        <v>36.0</v>
      </c>
      <c r="AK384" s="1">
        <v>180.0</v>
      </c>
      <c r="AR384" s="1">
        <v>5.0</v>
      </c>
    </row>
    <row r="385" ht="15.75" customHeight="1">
      <c r="A385" s="1">
        <v>384.0</v>
      </c>
      <c r="B385" s="1" t="s">
        <v>137</v>
      </c>
      <c r="C385" s="1" t="s">
        <v>1197</v>
      </c>
      <c r="E385" s="1">
        <v>75.0</v>
      </c>
      <c r="F385" s="1">
        <v>75.0</v>
      </c>
      <c r="H385" s="1">
        <v>50.0</v>
      </c>
      <c r="I385" s="1">
        <v>5.0</v>
      </c>
      <c r="J385" s="1">
        <v>5.0</v>
      </c>
      <c r="K385" s="1">
        <v>5.0</v>
      </c>
      <c r="L385" s="1">
        <v>5.0</v>
      </c>
      <c r="V385" s="1">
        <v>0.0</v>
      </c>
      <c r="X385" s="1" t="s">
        <v>737</v>
      </c>
      <c r="Z385" s="1">
        <v>400000.0</v>
      </c>
      <c r="AE385" s="1">
        <v>820093.0</v>
      </c>
      <c r="AF385" s="1">
        <v>20397.0</v>
      </c>
      <c r="AH385" s="1">
        <v>24.0</v>
      </c>
      <c r="AI385" s="1">
        <v>81.0</v>
      </c>
      <c r="AJ385" s="1">
        <v>33.0</v>
      </c>
      <c r="AK385" s="1">
        <v>160.0</v>
      </c>
      <c r="AO385" s="1">
        <v>71.0</v>
      </c>
      <c r="AR385" s="1">
        <v>10.0</v>
      </c>
    </row>
    <row r="386" ht="15.75" customHeight="1">
      <c r="A386" s="1">
        <v>385.0</v>
      </c>
      <c r="B386" s="1" t="s">
        <v>137</v>
      </c>
      <c r="C386" s="1" t="s">
        <v>1198</v>
      </c>
      <c r="E386" s="1">
        <v>125.0</v>
      </c>
      <c r="F386" s="1">
        <v>125.0</v>
      </c>
      <c r="H386" s="1">
        <v>25.0</v>
      </c>
      <c r="I386" s="1">
        <v>10.0</v>
      </c>
      <c r="J386" s="1">
        <v>5.0</v>
      </c>
      <c r="K386" s="1">
        <v>10.0</v>
      </c>
      <c r="L386" s="1">
        <v>5.0</v>
      </c>
      <c r="S386" s="1">
        <v>1.0</v>
      </c>
      <c r="X386" s="1" t="s">
        <v>634</v>
      </c>
      <c r="Y386" s="1" t="s">
        <v>141</v>
      </c>
      <c r="AD386" s="1">
        <v>1.0</v>
      </c>
      <c r="AE386" s="1">
        <v>820289.0</v>
      </c>
      <c r="AF386" s="1">
        <v>20399.0</v>
      </c>
      <c r="AG386" s="1">
        <v>11.0</v>
      </c>
    </row>
    <row r="387" ht="15.75" customHeight="1">
      <c r="A387" s="1">
        <v>386.0</v>
      </c>
      <c r="B387" s="1" t="s">
        <v>137</v>
      </c>
      <c r="C387" s="1" t="s">
        <v>1199</v>
      </c>
      <c r="E387" s="1">
        <v>100.0</v>
      </c>
      <c r="F387" s="1">
        <v>100.0</v>
      </c>
      <c r="H387" s="1">
        <v>50.0</v>
      </c>
      <c r="I387" s="1">
        <v>10.0</v>
      </c>
      <c r="J387" s="1">
        <v>10.0</v>
      </c>
      <c r="S387" s="1">
        <v>1.0</v>
      </c>
      <c r="X387" s="1" t="s">
        <v>140</v>
      </c>
      <c r="Y387" s="1" t="s">
        <v>141</v>
      </c>
      <c r="AE387" s="1">
        <v>820265.0</v>
      </c>
      <c r="AF387" s="1">
        <v>20399.0</v>
      </c>
      <c r="AG387" s="1">
        <v>23.0</v>
      </c>
    </row>
    <row r="388" ht="15.75" customHeight="1">
      <c r="A388" s="1">
        <v>387.0</v>
      </c>
      <c r="B388" s="1" t="s">
        <v>137</v>
      </c>
      <c r="C388" s="1" t="s">
        <v>1200</v>
      </c>
      <c r="E388" s="1">
        <v>150.0</v>
      </c>
      <c r="F388" s="1">
        <v>150.0</v>
      </c>
      <c r="H388" s="1">
        <v>100.0</v>
      </c>
      <c r="I388" s="1">
        <v>10.0</v>
      </c>
      <c r="J388" s="1">
        <v>10.0</v>
      </c>
      <c r="L388" s="1">
        <v>10.0</v>
      </c>
      <c r="S388" s="1">
        <v>1.0</v>
      </c>
      <c r="X388" s="1" t="s">
        <v>140</v>
      </c>
      <c r="Y388" s="1" t="s">
        <v>141</v>
      </c>
      <c r="AE388" s="1">
        <v>332227.0</v>
      </c>
      <c r="AF388" s="1">
        <v>2278.0</v>
      </c>
      <c r="AG388" s="1">
        <v>10.0</v>
      </c>
    </row>
    <row r="389" ht="15.75" customHeight="1">
      <c r="A389" s="1">
        <v>388.0</v>
      </c>
      <c r="B389" s="1" t="s">
        <v>137</v>
      </c>
      <c r="C389" s="1" t="s">
        <v>1201</v>
      </c>
      <c r="E389" s="1">
        <v>100.0</v>
      </c>
      <c r="F389" s="1">
        <v>100.0</v>
      </c>
      <c r="H389" s="1">
        <v>25.0</v>
      </c>
      <c r="I389" s="1">
        <v>5.0</v>
      </c>
      <c r="J389" s="1">
        <v>5.0</v>
      </c>
      <c r="S389" s="1">
        <v>1.0</v>
      </c>
      <c r="X389" s="1" t="s">
        <v>140</v>
      </c>
      <c r="Y389" s="1" t="s">
        <v>141</v>
      </c>
      <c r="AE389" s="1">
        <v>820293.0</v>
      </c>
      <c r="AF389" s="1">
        <v>20399.0</v>
      </c>
      <c r="AG389" s="1">
        <v>80.0</v>
      </c>
    </row>
    <row r="390" ht="15.75" customHeight="1">
      <c r="A390" s="1">
        <v>389.0</v>
      </c>
      <c r="B390" s="1" t="s">
        <v>148</v>
      </c>
      <c r="C390" s="1" t="s">
        <v>1202</v>
      </c>
      <c r="E390" s="1">
        <v>125.0</v>
      </c>
      <c r="F390" s="1">
        <v>125.0</v>
      </c>
      <c r="I390" s="1">
        <v>10.0</v>
      </c>
      <c r="J390" s="1">
        <v>5.0</v>
      </c>
      <c r="K390" s="1">
        <v>5.0</v>
      </c>
      <c r="V390" s="1">
        <v>80.0</v>
      </c>
      <c r="W390" s="1">
        <v>7.0</v>
      </c>
      <c r="X390" s="1" t="s">
        <v>153</v>
      </c>
      <c r="Y390" s="1" t="s">
        <v>208</v>
      </c>
      <c r="Z390" s="1">
        <v>30000.0</v>
      </c>
      <c r="AE390" s="1">
        <v>331320.0</v>
      </c>
      <c r="AF390" s="1">
        <v>2269.0</v>
      </c>
      <c r="AG390" s="1">
        <v>19.0</v>
      </c>
      <c r="AH390" s="1">
        <v>24.0</v>
      </c>
      <c r="AI390" s="1">
        <v>81.0</v>
      </c>
      <c r="AJ390" s="1">
        <v>33.0</v>
      </c>
      <c r="AK390" s="1">
        <v>160.0</v>
      </c>
      <c r="AN390" s="1">
        <v>4.0</v>
      </c>
      <c r="AR390" s="1">
        <v>5.0</v>
      </c>
    </row>
    <row r="391" ht="15.75" customHeight="1">
      <c r="A391" s="1">
        <v>390.0</v>
      </c>
      <c r="B391" s="1" t="s">
        <v>148</v>
      </c>
      <c r="C391" s="1" t="s">
        <v>1203</v>
      </c>
      <c r="E391" s="1">
        <v>100.0</v>
      </c>
      <c r="F391" s="1">
        <v>100.0</v>
      </c>
      <c r="H391" s="1">
        <v>50.0</v>
      </c>
      <c r="J391" s="1">
        <v>10.0</v>
      </c>
      <c r="L391" s="1">
        <v>10.0</v>
      </c>
      <c r="V391" s="1">
        <v>50.0</v>
      </c>
      <c r="X391" s="1" t="s">
        <v>202</v>
      </c>
      <c r="Y391" s="1" t="s">
        <v>203</v>
      </c>
      <c r="AE391" s="1">
        <v>331342.0</v>
      </c>
      <c r="AF391" s="1">
        <v>2269.0</v>
      </c>
      <c r="AG391" s="1">
        <v>50.0</v>
      </c>
      <c r="AN391" s="1">
        <v>5.0</v>
      </c>
    </row>
    <row r="392" ht="15.75" customHeight="1">
      <c r="A392" s="1">
        <v>391.0</v>
      </c>
      <c r="B392" s="1" t="s">
        <v>163</v>
      </c>
      <c r="C392" s="1" t="s">
        <v>767</v>
      </c>
      <c r="AE392" s="1">
        <v>821122.0</v>
      </c>
      <c r="AF392" s="1">
        <v>20408.0</v>
      </c>
      <c r="AH392" s="1">
        <v>164.0</v>
      </c>
      <c r="AI392" s="1">
        <v>219.0</v>
      </c>
      <c r="AJ392" s="1">
        <v>247.0</v>
      </c>
      <c r="AK392" s="1">
        <v>200.0</v>
      </c>
      <c r="AM392" s="1">
        <v>99.0</v>
      </c>
      <c r="AO392" s="1">
        <v>159.0</v>
      </c>
    </row>
    <row r="393" ht="15.75" customHeight="1">
      <c r="A393" s="1">
        <v>392.0</v>
      </c>
      <c r="B393" s="1" t="s">
        <v>163</v>
      </c>
      <c r="C393" s="1" t="s">
        <v>764</v>
      </c>
      <c r="AE393" s="1">
        <v>821122.0</v>
      </c>
      <c r="AF393" s="1">
        <v>20408.0</v>
      </c>
      <c r="AH393" s="1">
        <v>148.0</v>
      </c>
      <c r="AK393" s="1">
        <v>209.0</v>
      </c>
      <c r="AM393" s="1">
        <v>99.0</v>
      </c>
      <c r="AO393" s="1">
        <v>158.0</v>
      </c>
    </row>
    <row r="394" ht="15.75" customHeight="1">
      <c r="A394" s="1">
        <v>393.0</v>
      </c>
      <c r="B394" s="1" t="s">
        <v>148</v>
      </c>
      <c r="C394" s="1" t="s">
        <v>1204</v>
      </c>
      <c r="E394" s="1">
        <v>125.0</v>
      </c>
      <c r="F394" s="1">
        <v>125.0</v>
      </c>
      <c r="S394" s="1">
        <v>50.0</v>
      </c>
      <c r="V394" s="1">
        <v>50.0</v>
      </c>
      <c r="X394" s="1" t="s">
        <v>153</v>
      </c>
      <c r="Y394" s="1" t="s">
        <v>211</v>
      </c>
      <c r="AA394" s="1">
        <v>1.0</v>
      </c>
      <c r="AB394" s="1">
        <v>1.0</v>
      </c>
      <c r="AC394" s="1">
        <v>1.0</v>
      </c>
      <c r="AE394" s="1">
        <v>332513.0</v>
      </c>
      <c r="AF394" s="1">
        <v>2281.0</v>
      </c>
      <c r="AG394" s="1">
        <v>37.0</v>
      </c>
      <c r="AH394" s="1">
        <v>255.0</v>
      </c>
      <c r="AI394" s="1">
        <v>10.0</v>
      </c>
      <c r="AJ394" s="1">
        <v>10.0</v>
      </c>
      <c r="AK394" s="1">
        <v>120.0</v>
      </c>
      <c r="AN394" s="1">
        <v>4.0</v>
      </c>
      <c r="AO394" s="1">
        <v>76.0</v>
      </c>
    </row>
    <row r="395" ht="15.75" customHeight="1">
      <c r="A395" s="1">
        <v>394.0</v>
      </c>
      <c r="B395" s="1" t="s">
        <v>137</v>
      </c>
      <c r="C395" s="1" t="s">
        <v>1205</v>
      </c>
      <c r="E395" s="1">
        <v>3000.0</v>
      </c>
      <c r="F395" s="1">
        <v>3000.0</v>
      </c>
      <c r="H395" s="1">
        <v>200.0</v>
      </c>
      <c r="I395" s="1">
        <v>20.0</v>
      </c>
      <c r="J395" s="1">
        <v>20.0</v>
      </c>
      <c r="K395" s="1">
        <v>20.0</v>
      </c>
      <c r="L395" s="1">
        <v>20.0</v>
      </c>
      <c r="M395" s="1">
        <v>20.0</v>
      </c>
      <c r="N395" s="1">
        <v>20.0</v>
      </c>
      <c r="O395" s="1">
        <v>20.0</v>
      </c>
      <c r="P395" s="1">
        <v>20.0</v>
      </c>
      <c r="Q395" s="1">
        <v>20.0</v>
      </c>
      <c r="S395" s="1">
        <v>50.0</v>
      </c>
      <c r="X395" s="1" t="s">
        <v>140</v>
      </c>
      <c r="Y395" s="1" t="s">
        <v>141</v>
      </c>
      <c r="AA395" s="1">
        <v>1.0</v>
      </c>
      <c r="AB395" s="1">
        <v>1.0</v>
      </c>
      <c r="AE395" s="1">
        <v>332243.0</v>
      </c>
      <c r="AF395" s="1">
        <v>2278.0</v>
      </c>
      <c r="AG395" s="1">
        <v>14.0</v>
      </c>
      <c r="AO395" s="1">
        <v>161.0</v>
      </c>
    </row>
    <row r="396" ht="15.75" customHeight="1">
      <c r="A396" s="1">
        <v>395.0</v>
      </c>
      <c r="B396" s="1" t="s">
        <v>177</v>
      </c>
      <c r="C396" s="1" t="s">
        <v>1206</v>
      </c>
      <c r="AA396" s="1">
        <v>1.0</v>
      </c>
      <c r="AB396" s="1">
        <v>1.0</v>
      </c>
      <c r="AE396" s="1">
        <v>821102.0</v>
      </c>
      <c r="AF396" s="1">
        <v>20408.0</v>
      </c>
    </row>
    <row r="397" ht="15.75" customHeight="1">
      <c r="A397" s="1">
        <v>396.0</v>
      </c>
      <c r="B397" s="1" t="s">
        <v>177</v>
      </c>
      <c r="C397" s="1" t="s">
        <v>1207</v>
      </c>
      <c r="AA397" s="1">
        <v>1.0</v>
      </c>
      <c r="AB397" s="1">
        <v>1.0</v>
      </c>
      <c r="AE397" s="1">
        <v>821138.0</v>
      </c>
      <c r="AF397" s="1">
        <v>20408.0</v>
      </c>
    </row>
    <row r="398" ht="15.75" customHeight="1">
      <c r="A398" s="1">
        <v>397.0</v>
      </c>
      <c r="B398" s="1" t="s">
        <v>177</v>
      </c>
      <c r="C398" s="1" t="s">
        <v>1208</v>
      </c>
      <c r="AA398" s="1">
        <v>1.0</v>
      </c>
      <c r="AB398" s="1">
        <v>1.0</v>
      </c>
      <c r="AE398" s="1">
        <v>821102.0</v>
      </c>
      <c r="AF398" s="1">
        <v>20408.0</v>
      </c>
    </row>
    <row r="399" ht="15.75" customHeight="1">
      <c r="A399" s="1">
        <v>398.0</v>
      </c>
      <c r="B399" s="1" t="s">
        <v>177</v>
      </c>
      <c r="C399" s="1" t="s">
        <v>1209</v>
      </c>
      <c r="AA399" s="1">
        <v>1.0</v>
      </c>
      <c r="AB399" s="1">
        <v>1.0</v>
      </c>
      <c r="AE399" s="1">
        <v>821138.0</v>
      </c>
      <c r="AF399" s="1">
        <v>20408.0</v>
      </c>
    </row>
    <row r="400" ht="15.75" customHeight="1">
      <c r="A400" s="1">
        <v>399.0</v>
      </c>
      <c r="B400" s="1" t="s">
        <v>148</v>
      </c>
      <c r="C400" s="1" t="s">
        <v>1210</v>
      </c>
      <c r="E400" s="1">
        <v>500.0</v>
      </c>
      <c r="F400" s="1">
        <v>1000.0</v>
      </c>
      <c r="J400" s="1">
        <v>10.0</v>
      </c>
      <c r="K400" s="1">
        <v>10.0</v>
      </c>
      <c r="L400" s="1">
        <v>10.0</v>
      </c>
      <c r="S400" s="1">
        <v>50.0</v>
      </c>
      <c r="V400" s="1">
        <v>120.0</v>
      </c>
      <c r="X400" s="1" t="s">
        <v>153</v>
      </c>
      <c r="Y400" s="1" t="s">
        <v>211</v>
      </c>
      <c r="AA400" s="1">
        <v>1.0</v>
      </c>
      <c r="AB400" s="1">
        <v>1.0</v>
      </c>
      <c r="AE400" s="1">
        <v>270168.0</v>
      </c>
      <c r="AF400" s="1">
        <v>3081.0</v>
      </c>
      <c r="AG400" s="1">
        <v>177.0</v>
      </c>
      <c r="AI400" s="1">
        <v>100.0</v>
      </c>
      <c r="AK400" s="1">
        <v>160.0</v>
      </c>
      <c r="AL400" s="1">
        <v>1.0</v>
      </c>
      <c r="AN400" s="1">
        <v>4.0</v>
      </c>
      <c r="AO400" s="1">
        <v>162.0</v>
      </c>
    </row>
    <row r="401" ht="15.75" customHeight="1">
      <c r="A401" s="1">
        <v>400.0</v>
      </c>
      <c r="B401" s="1" t="s">
        <v>137</v>
      </c>
      <c r="C401" s="1" t="s">
        <v>1211</v>
      </c>
      <c r="E401" s="1">
        <v>700.0</v>
      </c>
      <c r="F401" s="1">
        <v>700.0</v>
      </c>
      <c r="H401" s="1">
        <v>100.0</v>
      </c>
      <c r="S401" s="1">
        <v>50.0</v>
      </c>
      <c r="V401" s="1">
        <v>0.0</v>
      </c>
      <c r="X401" s="1" t="s">
        <v>604</v>
      </c>
      <c r="AA401" s="1">
        <v>1.0</v>
      </c>
      <c r="AB401" s="1">
        <v>1.0</v>
      </c>
      <c r="AE401" s="1">
        <v>332287.0</v>
      </c>
      <c r="AF401" s="1">
        <v>2278.0</v>
      </c>
      <c r="AG401" s="1">
        <v>68.0</v>
      </c>
      <c r="AJ401" s="1">
        <v>100.0</v>
      </c>
      <c r="AK401" s="1">
        <v>160.0</v>
      </c>
      <c r="AN401" s="1">
        <v>4.0</v>
      </c>
      <c r="AO401" s="1">
        <v>164.0</v>
      </c>
    </row>
    <row r="402" ht="15.75" customHeight="1">
      <c r="A402" s="1">
        <v>401.0</v>
      </c>
      <c r="B402" s="1" t="s">
        <v>137</v>
      </c>
      <c r="C402" s="1" t="s">
        <v>1212</v>
      </c>
      <c r="E402" s="1">
        <v>1000.0</v>
      </c>
      <c r="F402" s="1">
        <v>1000.0</v>
      </c>
      <c r="H402" s="1">
        <v>100.0</v>
      </c>
      <c r="K402" s="1">
        <v>50.0</v>
      </c>
      <c r="S402" s="1">
        <v>50.0</v>
      </c>
      <c r="X402" s="1" t="s">
        <v>634</v>
      </c>
      <c r="Y402" s="1" t="s">
        <v>471</v>
      </c>
      <c r="AA402" s="1">
        <v>1.0</v>
      </c>
      <c r="AB402" s="1">
        <v>1.0</v>
      </c>
      <c r="AC402" s="1">
        <v>1.0</v>
      </c>
      <c r="AE402" s="1">
        <v>332288.0</v>
      </c>
      <c r="AF402" s="1">
        <v>2278.0</v>
      </c>
      <c r="AG402" s="1">
        <v>9.0</v>
      </c>
      <c r="AL402" s="1">
        <v>59.0</v>
      </c>
      <c r="AO402" s="1">
        <v>76.0</v>
      </c>
    </row>
    <row r="403" ht="15.75" customHeight="1">
      <c r="A403" s="1">
        <v>402.0</v>
      </c>
      <c r="B403" s="1" t="s">
        <v>137</v>
      </c>
      <c r="C403" s="1" t="s">
        <v>1212</v>
      </c>
      <c r="E403" s="1">
        <v>2000.0</v>
      </c>
      <c r="H403" s="1">
        <v>100.0</v>
      </c>
      <c r="J403" s="1">
        <v>50.0</v>
      </c>
      <c r="S403" s="1">
        <v>50.0</v>
      </c>
      <c r="X403" s="1" t="s">
        <v>634</v>
      </c>
      <c r="Y403" s="1" t="s">
        <v>471</v>
      </c>
      <c r="AA403" s="1">
        <v>1.0</v>
      </c>
      <c r="AB403" s="1">
        <v>1.0</v>
      </c>
      <c r="AC403" s="1">
        <v>1.0</v>
      </c>
      <c r="AE403" s="1">
        <v>332233.0</v>
      </c>
      <c r="AF403" s="1">
        <v>2278.0</v>
      </c>
      <c r="AG403" s="1">
        <v>4.0</v>
      </c>
      <c r="AL403" s="1">
        <v>55.0</v>
      </c>
      <c r="AO403" s="1">
        <v>76.0</v>
      </c>
    </row>
    <row r="404" ht="15.75" customHeight="1">
      <c r="A404" s="1">
        <v>403.0</v>
      </c>
      <c r="B404" s="1" t="s">
        <v>137</v>
      </c>
      <c r="C404" s="1" t="s">
        <v>1213</v>
      </c>
      <c r="F404" s="1">
        <v>2000.0</v>
      </c>
      <c r="H404" s="1">
        <v>100.0</v>
      </c>
      <c r="K404" s="1">
        <v>25.0</v>
      </c>
      <c r="L404" s="1">
        <v>25.0</v>
      </c>
      <c r="S404" s="1">
        <v>50.0</v>
      </c>
      <c r="X404" s="1" t="s">
        <v>634</v>
      </c>
      <c r="Y404" s="1" t="s">
        <v>471</v>
      </c>
      <c r="AA404" s="1">
        <v>1.0</v>
      </c>
      <c r="AB404" s="1">
        <v>1.0</v>
      </c>
      <c r="AC404" s="1">
        <v>1.0</v>
      </c>
      <c r="AE404" s="1">
        <v>332213.0</v>
      </c>
      <c r="AF404" s="1">
        <v>2278.0</v>
      </c>
      <c r="AG404" s="1">
        <v>2.0</v>
      </c>
      <c r="AH404" s="1">
        <v>237.0</v>
      </c>
      <c r="AI404" s="1">
        <v>51.0</v>
      </c>
      <c r="AJ404" s="1">
        <v>59.0</v>
      </c>
      <c r="AK404" s="1">
        <v>180.0</v>
      </c>
      <c r="AL404" s="1">
        <v>47.0</v>
      </c>
      <c r="AO404" s="1">
        <v>70.0</v>
      </c>
    </row>
    <row r="405" ht="15.75" customHeight="1">
      <c r="A405" s="1">
        <v>404.0</v>
      </c>
      <c r="B405" s="1" t="s">
        <v>137</v>
      </c>
      <c r="C405" s="1" t="s">
        <v>1213</v>
      </c>
      <c r="E405" s="1">
        <v>500.0</v>
      </c>
      <c r="F405" s="1">
        <v>1500.0</v>
      </c>
      <c r="H405" s="1">
        <v>100.0</v>
      </c>
      <c r="I405" s="1">
        <v>30.0</v>
      </c>
      <c r="J405" s="1">
        <v>20.0</v>
      </c>
      <c r="S405" s="1">
        <v>50.0</v>
      </c>
      <c r="X405" s="1" t="s">
        <v>634</v>
      </c>
      <c r="Y405" s="1" t="s">
        <v>471</v>
      </c>
      <c r="AA405" s="1">
        <v>1.0</v>
      </c>
      <c r="AB405" s="1">
        <v>1.0</v>
      </c>
      <c r="AC405" s="1">
        <v>1.0</v>
      </c>
      <c r="AE405" s="1">
        <v>332213.0</v>
      </c>
      <c r="AF405" s="1">
        <v>2278.0</v>
      </c>
      <c r="AG405" s="1">
        <v>2.0</v>
      </c>
      <c r="AH405" s="1">
        <v>181.0</v>
      </c>
      <c r="AI405" s="1">
        <v>131.0</v>
      </c>
      <c r="AJ405" s="1">
        <v>90.0</v>
      </c>
      <c r="AK405" s="1">
        <v>180.0</v>
      </c>
      <c r="AL405" s="1">
        <v>31.0</v>
      </c>
      <c r="AO405" s="1">
        <v>76.0</v>
      </c>
    </row>
    <row r="406" ht="15.75" customHeight="1">
      <c r="A406" s="1">
        <v>405.0</v>
      </c>
      <c r="B406" s="1" t="s">
        <v>137</v>
      </c>
      <c r="C406" s="1" t="s">
        <v>1214</v>
      </c>
      <c r="E406" s="1">
        <v>1500.0</v>
      </c>
      <c r="F406" s="1">
        <v>1500.0</v>
      </c>
      <c r="H406" s="1">
        <v>150.0</v>
      </c>
      <c r="J406" s="1">
        <v>25.0</v>
      </c>
      <c r="L406" s="1">
        <v>25.0</v>
      </c>
      <c r="S406" s="1">
        <v>50.0</v>
      </c>
      <c r="X406" s="1" t="s">
        <v>186</v>
      </c>
      <c r="Y406" s="1" t="s">
        <v>471</v>
      </c>
      <c r="AA406" s="1">
        <v>1.0</v>
      </c>
      <c r="AB406" s="1">
        <v>1.0</v>
      </c>
      <c r="AC406" s="1">
        <v>1.0</v>
      </c>
      <c r="AE406" s="1">
        <v>332238.0</v>
      </c>
      <c r="AF406" s="1">
        <v>2278.0</v>
      </c>
      <c r="AG406" s="1">
        <v>20.0</v>
      </c>
      <c r="AH406" s="1">
        <v>58.0</v>
      </c>
      <c r="AI406" s="1">
        <v>56.0</v>
      </c>
      <c r="AJ406" s="1">
        <v>56.0</v>
      </c>
      <c r="AK406" s="1">
        <v>180.0</v>
      </c>
      <c r="AL406" s="1">
        <v>59.0</v>
      </c>
      <c r="AO406" s="1">
        <v>84.0</v>
      </c>
    </row>
    <row r="407" ht="15.75" customHeight="1">
      <c r="A407" s="1">
        <v>406.0</v>
      </c>
      <c r="B407" s="1" t="s">
        <v>137</v>
      </c>
      <c r="C407" s="1" t="s">
        <v>1214</v>
      </c>
      <c r="E407" s="1">
        <v>3000.0</v>
      </c>
      <c r="H407" s="1">
        <v>150.0</v>
      </c>
      <c r="J407" s="1">
        <v>50.0</v>
      </c>
      <c r="S407" s="1">
        <v>50.0</v>
      </c>
      <c r="X407" s="1" t="s">
        <v>186</v>
      </c>
      <c r="Y407" s="1" t="s">
        <v>471</v>
      </c>
      <c r="AA407" s="1">
        <v>1.0</v>
      </c>
      <c r="AB407" s="1">
        <v>1.0</v>
      </c>
      <c r="AC407" s="1">
        <v>1.0</v>
      </c>
      <c r="AE407" s="1">
        <v>332238.0</v>
      </c>
      <c r="AF407" s="1">
        <v>2278.0</v>
      </c>
      <c r="AG407" s="1">
        <v>20.0</v>
      </c>
      <c r="AL407" s="1">
        <v>55.0</v>
      </c>
      <c r="AO407" s="1">
        <v>84.0</v>
      </c>
    </row>
    <row r="408" ht="15.75" customHeight="1">
      <c r="A408" s="1">
        <v>407.0</v>
      </c>
      <c r="B408" s="1" t="s">
        <v>137</v>
      </c>
      <c r="C408" s="1" t="s">
        <v>1215</v>
      </c>
      <c r="F408" s="1">
        <v>3000.0</v>
      </c>
      <c r="H408" s="1">
        <v>150.0</v>
      </c>
      <c r="L408" s="1">
        <v>50.0</v>
      </c>
      <c r="S408" s="1">
        <v>50.0</v>
      </c>
      <c r="X408" s="1" t="s">
        <v>186</v>
      </c>
      <c r="Y408" s="1" t="s">
        <v>471</v>
      </c>
      <c r="AA408" s="1">
        <v>1.0</v>
      </c>
      <c r="AB408" s="1">
        <v>1.0</v>
      </c>
      <c r="AC408" s="1">
        <v>1.0</v>
      </c>
      <c r="AE408" s="1">
        <v>332240.0</v>
      </c>
      <c r="AF408" s="1">
        <v>2278.0</v>
      </c>
      <c r="AG408" s="1">
        <v>22.0</v>
      </c>
      <c r="AH408" s="1">
        <v>224.0</v>
      </c>
      <c r="AI408" s="1">
        <v>27.0</v>
      </c>
      <c r="AJ408" s="1">
        <v>36.0</v>
      </c>
      <c r="AK408" s="1">
        <v>180.0</v>
      </c>
      <c r="AL408" s="1">
        <v>47.0</v>
      </c>
      <c r="AO408" s="1">
        <v>84.0</v>
      </c>
    </row>
    <row r="409" ht="15.75" customHeight="1">
      <c r="A409" s="1">
        <v>408.0</v>
      </c>
      <c r="B409" s="1" t="s">
        <v>137</v>
      </c>
      <c r="C409" s="1" t="s">
        <v>1215</v>
      </c>
      <c r="E409" s="1">
        <v>1000.0</v>
      </c>
      <c r="F409" s="1">
        <v>2000.0</v>
      </c>
      <c r="H409" s="1">
        <v>150.0</v>
      </c>
      <c r="J409" s="1">
        <v>20.0</v>
      </c>
      <c r="L409" s="1">
        <v>30.0</v>
      </c>
      <c r="S409" s="1">
        <v>50.0</v>
      </c>
      <c r="X409" s="1" t="s">
        <v>186</v>
      </c>
      <c r="Y409" s="1" t="s">
        <v>471</v>
      </c>
      <c r="AA409" s="1">
        <v>1.0</v>
      </c>
      <c r="AB409" s="1">
        <v>1.0</v>
      </c>
      <c r="AC409" s="1">
        <v>1.0</v>
      </c>
      <c r="AE409" s="1">
        <v>332240.0</v>
      </c>
      <c r="AF409" s="1">
        <v>2278.0</v>
      </c>
      <c r="AG409" s="1">
        <v>22.0</v>
      </c>
      <c r="AH409" s="1">
        <v>28.0</v>
      </c>
      <c r="AI409" s="1">
        <v>113.0</v>
      </c>
      <c r="AJ409" s="1">
        <v>216.0</v>
      </c>
      <c r="AK409" s="1">
        <v>180.0</v>
      </c>
      <c r="AL409" s="1">
        <v>31.0</v>
      </c>
      <c r="AO409" s="1">
        <v>84.0</v>
      </c>
    </row>
    <row r="410" ht="15.75" customHeight="1">
      <c r="A410" s="1">
        <v>409.0</v>
      </c>
      <c r="B410" s="1" t="s">
        <v>137</v>
      </c>
      <c r="C410" s="1" t="s">
        <v>1216</v>
      </c>
      <c r="E410" s="1">
        <v>300.0</v>
      </c>
      <c r="F410" s="1">
        <v>300.0</v>
      </c>
      <c r="H410" s="1">
        <v>50.0</v>
      </c>
      <c r="I410" s="1">
        <v>20.0</v>
      </c>
      <c r="J410" s="1">
        <v>20.0</v>
      </c>
      <c r="K410" s="1">
        <v>20.0</v>
      </c>
      <c r="L410" s="1">
        <v>20.0</v>
      </c>
      <c r="S410" s="1">
        <v>25.0</v>
      </c>
      <c r="X410" s="1" t="s">
        <v>186</v>
      </c>
      <c r="Y410" s="1" t="s">
        <v>141</v>
      </c>
      <c r="AA410" s="1">
        <v>1.0</v>
      </c>
      <c r="AE410" s="1">
        <v>332295.0</v>
      </c>
      <c r="AF410" s="1">
        <v>2278.0</v>
      </c>
      <c r="AG410" s="1">
        <v>54.0</v>
      </c>
    </row>
    <row r="411" ht="15.75" customHeight="1">
      <c r="A411" s="1">
        <v>410.0</v>
      </c>
      <c r="B411" s="1" t="s">
        <v>137</v>
      </c>
      <c r="C411" s="1" t="s">
        <v>1217</v>
      </c>
      <c r="E411" s="1">
        <v>400.0</v>
      </c>
      <c r="F411" s="1">
        <v>400.0</v>
      </c>
      <c r="H411" s="1">
        <v>50.0</v>
      </c>
      <c r="I411" s="1">
        <v>25.0</v>
      </c>
      <c r="J411" s="1">
        <v>25.0</v>
      </c>
      <c r="K411" s="1">
        <v>25.0</v>
      </c>
      <c r="L411" s="1">
        <v>25.0</v>
      </c>
      <c r="S411" s="1">
        <v>25.0</v>
      </c>
      <c r="X411" s="1" t="s">
        <v>140</v>
      </c>
      <c r="Y411" s="1" t="s">
        <v>141</v>
      </c>
      <c r="AA411" s="1">
        <v>1.0</v>
      </c>
      <c r="AE411" s="1">
        <v>820290.0</v>
      </c>
      <c r="AF411" s="1">
        <v>20399.0</v>
      </c>
      <c r="AG411" s="1">
        <v>33.0</v>
      </c>
    </row>
    <row r="412" ht="15.75" customHeight="1">
      <c r="A412" s="1">
        <v>411.0</v>
      </c>
      <c r="B412" s="1" t="s">
        <v>137</v>
      </c>
      <c r="C412" s="1" t="s">
        <v>1218</v>
      </c>
      <c r="E412" s="1">
        <v>200.0</v>
      </c>
      <c r="F412" s="1">
        <v>200.0</v>
      </c>
      <c r="H412" s="1">
        <v>50.0</v>
      </c>
      <c r="I412" s="1">
        <v>20.0</v>
      </c>
      <c r="J412" s="1">
        <v>20.0</v>
      </c>
      <c r="K412" s="1">
        <v>20.0</v>
      </c>
      <c r="L412" s="1">
        <v>20.0</v>
      </c>
      <c r="S412" s="1">
        <v>25.0</v>
      </c>
      <c r="X412" s="1" t="s">
        <v>564</v>
      </c>
      <c r="Y412" s="1" t="s">
        <v>471</v>
      </c>
      <c r="AA412" s="1">
        <v>1.0</v>
      </c>
      <c r="AE412" s="1">
        <v>820291.0</v>
      </c>
      <c r="AF412" s="1">
        <v>20399.0</v>
      </c>
      <c r="AG412" s="1">
        <v>13.0</v>
      </c>
    </row>
    <row r="413" ht="15.75" customHeight="1">
      <c r="A413" s="1">
        <v>412.0</v>
      </c>
      <c r="B413" s="1" t="s">
        <v>137</v>
      </c>
      <c r="C413" s="1" t="s">
        <v>1219</v>
      </c>
      <c r="E413" s="1">
        <v>100.0</v>
      </c>
      <c r="F413" s="1">
        <v>100.0</v>
      </c>
      <c r="H413" s="1">
        <v>50.0</v>
      </c>
      <c r="I413" s="1">
        <v>10.0</v>
      </c>
      <c r="J413" s="1">
        <v>10.0</v>
      </c>
      <c r="K413" s="1">
        <v>10.0</v>
      </c>
      <c r="L413" s="1">
        <v>10.0</v>
      </c>
      <c r="S413" s="1">
        <v>25.0</v>
      </c>
      <c r="X413" s="1" t="s">
        <v>634</v>
      </c>
      <c r="Y413" s="1" t="s">
        <v>141</v>
      </c>
      <c r="AA413" s="1">
        <v>1.0</v>
      </c>
      <c r="AE413" s="1">
        <v>820289.0</v>
      </c>
      <c r="AF413" s="1">
        <v>20399.0</v>
      </c>
      <c r="AG413" s="1">
        <v>11.0</v>
      </c>
      <c r="AK413" s="1">
        <v>160.0</v>
      </c>
    </row>
    <row r="414" ht="15.75" customHeight="1">
      <c r="A414" s="1">
        <v>413.0</v>
      </c>
      <c r="B414" s="1" t="s">
        <v>190</v>
      </c>
      <c r="C414" s="1" t="s">
        <v>1220</v>
      </c>
      <c r="S414" s="1">
        <v>50.0</v>
      </c>
      <c r="AA414" s="1">
        <v>1.0</v>
      </c>
      <c r="AB414" s="1">
        <v>1.0</v>
      </c>
      <c r="AE414" s="1">
        <v>820110.0</v>
      </c>
      <c r="AF414" s="1">
        <v>20398.0</v>
      </c>
      <c r="AL414" s="1">
        <v>55.0</v>
      </c>
      <c r="AQ414" s="1">
        <v>109.0</v>
      </c>
    </row>
    <row r="415" ht="15.75" customHeight="1">
      <c r="A415" s="1">
        <v>414.0</v>
      </c>
      <c r="B415" s="1" t="s">
        <v>190</v>
      </c>
      <c r="C415" s="1" t="s">
        <v>1221</v>
      </c>
      <c r="S415" s="1">
        <v>50.0</v>
      </c>
      <c r="AA415" s="1">
        <v>1.0</v>
      </c>
      <c r="AB415" s="1">
        <v>1.0</v>
      </c>
      <c r="AE415" s="1">
        <v>820148.0</v>
      </c>
      <c r="AF415" s="1">
        <v>20398.0</v>
      </c>
      <c r="AL415" s="1">
        <v>55.0</v>
      </c>
      <c r="AQ415" s="1">
        <v>110.0</v>
      </c>
    </row>
    <row r="416" ht="15.75" customHeight="1">
      <c r="A416" s="1">
        <v>415.0</v>
      </c>
      <c r="B416" s="1" t="s">
        <v>190</v>
      </c>
      <c r="C416" s="1" t="s">
        <v>1222</v>
      </c>
      <c r="S416" s="1">
        <v>50.0</v>
      </c>
      <c r="AA416" s="1">
        <v>1.0</v>
      </c>
      <c r="AB416" s="1">
        <v>1.0</v>
      </c>
      <c r="AE416" s="1">
        <v>820150.0</v>
      </c>
      <c r="AF416" s="1">
        <v>20398.0</v>
      </c>
      <c r="AL416" s="1">
        <v>47.0</v>
      </c>
      <c r="AQ416" s="1">
        <v>112.0</v>
      </c>
    </row>
    <row r="417" ht="15.75" customHeight="1">
      <c r="A417" s="1">
        <v>416.0</v>
      </c>
      <c r="B417" s="1" t="s">
        <v>190</v>
      </c>
      <c r="C417" s="1" t="s">
        <v>1223</v>
      </c>
      <c r="S417" s="1">
        <v>50.0</v>
      </c>
      <c r="AA417" s="1">
        <v>1.0</v>
      </c>
      <c r="AB417" s="1">
        <v>1.0</v>
      </c>
      <c r="AE417" s="1">
        <v>820149.0</v>
      </c>
      <c r="AF417" s="1">
        <v>20398.0</v>
      </c>
      <c r="AL417" s="1">
        <v>59.0</v>
      </c>
      <c r="AQ417" s="1">
        <v>111.0</v>
      </c>
    </row>
    <row r="418" ht="15.75" customHeight="1">
      <c r="A418" s="1">
        <v>417.0</v>
      </c>
      <c r="B418" s="1" t="s">
        <v>137</v>
      </c>
      <c r="C418" s="1" t="s">
        <v>1224</v>
      </c>
      <c r="E418" s="1">
        <v>2000.0</v>
      </c>
      <c r="F418" s="1">
        <v>2000.0</v>
      </c>
      <c r="H418" s="1">
        <v>150.0</v>
      </c>
      <c r="I418" s="1">
        <v>10.0</v>
      </c>
      <c r="J418" s="1">
        <v>10.0</v>
      </c>
      <c r="K418" s="1">
        <v>10.0</v>
      </c>
      <c r="L418" s="1">
        <v>10.0</v>
      </c>
      <c r="M418" s="1">
        <v>10.0</v>
      </c>
      <c r="N418" s="1">
        <v>10.0</v>
      </c>
      <c r="O418" s="1">
        <v>10.0</v>
      </c>
      <c r="P418" s="1">
        <v>10.0</v>
      </c>
      <c r="Q418" s="1">
        <v>10.0</v>
      </c>
      <c r="S418" s="1">
        <v>50.0</v>
      </c>
      <c r="X418" s="1" t="s">
        <v>186</v>
      </c>
      <c r="Y418" s="1" t="s">
        <v>141</v>
      </c>
      <c r="AA418" s="1">
        <v>1.0</v>
      </c>
      <c r="AB418" s="1">
        <v>1.0</v>
      </c>
      <c r="AE418" s="1">
        <v>332294.0</v>
      </c>
      <c r="AF418" s="1">
        <v>2278.0</v>
      </c>
      <c r="AG418" s="1">
        <v>53.0</v>
      </c>
      <c r="AO418" s="1">
        <v>69.0</v>
      </c>
    </row>
    <row r="419" ht="15.75" customHeight="1">
      <c r="A419" s="1">
        <v>418.0</v>
      </c>
      <c r="B419" s="1" t="s">
        <v>163</v>
      </c>
      <c r="C419" s="1" t="s">
        <v>802</v>
      </c>
      <c r="AE419" s="1">
        <v>821122.0</v>
      </c>
      <c r="AF419" s="1">
        <v>20408.0</v>
      </c>
      <c r="AH419" s="1">
        <v>116.0</v>
      </c>
      <c r="AI419" s="1">
        <v>12.0</v>
      </c>
      <c r="AJ419" s="1">
        <v>108.0</v>
      </c>
      <c r="AK419" s="1">
        <v>145.0</v>
      </c>
      <c r="AM419" s="1">
        <v>99.0</v>
      </c>
      <c r="AO419" s="1">
        <v>169.0</v>
      </c>
    </row>
    <row r="420" ht="15.75" customHeight="1">
      <c r="A420" s="1">
        <v>419.0</v>
      </c>
      <c r="B420" s="1" t="s">
        <v>190</v>
      </c>
      <c r="C420" s="1" t="s">
        <v>1225</v>
      </c>
      <c r="S420" s="1">
        <v>50.0</v>
      </c>
      <c r="AA420" s="1">
        <v>1.0</v>
      </c>
      <c r="AB420" s="1">
        <v>1.0</v>
      </c>
      <c r="AE420" s="1">
        <v>820151.0</v>
      </c>
      <c r="AF420" s="1">
        <v>20398.0</v>
      </c>
      <c r="AL420" s="1">
        <v>31.0</v>
      </c>
      <c r="AQ420" s="1">
        <v>113.0</v>
      </c>
    </row>
    <row r="421" ht="15.75" customHeight="1">
      <c r="A421" s="1">
        <v>420.0</v>
      </c>
      <c r="B421" s="1" t="s">
        <v>190</v>
      </c>
      <c r="C421" s="1" t="s">
        <v>1226</v>
      </c>
      <c r="S421" s="1">
        <v>50.0</v>
      </c>
      <c r="AA421" s="1">
        <v>1.0</v>
      </c>
      <c r="AE421" s="1">
        <v>820110.0</v>
      </c>
      <c r="AF421" s="1">
        <v>20398.0</v>
      </c>
      <c r="AL421" s="1">
        <v>31.0</v>
      </c>
      <c r="AQ421" s="1">
        <v>114.0</v>
      </c>
    </row>
    <row r="422" ht="15.75" customHeight="1">
      <c r="A422" s="1">
        <v>421.0</v>
      </c>
      <c r="B422" s="1" t="s">
        <v>163</v>
      </c>
      <c r="C422" s="1" t="s">
        <v>1227</v>
      </c>
      <c r="R422" s="1">
        <v>1.0E8</v>
      </c>
      <c r="S422" s="1">
        <v>50.0</v>
      </c>
      <c r="Z422" s="1">
        <v>1000.0</v>
      </c>
      <c r="AE422" s="1">
        <v>820118.0</v>
      </c>
      <c r="AF422" s="1">
        <v>20398.0</v>
      </c>
      <c r="AM422" s="1">
        <v>99.0</v>
      </c>
      <c r="AO422" s="1">
        <v>172.0</v>
      </c>
    </row>
    <row r="423" ht="15.75" customHeight="1">
      <c r="A423" s="1">
        <v>422.0</v>
      </c>
      <c r="B423" s="1" t="s">
        <v>137</v>
      </c>
      <c r="C423" s="1" t="s">
        <v>1228</v>
      </c>
      <c r="E423" s="1">
        <v>50.0</v>
      </c>
      <c r="F423" s="1">
        <v>150.0</v>
      </c>
      <c r="H423" s="1">
        <v>45.0</v>
      </c>
      <c r="I423" s="1">
        <v>2.0</v>
      </c>
      <c r="J423" s="1">
        <v>2.0</v>
      </c>
      <c r="K423" s="1">
        <v>2.0</v>
      </c>
      <c r="L423" s="1">
        <v>2.0</v>
      </c>
      <c r="M423" s="1">
        <v>2.0</v>
      </c>
      <c r="N423" s="1">
        <v>2.0</v>
      </c>
      <c r="O423" s="1">
        <v>2.0</v>
      </c>
      <c r="P423" s="1">
        <v>2.0</v>
      </c>
      <c r="Q423" s="1">
        <v>2.0</v>
      </c>
      <c r="S423" s="1">
        <v>50.0</v>
      </c>
      <c r="X423" s="1" t="s">
        <v>715</v>
      </c>
      <c r="AA423" s="1">
        <v>1.0</v>
      </c>
      <c r="AE423" s="1">
        <v>820236.0</v>
      </c>
      <c r="AF423" s="1">
        <v>20399.0</v>
      </c>
      <c r="AL423" s="1">
        <v>15.0</v>
      </c>
    </row>
    <row r="424" ht="15.75" customHeight="1">
      <c r="A424" s="1">
        <v>423.0</v>
      </c>
      <c r="B424" s="1" t="s">
        <v>137</v>
      </c>
      <c r="C424" s="1" t="s">
        <v>1229</v>
      </c>
      <c r="E424" s="1">
        <v>150.0</v>
      </c>
      <c r="F424" s="1">
        <v>50.0</v>
      </c>
      <c r="H424" s="1">
        <v>60.0</v>
      </c>
      <c r="I424" s="1">
        <v>2.0</v>
      </c>
      <c r="J424" s="1">
        <v>2.0</v>
      </c>
      <c r="K424" s="1">
        <v>2.0</v>
      </c>
      <c r="L424" s="1">
        <v>2.0</v>
      </c>
      <c r="M424" s="1">
        <v>2.0</v>
      </c>
      <c r="N424" s="1">
        <v>2.0</v>
      </c>
      <c r="O424" s="1">
        <v>2.0</v>
      </c>
      <c r="P424" s="1">
        <v>2.0</v>
      </c>
      <c r="Q424" s="1">
        <v>2.0</v>
      </c>
      <c r="S424" s="1">
        <v>50.0</v>
      </c>
      <c r="X424" s="1" t="s">
        <v>715</v>
      </c>
      <c r="AA424" s="1">
        <v>1.0</v>
      </c>
      <c r="AE424" s="1">
        <v>820232.0</v>
      </c>
      <c r="AF424" s="1">
        <v>20399.0</v>
      </c>
      <c r="AL424" s="1">
        <v>50.0</v>
      </c>
    </row>
    <row r="425" ht="15.75" customHeight="1">
      <c r="A425" s="1">
        <v>424.0</v>
      </c>
      <c r="B425" s="1" t="s">
        <v>137</v>
      </c>
      <c r="C425" s="1" t="s">
        <v>1230</v>
      </c>
      <c r="E425" s="1">
        <v>50.0</v>
      </c>
      <c r="F425" s="1">
        <v>50.0</v>
      </c>
      <c r="H425" s="1">
        <v>5.0</v>
      </c>
      <c r="M425" s="1">
        <v>2.0</v>
      </c>
      <c r="N425" s="1">
        <v>2.0</v>
      </c>
      <c r="O425" s="1">
        <v>2.0</v>
      </c>
      <c r="P425" s="1">
        <v>2.0</v>
      </c>
      <c r="Q425" s="1">
        <v>2.0</v>
      </c>
      <c r="S425" s="1">
        <v>50.0</v>
      </c>
      <c r="V425" s="1">
        <v>0.0</v>
      </c>
      <c r="X425" s="1" t="s">
        <v>694</v>
      </c>
      <c r="AA425" s="1">
        <v>1.0</v>
      </c>
      <c r="AE425" s="1">
        <v>820063.0</v>
      </c>
      <c r="AF425" s="1">
        <v>20397.0</v>
      </c>
      <c r="AH425" s="1">
        <v>200.0</v>
      </c>
      <c r="AK425" s="1">
        <v>200.0</v>
      </c>
      <c r="AL425" s="1">
        <v>15.0</v>
      </c>
      <c r="AO425" s="1">
        <v>58.0</v>
      </c>
    </row>
    <row r="426" ht="15.75" customHeight="1">
      <c r="A426" s="1">
        <v>425.0</v>
      </c>
      <c r="B426" s="1" t="s">
        <v>137</v>
      </c>
      <c r="C426" s="1" t="s">
        <v>1231</v>
      </c>
      <c r="E426" s="1">
        <v>50.0</v>
      </c>
      <c r="F426" s="1">
        <v>50.0</v>
      </c>
      <c r="H426" s="1">
        <v>5.0</v>
      </c>
      <c r="M426" s="1">
        <v>2.0</v>
      </c>
      <c r="N426" s="1">
        <v>2.0</v>
      </c>
      <c r="O426" s="1">
        <v>2.0</v>
      </c>
      <c r="P426" s="1">
        <v>2.0</v>
      </c>
      <c r="Q426" s="1">
        <v>2.0</v>
      </c>
      <c r="S426" s="1">
        <v>50.0</v>
      </c>
      <c r="V426" s="1">
        <v>0.0</v>
      </c>
      <c r="X426" s="1" t="s">
        <v>694</v>
      </c>
      <c r="AA426" s="1">
        <v>1.0</v>
      </c>
      <c r="AE426" s="1">
        <v>820063.0</v>
      </c>
      <c r="AF426" s="1">
        <v>20397.0</v>
      </c>
      <c r="AK426" s="1">
        <v>200.0</v>
      </c>
      <c r="AL426" s="1">
        <v>50.0</v>
      </c>
      <c r="AO426" s="1">
        <v>80.0</v>
      </c>
    </row>
    <row r="427" ht="15.75" customHeight="1">
      <c r="A427" s="1">
        <v>426.0</v>
      </c>
      <c r="B427" s="1" t="s">
        <v>137</v>
      </c>
      <c r="C427" s="1" t="s">
        <v>1232</v>
      </c>
      <c r="E427" s="1">
        <v>1000.0</v>
      </c>
      <c r="F427" s="1">
        <v>3000.0</v>
      </c>
      <c r="H427" s="1">
        <v>50.0</v>
      </c>
      <c r="S427" s="1">
        <v>50.0</v>
      </c>
      <c r="X427" s="1" t="s">
        <v>140</v>
      </c>
      <c r="Y427" s="1" t="s">
        <v>141</v>
      </c>
      <c r="AA427" s="1">
        <v>1.0</v>
      </c>
      <c r="AB427" s="1">
        <v>1.0</v>
      </c>
      <c r="AE427" s="1">
        <v>332201.0</v>
      </c>
      <c r="AF427" s="1">
        <v>2278.0</v>
      </c>
      <c r="AG427" s="1">
        <v>20.0</v>
      </c>
      <c r="AH427" s="1">
        <v>220.0</v>
      </c>
      <c r="AI427" s="1">
        <v>50.0</v>
      </c>
      <c r="AJ427" s="1">
        <v>50.0</v>
      </c>
      <c r="AK427" s="1">
        <v>140.0</v>
      </c>
      <c r="AL427" s="1">
        <v>15.0</v>
      </c>
      <c r="AO427" s="1">
        <v>71.0</v>
      </c>
    </row>
    <row r="428" ht="15.75" customHeight="1">
      <c r="A428" s="1">
        <v>427.0</v>
      </c>
      <c r="B428" s="1" t="s">
        <v>137</v>
      </c>
      <c r="C428" s="1" t="s">
        <v>1233</v>
      </c>
      <c r="E428" s="1">
        <v>2000.0</v>
      </c>
      <c r="F428" s="1">
        <v>1000.0</v>
      </c>
      <c r="H428" s="1">
        <v>400.0</v>
      </c>
      <c r="S428" s="1">
        <v>50.0</v>
      </c>
      <c r="X428" s="1" t="s">
        <v>140</v>
      </c>
      <c r="Y428" s="1" t="s">
        <v>141</v>
      </c>
      <c r="AA428" s="1">
        <v>1.0</v>
      </c>
      <c r="AB428" s="1">
        <v>1.0</v>
      </c>
      <c r="AE428" s="1">
        <v>332231.0</v>
      </c>
      <c r="AF428" s="1">
        <v>2278.0</v>
      </c>
      <c r="AG428" s="1">
        <v>11.0</v>
      </c>
      <c r="AH428" s="1">
        <v>220.0</v>
      </c>
      <c r="AI428" s="1">
        <v>50.0</v>
      </c>
      <c r="AJ428" s="1">
        <v>50.0</v>
      </c>
      <c r="AK428" s="1">
        <v>140.0</v>
      </c>
      <c r="AL428" s="1">
        <v>50.0</v>
      </c>
      <c r="AO428" s="1">
        <v>140.0</v>
      </c>
    </row>
    <row r="429" ht="15.75" customHeight="1">
      <c r="A429" s="1">
        <v>428.0</v>
      </c>
      <c r="B429" s="1" t="s">
        <v>137</v>
      </c>
      <c r="C429" s="1" t="s">
        <v>1234</v>
      </c>
      <c r="E429" s="1">
        <v>1500.0</v>
      </c>
      <c r="F429" s="1">
        <v>1500.0</v>
      </c>
      <c r="H429" s="1">
        <v>150.0</v>
      </c>
      <c r="S429" s="1">
        <v>50.0</v>
      </c>
      <c r="X429" s="1" t="s">
        <v>186</v>
      </c>
      <c r="Y429" s="1" t="s">
        <v>471</v>
      </c>
      <c r="AA429" s="1">
        <v>1.0</v>
      </c>
      <c r="AB429" s="1">
        <v>1.0</v>
      </c>
      <c r="AE429" s="1">
        <v>332238.0</v>
      </c>
      <c r="AF429" s="1">
        <v>2278.0</v>
      </c>
      <c r="AG429" s="1">
        <v>20.0</v>
      </c>
      <c r="AH429" s="1">
        <v>220.0</v>
      </c>
      <c r="AI429" s="1">
        <v>50.0</v>
      </c>
      <c r="AJ429" s="1">
        <v>50.0</v>
      </c>
      <c r="AK429" s="1">
        <v>140.0</v>
      </c>
      <c r="AL429" s="1">
        <v>50.0</v>
      </c>
      <c r="AO429" s="1">
        <v>174.0</v>
      </c>
    </row>
    <row r="430" ht="15.75" customHeight="1">
      <c r="A430" s="1">
        <v>429.0</v>
      </c>
      <c r="B430" s="1" t="s">
        <v>137</v>
      </c>
      <c r="C430" s="1" t="s">
        <v>1235</v>
      </c>
      <c r="E430" s="1">
        <v>1000.0</v>
      </c>
      <c r="F430" s="1">
        <v>1500.0</v>
      </c>
      <c r="H430" s="1">
        <v>150.0</v>
      </c>
      <c r="S430" s="1">
        <v>50.0</v>
      </c>
      <c r="X430" s="1" t="s">
        <v>564</v>
      </c>
      <c r="Y430" s="1" t="s">
        <v>471</v>
      </c>
      <c r="AA430" s="1">
        <v>1.0</v>
      </c>
      <c r="AB430" s="1">
        <v>1.0</v>
      </c>
      <c r="AE430" s="1">
        <v>51332.0</v>
      </c>
      <c r="AF430" s="1">
        <v>2282.0</v>
      </c>
      <c r="AG430" s="1">
        <v>14.0</v>
      </c>
      <c r="AH430" s="1">
        <v>220.0</v>
      </c>
      <c r="AI430" s="1">
        <v>50.0</v>
      </c>
      <c r="AJ430" s="1">
        <v>50.0</v>
      </c>
      <c r="AK430" s="1">
        <v>140.0</v>
      </c>
      <c r="AL430" s="1">
        <v>50.0</v>
      </c>
      <c r="AO430" s="1">
        <v>174.0</v>
      </c>
    </row>
    <row r="431" ht="15.75" customHeight="1">
      <c r="A431" s="1">
        <v>430.0</v>
      </c>
      <c r="B431" s="1" t="s">
        <v>137</v>
      </c>
      <c r="C431" s="1" t="s">
        <v>1236</v>
      </c>
      <c r="E431" s="1">
        <v>1000.0</v>
      </c>
      <c r="F431" s="1">
        <v>500.0</v>
      </c>
      <c r="H431" s="1">
        <v>100.0</v>
      </c>
      <c r="S431" s="1">
        <v>50.0</v>
      </c>
      <c r="X431" s="1" t="s">
        <v>634</v>
      </c>
      <c r="Y431" s="1" t="s">
        <v>471</v>
      </c>
      <c r="AA431" s="1">
        <v>1.0</v>
      </c>
      <c r="AB431" s="1">
        <v>1.0</v>
      </c>
      <c r="AE431" s="1">
        <v>332288.0</v>
      </c>
      <c r="AF431" s="1">
        <v>2278.0</v>
      </c>
      <c r="AG431" s="1">
        <v>9.0</v>
      </c>
      <c r="AH431" s="1">
        <v>220.0</v>
      </c>
      <c r="AI431" s="1">
        <v>50.0</v>
      </c>
      <c r="AJ431" s="1">
        <v>50.0</v>
      </c>
      <c r="AK431" s="1">
        <v>140.0</v>
      </c>
      <c r="AL431" s="1">
        <v>50.0</v>
      </c>
      <c r="AO431" s="1">
        <v>174.0</v>
      </c>
    </row>
    <row r="432" ht="15.75" customHeight="1">
      <c r="A432" s="1">
        <v>431.0</v>
      </c>
      <c r="B432" s="1" t="s">
        <v>190</v>
      </c>
      <c r="C432" s="1" t="s">
        <v>1237</v>
      </c>
      <c r="S432" s="1">
        <v>50.0</v>
      </c>
      <c r="AA432" s="1">
        <v>1.0</v>
      </c>
      <c r="AB432" s="1">
        <v>1.0</v>
      </c>
      <c r="AE432" s="1">
        <v>820110.0</v>
      </c>
      <c r="AF432" s="1">
        <v>20398.0</v>
      </c>
      <c r="AL432" s="1">
        <v>31.0</v>
      </c>
      <c r="AQ432" s="1">
        <v>115.0</v>
      </c>
    </row>
    <row r="433" ht="15.75" customHeight="1">
      <c r="A433" s="1">
        <v>432.0</v>
      </c>
      <c r="B433" s="1" t="s">
        <v>190</v>
      </c>
      <c r="C433" s="1" t="s">
        <v>1238</v>
      </c>
      <c r="S433" s="1">
        <v>50.0</v>
      </c>
      <c r="AA433" s="1">
        <v>1.0</v>
      </c>
      <c r="AB433" s="1">
        <v>1.0</v>
      </c>
      <c r="AE433" s="1">
        <v>820110.0</v>
      </c>
      <c r="AF433" s="1">
        <v>20398.0</v>
      </c>
      <c r="AL433" s="1">
        <v>47.0</v>
      </c>
      <c r="AQ433" s="1">
        <v>116.0</v>
      </c>
    </row>
    <row r="434" ht="15.75" customHeight="1">
      <c r="A434" s="1">
        <v>433.0</v>
      </c>
      <c r="B434" s="1" t="s">
        <v>190</v>
      </c>
      <c r="C434" s="1" t="s">
        <v>1239</v>
      </c>
      <c r="S434" s="1">
        <v>50.0</v>
      </c>
      <c r="AA434" s="1">
        <v>1.0</v>
      </c>
      <c r="AB434" s="1">
        <v>1.0</v>
      </c>
      <c r="AE434" s="1">
        <v>820110.0</v>
      </c>
      <c r="AF434" s="1">
        <v>20398.0</v>
      </c>
      <c r="AL434" s="1">
        <v>59.0</v>
      </c>
      <c r="AQ434" s="1">
        <v>117.0</v>
      </c>
    </row>
    <row r="435" ht="15.75" customHeight="1">
      <c r="A435" s="1">
        <v>434.0</v>
      </c>
      <c r="B435" s="1" t="s">
        <v>190</v>
      </c>
      <c r="C435" s="1" t="s">
        <v>1240</v>
      </c>
      <c r="S435" s="1">
        <v>50.0</v>
      </c>
      <c r="AA435" s="1">
        <v>1.0</v>
      </c>
      <c r="AB435" s="1">
        <v>1.0</v>
      </c>
      <c r="AE435" s="1">
        <v>820110.0</v>
      </c>
      <c r="AF435" s="1">
        <v>20398.0</v>
      </c>
      <c r="AL435" s="1">
        <v>55.0</v>
      </c>
      <c r="AQ435" s="1">
        <v>118.0</v>
      </c>
    </row>
    <row r="436" ht="15.75" customHeight="1">
      <c r="A436" s="1">
        <v>435.0</v>
      </c>
      <c r="B436" s="1" t="s">
        <v>137</v>
      </c>
      <c r="C436" s="1" t="s">
        <v>1241</v>
      </c>
      <c r="E436" s="1">
        <v>300.0</v>
      </c>
      <c r="F436" s="1">
        <v>300.0</v>
      </c>
      <c r="H436" s="1">
        <v>70.0</v>
      </c>
      <c r="I436" s="1">
        <v>10.0</v>
      </c>
      <c r="J436" s="1">
        <v>10.0</v>
      </c>
      <c r="K436" s="1">
        <v>10.0</v>
      </c>
      <c r="L436" s="1">
        <v>10.0</v>
      </c>
      <c r="M436" s="1">
        <v>10.0</v>
      </c>
      <c r="N436" s="1">
        <v>10.0</v>
      </c>
      <c r="O436" s="1">
        <v>10.0</v>
      </c>
      <c r="P436" s="1">
        <v>10.0</v>
      </c>
      <c r="Q436" s="1">
        <v>10.0</v>
      </c>
      <c r="S436" s="1">
        <v>50.0</v>
      </c>
      <c r="X436" s="1" t="s">
        <v>715</v>
      </c>
      <c r="AA436" s="1">
        <v>1.0</v>
      </c>
      <c r="AB436" s="1">
        <v>1.0</v>
      </c>
      <c r="AC436" s="1">
        <v>1.0</v>
      </c>
      <c r="AE436" s="1">
        <v>820232.0</v>
      </c>
      <c r="AF436" s="1">
        <v>20399.0</v>
      </c>
      <c r="AO436" s="1">
        <v>177.0</v>
      </c>
    </row>
    <row r="437" ht="15.75" customHeight="1">
      <c r="A437" s="1">
        <v>436.0</v>
      </c>
      <c r="B437" s="1" t="s">
        <v>177</v>
      </c>
      <c r="C437" s="1" t="s">
        <v>1242</v>
      </c>
      <c r="AB437" s="1">
        <v>1.0</v>
      </c>
      <c r="AE437" s="1">
        <v>821126.0</v>
      </c>
      <c r="AF437" s="1">
        <v>20408.0</v>
      </c>
      <c r="AM437" s="1">
        <v>5.0</v>
      </c>
    </row>
    <row r="438" ht="15.75" customHeight="1">
      <c r="A438" s="1">
        <v>437.0</v>
      </c>
      <c r="B438" s="1" t="s">
        <v>177</v>
      </c>
      <c r="C438" s="1" t="s">
        <v>1243</v>
      </c>
      <c r="AB438" s="1">
        <v>1.0</v>
      </c>
      <c r="AE438" s="1">
        <v>821102.0</v>
      </c>
      <c r="AF438" s="1">
        <v>20408.0</v>
      </c>
      <c r="AM438" s="1">
        <v>5.0</v>
      </c>
    </row>
    <row r="439" ht="15.75" customHeight="1">
      <c r="A439" s="1">
        <v>438.0</v>
      </c>
      <c r="B439" s="1" t="s">
        <v>177</v>
      </c>
      <c r="C439" s="1" t="s">
        <v>1244</v>
      </c>
      <c r="AB439" s="1">
        <v>1.0</v>
      </c>
      <c r="AE439" s="1">
        <v>821133.0</v>
      </c>
      <c r="AF439" s="1">
        <v>20408.0</v>
      </c>
      <c r="AM439" s="1">
        <v>5.0</v>
      </c>
    </row>
    <row r="440" ht="15.75" customHeight="1">
      <c r="A440" s="1">
        <v>439.0</v>
      </c>
      <c r="B440" s="1" t="s">
        <v>177</v>
      </c>
      <c r="C440" s="1" t="s">
        <v>1245</v>
      </c>
      <c r="AB440" s="1">
        <v>1.0</v>
      </c>
      <c r="AE440" s="1">
        <v>820504.0</v>
      </c>
      <c r="AF440" s="1">
        <v>20402.0</v>
      </c>
      <c r="AM440" s="1">
        <v>5.0</v>
      </c>
    </row>
    <row r="441" ht="15.75" customHeight="1">
      <c r="A441" s="1">
        <v>440.0</v>
      </c>
      <c r="B441" s="1" t="s">
        <v>177</v>
      </c>
      <c r="C441" s="1" t="s">
        <v>1246</v>
      </c>
      <c r="AB441" s="1">
        <v>1.0</v>
      </c>
      <c r="AE441" s="1">
        <v>821137.0</v>
      </c>
      <c r="AF441" s="1">
        <v>20408.0</v>
      </c>
      <c r="AM441" s="1">
        <v>5.0</v>
      </c>
    </row>
    <row r="442" ht="15.75" customHeight="1">
      <c r="A442" s="1">
        <v>441.0</v>
      </c>
      <c r="B442" s="1" t="s">
        <v>177</v>
      </c>
      <c r="C442" s="1" t="s">
        <v>1247</v>
      </c>
      <c r="AB442" s="1">
        <v>1.0</v>
      </c>
      <c r="AE442" s="1">
        <v>820273.0</v>
      </c>
      <c r="AF442" s="1">
        <v>20399.0</v>
      </c>
      <c r="AM442" s="1">
        <v>5.0</v>
      </c>
    </row>
    <row r="443" ht="15.75" customHeight="1">
      <c r="A443" s="1">
        <v>442.0</v>
      </c>
      <c r="B443" s="1" t="s">
        <v>177</v>
      </c>
      <c r="C443" s="1" t="s">
        <v>1248</v>
      </c>
      <c r="AB443" s="1">
        <v>1.0</v>
      </c>
      <c r="AE443" s="1">
        <v>850208.0</v>
      </c>
      <c r="AF443" s="1">
        <v>20444.0</v>
      </c>
      <c r="AM443" s="1">
        <v>5.0</v>
      </c>
    </row>
    <row r="444" ht="15.75" customHeight="1">
      <c r="A444" s="1">
        <v>443.0</v>
      </c>
      <c r="B444" s="1" t="s">
        <v>177</v>
      </c>
      <c r="C444" s="1" t="s">
        <v>1249</v>
      </c>
      <c r="AB444" s="1">
        <v>1.0</v>
      </c>
      <c r="AE444" s="1">
        <v>821134.0</v>
      </c>
      <c r="AF444" s="1">
        <v>20408.0</v>
      </c>
      <c r="AM444" s="1">
        <v>5.0</v>
      </c>
    </row>
    <row r="445" ht="15.75" customHeight="1">
      <c r="A445" s="1">
        <v>444.0</v>
      </c>
      <c r="B445" s="1" t="s">
        <v>177</v>
      </c>
      <c r="C445" s="1" t="s">
        <v>1250</v>
      </c>
      <c r="Z445" s="1">
        <v>75.0</v>
      </c>
      <c r="AE445" s="1">
        <v>821108.0</v>
      </c>
      <c r="AF445" s="1">
        <v>20408.0</v>
      </c>
      <c r="AM445" s="1">
        <v>99.0</v>
      </c>
    </row>
    <row r="446" ht="15.75" customHeight="1">
      <c r="A446" s="1">
        <v>445.0</v>
      </c>
      <c r="B446" s="1" t="s">
        <v>177</v>
      </c>
      <c r="C446" s="1" t="s">
        <v>1251</v>
      </c>
      <c r="Z446" s="1">
        <v>200.0</v>
      </c>
      <c r="AE446" s="1">
        <v>821138.0</v>
      </c>
      <c r="AF446" s="1">
        <v>20408.0</v>
      </c>
      <c r="AH446" s="1">
        <v>250.0</v>
      </c>
      <c r="AI446" s="1">
        <v>200.0</v>
      </c>
      <c r="AJ446" s="1">
        <v>120.0</v>
      </c>
      <c r="AK446" s="1">
        <v>140.0</v>
      </c>
      <c r="AM446" s="1">
        <v>99.0</v>
      </c>
    </row>
    <row r="447" ht="15.75" customHeight="1">
      <c r="A447" s="1">
        <v>446.0</v>
      </c>
      <c r="B447" s="1" t="s">
        <v>177</v>
      </c>
      <c r="C447" s="1" t="s">
        <v>1252</v>
      </c>
      <c r="AA447" s="1">
        <v>1.0</v>
      </c>
      <c r="AB447" s="1">
        <v>1.0</v>
      </c>
      <c r="AE447" s="1">
        <v>820601.0</v>
      </c>
      <c r="AF447" s="1">
        <v>20403.0</v>
      </c>
      <c r="AH447" s="1">
        <v>200.0</v>
      </c>
      <c r="AI447" s="1">
        <v>10.0</v>
      </c>
      <c r="AJ447" s="1">
        <v>10.0</v>
      </c>
      <c r="AK447" s="1">
        <v>120.0</v>
      </c>
    </row>
    <row r="448" ht="15.75" customHeight="1">
      <c r="A448" s="1">
        <v>447.0</v>
      </c>
      <c r="B448" s="1" t="s">
        <v>177</v>
      </c>
      <c r="C448" s="1" t="s">
        <v>1253</v>
      </c>
      <c r="AA448" s="1">
        <v>1.0</v>
      </c>
      <c r="AB448" s="1">
        <v>1.0</v>
      </c>
      <c r="AE448" s="1">
        <v>332138.0</v>
      </c>
      <c r="AF448" s="1">
        <v>2277.0</v>
      </c>
    </row>
    <row r="449" ht="15.75" customHeight="1">
      <c r="A449" s="1">
        <v>448.0</v>
      </c>
      <c r="B449" s="1" t="s">
        <v>177</v>
      </c>
      <c r="C449" s="1" t="s">
        <v>1254</v>
      </c>
      <c r="AA449" s="1">
        <v>1.0</v>
      </c>
      <c r="AB449" s="1">
        <v>1.0</v>
      </c>
      <c r="AE449" s="1">
        <v>821124.0</v>
      </c>
      <c r="AF449" s="1">
        <v>20408.0</v>
      </c>
      <c r="AH449" s="1">
        <v>200.0</v>
      </c>
      <c r="AI449" s="1">
        <v>10.0</v>
      </c>
      <c r="AJ449" s="1">
        <v>10.0</v>
      </c>
      <c r="AK449" s="1">
        <v>120.0</v>
      </c>
    </row>
    <row r="450" ht="15.75" customHeight="1">
      <c r="A450" s="1">
        <v>449.0</v>
      </c>
      <c r="B450" s="1" t="s">
        <v>177</v>
      </c>
      <c r="C450" s="1" t="s">
        <v>141</v>
      </c>
      <c r="Z450" s="1">
        <v>200.0</v>
      </c>
      <c r="AE450" s="1">
        <v>820223.0</v>
      </c>
      <c r="AF450" s="1">
        <v>20399.0</v>
      </c>
    </row>
    <row r="451" ht="15.75" customHeight="1">
      <c r="A451" s="1">
        <v>450.0</v>
      </c>
      <c r="B451" s="1" t="s">
        <v>137</v>
      </c>
      <c r="C451" s="1" t="s">
        <v>1255</v>
      </c>
      <c r="E451" s="1">
        <v>10.0</v>
      </c>
      <c r="F451" s="1">
        <v>10.0</v>
      </c>
      <c r="H451" s="1">
        <v>30.0</v>
      </c>
      <c r="I451" s="1">
        <v>1.0</v>
      </c>
      <c r="J451" s="1">
        <v>1.0</v>
      </c>
      <c r="K451" s="1">
        <v>1.0</v>
      </c>
      <c r="L451" s="1">
        <v>1.0</v>
      </c>
      <c r="S451" s="1">
        <v>1.0</v>
      </c>
      <c r="X451" s="1" t="s">
        <v>140</v>
      </c>
      <c r="Y451" s="1" t="s">
        <v>141</v>
      </c>
      <c r="Z451" s="1">
        <v>400.0</v>
      </c>
      <c r="AE451" s="1">
        <v>332205.0</v>
      </c>
      <c r="AF451" s="1">
        <v>2278.0</v>
      </c>
      <c r="AG451" s="1">
        <v>2.0</v>
      </c>
    </row>
    <row r="452" ht="15.75" customHeight="1">
      <c r="A452" s="1">
        <v>451.0</v>
      </c>
      <c r="B452" s="1" t="s">
        <v>148</v>
      </c>
      <c r="C452" s="1" t="s">
        <v>1256</v>
      </c>
      <c r="J452" s="1">
        <v>1.0</v>
      </c>
      <c r="K452" s="1">
        <v>5.0</v>
      </c>
      <c r="S452" s="1">
        <v>10.0</v>
      </c>
      <c r="V452" s="1">
        <v>26.0</v>
      </c>
      <c r="W452" s="1">
        <v>9.0</v>
      </c>
      <c r="X452" s="1" t="s">
        <v>153</v>
      </c>
      <c r="Y452" s="1" t="s">
        <v>211</v>
      </c>
      <c r="Z452" s="1">
        <v>1000.0</v>
      </c>
      <c r="AE452" s="1">
        <v>331312.0</v>
      </c>
      <c r="AF452" s="1">
        <v>2269.0</v>
      </c>
      <c r="AG452" s="1">
        <v>9.0</v>
      </c>
      <c r="AL452" s="1">
        <v>50.0</v>
      </c>
      <c r="AN452" s="1">
        <v>4.0</v>
      </c>
    </row>
    <row r="453" ht="15.75" customHeight="1">
      <c r="A453" s="1">
        <v>452.0</v>
      </c>
      <c r="B453" s="1" t="s">
        <v>137</v>
      </c>
      <c r="C453" s="1" t="s">
        <v>1257</v>
      </c>
      <c r="E453" s="1">
        <v>10.0</v>
      </c>
      <c r="F453" s="1">
        <v>10.0</v>
      </c>
      <c r="H453" s="1">
        <v>5.0</v>
      </c>
      <c r="I453" s="1">
        <v>1.0</v>
      </c>
      <c r="J453" s="1">
        <v>1.0</v>
      </c>
      <c r="K453" s="1">
        <v>1.0</v>
      </c>
      <c r="L453" s="1">
        <v>1.0</v>
      </c>
      <c r="S453" s="1">
        <v>10.0</v>
      </c>
      <c r="X453" s="1" t="s">
        <v>737</v>
      </c>
      <c r="AE453" s="1">
        <v>820096.0</v>
      </c>
      <c r="AF453" s="1">
        <v>20397.0</v>
      </c>
    </row>
    <row r="454" ht="15.75" customHeight="1">
      <c r="A454" s="1">
        <v>453.0</v>
      </c>
      <c r="B454" s="1" t="s">
        <v>137</v>
      </c>
      <c r="C454" s="1" t="s">
        <v>1258</v>
      </c>
      <c r="E454" s="1">
        <v>30.0</v>
      </c>
      <c r="F454" s="1">
        <v>30.0</v>
      </c>
      <c r="H454" s="1">
        <v>30.0</v>
      </c>
      <c r="I454" s="1">
        <v>4.0</v>
      </c>
      <c r="S454" s="1">
        <v>15.0</v>
      </c>
      <c r="X454" s="1" t="s">
        <v>186</v>
      </c>
      <c r="AE454" s="1">
        <v>332214.0</v>
      </c>
      <c r="AF454" s="1">
        <v>2278.0</v>
      </c>
      <c r="AG454" s="1">
        <v>9.0</v>
      </c>
    </row>
    <row r="455" ht="15.75" customHeight="1">
      <c r="A455" s="1">
        <v>454.0</v>
      </c>
      <c r="B455" s="1" t="s">
        <v>137</v>
      </c>
      <c r="C455" s="1" t="s">
        <v>1259</v>
      </c>
      <c r="E455" s="1">
        <v>30.0</v>
      </c>
      <c r="F455" s="1">
        <v>30.0</v>
      </c>
      <c r="H455" s="1">
        <v>30.0</v>
      </c>
      <c r="I455" s="1">
        <v>4.0</v>
      </c>
      <c r="S455" s="1">
        <v>15.0</v>
      </c>
      <c r="X455" s="1" t="s">
        <v>186</v>
      </c>
      <c r="AE455" s="1">
        <v>332214.0</v>
      </c>
      <c r="AF455" s="1">
        <v>2278.0</v>
      </c>
      <c r="AG455" s="1">
        <v>9.0</v>
      </c>
      <c r="AK455" s="1">
        <v>170.0</v>
      </c>
    </row>
    <row r="456" ht="15.75" customHeight="1">
      <c r="A456" s="1">
        <v>455.0</v>
      </c>
      <c r="B456" s="1" t="s">
        <v>177</v>
      </c>
      <c r="C456" s="1" t="s">
        <v>1260</v>
      </c>
      <c r="Z456" s="1">
        <v>100.0</v>
      </c>
      <c r="AE456" s="1">
        <v>820605.0</v>
      </c>
      <c r="AF456" s="1">
        <v>20403.0</v>
      </c>
      <c r="AM456" s="1">
        <v>99.0</v>
      </c>
    </row>
    <row r="457" ht="15.75" customHeight="1">
      <c r="A457" s="1">
        <v>456.0</v>
      </c>
      <c r="B457" s="1" t="s">
        <v>148</v>
      </c>
      <c r="C457" s="1" t="s">
        <v>1261</v>
      </c>
      <c r="E457" s="1">
        <v>50.0</v>
      </c>
      <c r="F457" s="1">
        <v>50.0</v>
      </c>
      <c r="I457" s="1">
        <v>12.0</v>
      </c>
      <c r="J457" s="1">
        <v>3.0</v>
      </c>
      <c r="K457" s="1">
        <v>10.0</v>
      </c>
      <c r="S457" s="1">
        <v>30.0</v>
      </c>
      <c r="V457" s="1">
        <v>63.0</v>
      </c>
      <c r="W457" s="1">
        <v>9.0</v>
      </c>
      <c r="X457" s="1" t="s">
        <v>153</v>
      </c>
      <c r="Y457" s="1" t="s">
        <v>208</v>
      </c>
      <c r="Z457" s="1">
        <v>1500.0</v>
      </c>
      <c r="AA457" s="1">
        <v>1.0</v>
      </c>
      <c r="AE457" s="1">
        <v>331327.0</v>
      </c>
      <c r="AF457" s="1">
        <v>2269.0</v>
      </c>
      <c r="AG457" s="1">
        <v>28.0</v>
      </c>
      <c r="AL457" s="1">
        <v>50.0</v>
      </c>
      <c r="AN457" s="1">
        <v>4.0</v>
      </c>
    </row>
    <row r="458" ht="15.75" customHeight="1">
      <c r="A458" s="1">
        <v>457.0</v>
      </c>
      <c r="B458" s="1" t="s">
        <v>177</v>
      </c>
      <c r="C458" s="1" t="s">
        <v>1262</v>
      </c>
      <c r="Z458" s="1">
        <v>75.0</v>
      </c>
      <c r="AE458" s="1">
        <v>821124.0</v>
      </c>
      <c r="AF458" s="1">
        <v>20408.0</v>
      </c>
      <c r="AH458" s="1">
        <v>160.0</v>
      </c>
      <c r="AK458" s="1">
        <v>160.0</v>
      </c>
      <c r="AM458" s="1">
        <v>99.0</v>
      </c>
    </row>
    <row r="459" ht="15.75" customHeight="1">
      <c r="A459" s="1">
        <v>458.0</v>
      </c>
      <c r="B459" s="1" t="s">
        <v>137</v>
      </c>
      <c r="C459" s="1" t="s">
        <v>1263</v>
      </c>
      <c r="V459" s="1">
        <v>0.0</v>
      </c>
      <c r="X459" s="1" t="s">
        <v>709</v>
      </c>
      <c r="AA459" s="1">
        <v>1.0</v>
      </c>
      <c r="AB459" s="1">
        <v>1.0</v>
      </c>
      <c r="AE459" s="1">
        <v>820601.0</v>
      </c>
      <c r="AF459" s="1">
        <v>20403.0</v>
      </c>
      <c r="AH459" s="1">
        <v>200.0</v>
      </c>
      <c r="AI459" s="1">
        <v>10.0</v>
      </c>
      <c r="AJ459" s="1">
        <v>10.0</v>
      </c>
      <c r="AK459" s="1">
        <v>120.0</v>
      </c>
      <c r="AO459" s="1">
        <v>185.0</v>
      </c>
    </row>
    <row r="460" ht="15.75" customHeight="1">
      <c r="A460" s="1">
        <v>459.0</v>
      </c>
      <c r="B460" s="1" t="s">
        <v>163</v>
      </c>
      <c r="C460" s="1" t="s">
        <v>848</v>
      </c>
      <c r="S460" s="1">
        <v>50.0</v>
      </c>
      <c r="AE460" s="1">
        <v>820500.0</v>
      </c>
      <c r="AF460" s="1">
        <v>20402.0</v>
      </c>
      <c r="AH460" s="1">
        <v>128.0</v>
      </c>
      <c r="AK460" s="1">
        <v>125.0</v>
      </c>
      <c r="AO460" s="1">
        <v>186.0</v>
      </c>
    </row>
    <row r="461" ht="15.75" customHeight="1">
      <c r="A461" s="1">
        <v>460.0</v>
      </c>
      <c r="B461" s="1" t="s">
        <v>163</v>
      </c>
      <c r="C461" s="1" t="s">
        <v>888</v>
      </c>
      <c r="S461" s="1">
        <v>50.0</v>
      </c>
      <c r="AE461" s="1">
        <v>820500.0</v>
      </c>
      <c r="AF461" s="1">
        <v>20402.0</v>
      </c>
      <c r="AI461" s="1">
        <v>128.0</v>
      </c>
      <c r="AJ461" s="1">
        <v>255.0</v>
      </c>
      <c r="AK461" s="1">
        <v>125.0</v>
      </c>
      <c r="AO461" s="1">
        <v>197.0</v>
      </c>
    </row>
    <row r="462" ht="15.75" customHeight="1">
      <c r="A462" s="1">
        <v>461.0</v>
      </c>
      <c r="B462" s="1" t="s">
        <v>163</v>
      </c>
      <c r="C462" s="1" t="s">
        <v>880</v>
      </c>
      <c r="S462" s="1">
        <v>50.0</v>
      </c>
      <c r="AE462" s="1">
        <v>820500.0</v>
      </c>
      <c r="AF462" s="1">
        <v>20402.0</v>
      </c>
      <c r="AH462" s="1">
        <v>255.0</v>
      </c>
      <c r="AK462" s="1">
        <v>130.0</v>
      </c>
      <c r="AO462" s="1">
        <v>195.0</v>
      </c>
    </row>
    <row r="463" ht="15.75" customHeight="1">
      <c r="A463" s="1">
        <v>462.0</v>
      </c>
      <c r="B463" s="1" t="s">
        <v>163</v>
      </c>
      <c r="C463" s="1" t="s">
        <v>892</v>
      </c>
      <c r="S463" s="1">
        <v>50.0</v>
      </c>
      <c r="AE463" s="1">
        <v>820500.0</v>
      </c>
      <c r="AF463" s="1">
        <v>20402.0</v>
      </c>
      <c r="AH463" s="1">
        <v>255.0</v>
      </c>
      <c r="AI463" s="1">
        <v>255.0</v>
      </c>
      <c r="AJ463" s="1">
        <v>255.0</v>
      </c>
      <c r="AK463" s="1">
        <v>110.0</v>
      </c>
      <c r="AO463" s="1">
        <v>198.0</v>
      </c>
    </row>
    <row r="464" ht="15.75" customHeight="1">
      <c r="A464" s="1">
        <v>463.0</v>
      </c>
      <c r="B464" s="1" t="s">
        <v>163</v>
      </c>
      <c r="C464" s="1" t="s">
        <v>882</v>
      </c>
      <c r="S464" s="1">
        <v>50.0</v>
      </c>
      <c r="AE464" s="1">
        <v>820500.0</v>
      </c>
      <c r="AF464" s="1">
        <v>20402.0</v>
      </c>
      <c r="AH464" s="1">
        <v>20.0</v>
      </c>
      <c r="AI464" s="1">
        <v>20.0</v>
      </c>
      <c r="AJ464" s="1">
        <v>20.0</v>
      </c>
      <c r="AK464" s="1">
        <v>130.0</v>
      </c>
      <c r="AO464" s="1">
        <v>196.0</v>
      </c>
    </row>
    <row r="465" ht="15.75" customHeight="1">
      <c r="A465" s="1">
        <v>464.0</v>
      </c>
      <c r="B465" s="1" t="s">
        <v>163</v>
      </c>
      <c r="C465" s="1" t="s">
        <v>851</v>
      </c>
      <c r="S465" s="1">
        <v>50.0</v>
      </c>
      <c r="AE465" s="1">
        <v>820500.0</v>
      </c>
      <c r="AF465" s="1">
        <v>20402.0</v>
      </c>
      <c r="AH465" s="1">
        <v>64.0</v>
      </c>
      <c r="AK465" s="1">
        <v>130.0</v>
      </c>
      <c r="AO465" s="1">
        <v>187.0</v>
      </c>
    </row>
    <row r="466" ht="15.75" customHeight="1">
      <c r="A466" s="1">
        <v>465.0</v>
      </c>
      <c r="B466" s="1" t="s">
        <v>163</v>
      </c>
      <c r="C466" s="1" t="s">
        <v>854</v>
      </c>
      <c r="S466" s="1">
        <v>50.0</v>
      </c>
      <c r="AE466" s="1">
        <v>820500.0</v>
      </c>
      <c r="AF466" s="1">
        <v>20402.0</v>
      </c>
      <c r="AH466" s="1">
        <v>255.0</v>
      </c>
      <c r="AI466" s="1">
        <v>100.0</v>
      </c>
      <c r="AJ466" s="1">
        <v>255.0</v>
      </c>
      <c r="AK466" s="1">
        <v>100.0</v>
      </c>
      <c r="AO466" s="1">
        <v>188.0</v>
      </c>
    </row>
    <row r="467" ht="15.75" customHeight="1">
      <c r="A467" s="1">
        <v>466.0</v>
      </c>
      <c r="B467" s="1" t="s">
        <v>163</v>
      </c>
      <c r="C467" s="1" t="s">
        <v>855</v>
      </c>
      <c r="S467" s="1">
        <v>50.0</v>
      </c>
      <c r="AE467" s="1">
        <v>820500.0</v>
      </c>
      <c r="AF467" s="1">
        <v>20402.0</v>
      </c>
      <c r="AI467" s="1">
        <v>255.0</v>
      </c>
      <c r="AK467" s="1">
        <v>100.0</v>
      </c>
      <c r="AO467" s="1">
        <v>189.0</v>
      </c>
    </row>
    <row r="468" ht="15.75" customHeight="1">
      <c r="A468" s="1">
        <v>467.0</v>
      </c>
      <c r="B468" s="1" t="s">
        <v>163</v>
      </c>
      <c r="C468" s="1" t="s">
        <v>872</v>
      </c>
      <c r="S468" s="1">
        <v>50.0</v>
      </c>
      <c r="AE468" s="1">
        <v>820500.0</v>
      </c>
      <c r="AF468" s="1">
        <v>20402.0</v>
      </c>
      <c r="AH468" s="1">
        <v>250.0</v>
      </c>
      <c r="AI468" s="1">
        <v>110.0</v>
      </c>
      <c r="AJ468" s="1">
        <v>30.0</v>
      </c>
      <c r="AK468" s="1">
        <v>115.0</v>
      </c>
      <c r="AO468" s="1">
        <v>193.0</v>
      </c>
    </row>
    <row r="469" ht="15.75" customHeight="1">
      <c r="A469" s="1">
        <v>468.0</v>
      </c>
      <c r="B469" s="1" t="s">
        <v>163</v>
      </c>
      <c r="C469" s="1" t="s">
        <v>877</v>
      </c>
      <c r="S469" s="1">
        <v>50.0</v>
      </c>
      <c r="AE469" s="1">
        <v>820500.0</v>
      </c>
      <c r="AF469" s="1">
        <v>20402.0</v>
      </c>
      <c r="AH469" s="1">
        <v>255.0</v>
      </c>
      <c r="AI469" s="1">
        <v>255.0</v>
      </c>
      <c r="AJ469" s="1">
        <v>255.0</v>
      </c>
      <c r="AK469" s="1">
        <v>150.0</v>
      </c>
      <c r="AO469" s="1">
        <v>194.0</v>
      </c>
    </row>
    <row r="470" ht="15.75" customHeight="1">
      <c r="A470" s="1">
        <v>469.0</v>
      </c>
      <c r="B470" s="1" t="s">
        <v>163</v>
      </c>
      <c r="C470" s="1" t="s">
        <v>862</v>
      </c>
      <c r="S470" s="1">
        <v>50.0</v>
      </c>
      <c r="AE470" s="1">
        <v>820500.0</v>
      </c>
      <c r="AF470" s="1">
        <v>20402.0</v>
      </c>
      <c r="AH470" s="1">
        <v>255.0</v>
      </c>
      <c r="AK470" s="1">
        <v>150.0</v>
      </c>
      <c r="AO470" s="1">
        <v>191.0</v>
      </c>
    </row>
    <row r="471" ht="15.75" customHeight="1">
      <c r="A471" s="1">
        <v>470.0</v>
      </c>
      <c r="B471" s="1" t="s">
        <v>163</v>
      </c>
      <c r="C471" s="1" t="s">
        <v>858</v>
      </c>
      <c r="S471" s="1">
        <v>50.0</v>
      </c>
      <c r="AE471" s="1">
        <v>820500.0</v>
      </c>
      <c r="AF471" s="1">
        <v>20402.0</v>
      </c>
      <c r="AI471" s="1">
        <v>88.0</v>
      </c>
      <c r="AJ471" s="1">
        <v>176.0</v>
      </c>
      <c r="AK471" s="1">
        <v>110.0</v>
      </c>
      <c r="AO471" s="1">
        <v>190.0</v>
      </c>
    </row>
    <row r="472" ht="15.75" customHeight="1">
      <c r="A472" s="1">
        <v>471.0</v>
      </c>
      <c r="B472" s="1" t="s">
        <v>163</v>
      </c>
      <c r="C472" s="1" t="s">
        <v>868</v>
      </c>
      <c r="S472" s="1">
        <v>50.0</v>
      </c>
      <c r="AE472" s="1">
        <v>820500.0</v>
      </c>
      <c r="AF472" s="1">
        <v>20402.0</v>
      </c>
      <c r="AH472" s="1">
        <v>128.0</v>
      </c>
      <c r="AI472" s="1">
        <v>128.0</v>
      </c>
      <c r="AJ472" s="1">
        <v>128.0</v>
      </c>
      <c r="AK472" s="1">
        <v>120.0</v>
      </c>
      <c r="AO472" s="1">
        <v>192.0</v>
      </c>
    </row>
    <row r="473" ht="15.75" customHeight="1">
      <c r="A473" s="1">
        <v>472.0</v>
      </c>
      <c r="B473" s="1" t="s">
        <v>137</v>
      </c>
      <c r="C473" s="1" t="s">
        <v>1264</v>
      </c>
      <c r="E473" s="1">
        <v>75.0</v>
      </c>
      <c r="F473" s="1">
        <v>150.0</v>
      </c>
      <c r="H473" s="1">
        <v>50.0</v>
      </c>
      <c r="I473" s="1">
        <v>10.0</v>
      </c>
      <c r="J473" s="1">
        <v>10.0</v>
      </c>
      <c r="K473" s="1">
        <v>10.0</v>
      </c>
      <c r="L473" s="1">
        <v>10.0</v>
      </c>
      <c r="S473" s="1">
        <v>1.0</v>
      </c>
      <c r="X473" s="1" t="s">
        <v>186</v>
      </c>
      <c r="Y473" s="1" t="s">
        <v>141</v>
      </c>
      <c r="AE473" s="1">
        <v>332209.0</v>
      </c>
      <c r="AF473" s="1">
        <v>2278.0</v>
      </c>
      <c r="AG473" s="1">
        <v>3.0</v>
      </c>
      <c r="AH473" s="1">
        <v>1.0</v>
      </c>
      <c r="AI473" s="1">
        <v>1.0</v>
      </c>
      <c r="AJ473" s="1">
        <v>1.0</v>
      </c>
      <c r="AK473" s="1">
        <v>215.0</v>
      </c>
      <c r="AO473" s="1">
        <v>71.0</v>
      </c>
    </row>
    <row r="474" ht="15.75" customHeight="1">
      <c r="A474" s="1">
        <v>473.0</v>
      </c>
      <c r="B474" s="1" t="s">
        <v>190</v>
      </c>
      <c r="C474" s="1" t="s">
        <v>1265</v>
      </c>
      <c r="S474" s="1">
        <v>50.0</v>
      </c>
      <c r="AA474" s="1">
        <v>1.0</v>
      </c>
      <c r="AB474" s="1">
        <v>1.0</v>
      </c>
      <c r="AE474" s="1">
        <v>820110.0</v>
      </c>
      <c r="AF474" s="1">
        <v>20398.0</v>
      </c>
      <c r="AL474" s="1">
        <v>31.0</v>
      </c>
      <c r="AQ474" s="1">
        <v>121.0</v>
      </c>
    </row>
    <row r="475" ht="15.75" customHeight="1">
      <c r="A475" s="1">
        <v>474.0</v>
      </c>
      <c r="B475" s="1" t="s">
        <v>190</v>
      </c>
      <c r="C475" s="1" t="s">
        <v>1266</v>
      </c>
      <c r="S475" s="1">
        <v>50.0</v>
      </c>
      <c r="AA475" s="1">
        <v>1.0</v>
      </c>
      <c r="AB475" s="1">
        <v>1.0</v>
      </c>
      <c r="AE475" s="1">
        <v>820110.0</v>
      </c>
      <c r="AF475" s="1">
        <v>20398.0</v>
      </c>
      <c r="AL475" s="1">
        <v>59.0</v>
      </c>
      <c r="AQ475" s="1">
        <v>122.0</v>
      </c>
    </row>
    <row r="476" ht="15.75" customHeight="1">
      <c r="A476" s="1">
        <v>475.0</v>
      </c>
      <c r="B476" s="1" t="s">
        <v>190</v>
      </c>
      <c r="C476" s="1" t="s">
        <v>1267</v>
      </c>
      <c r="R476" s="1">
        <v>2.0E7</v>
      </c>
      <c r="S476" s="1">
        <v>50.0</v>
      </c>
      <c r="AA476" s="1">
        <v>1.0</v>
      </c>
      <c r="AB476" s="1">
        <v>1.0</v>
      </c>
      <c r="AE476" s="1">
        <v>820110.0</v>
      </c>
      <c r="AF476" s="1">
        <v>20398.0</v>
      </c>
      <c r="AL476" s="1">
        <v>47.0</v>
      </c>
      <c r="AQ476" s="1">
        <v>123.0</v>
      </c>
    </row>
    <row r="477" ht="15.75" customHeight="1">
      <c r="A477" s="1">
        <v>476.0</v>
      </c>
      <c r="B477" s="1" t="s">
        <v>137</v>
      </c>
      <c r="C477" s="1" t="s">
        <v>1268</v>
      </c>
      <c r="E477" s="1">
        <v>100.0</v>
      </c>
      <c r="F477" s="1">
        <v>100.0</v>
      </c>
      <c r="H477" s="1">
        <v>100.0</v>
      </c>
      <c r="I477" s="1">
        <v>10.0</v>
      </c>
      <c r="J477" s="1">
        <v>10.0</v>
      </c>
      <c r="K477" s="1">
        <v>10.0</v>
      </c>
      <c r="L477" s="1">
        <v>10.0</v>
      </c>
      <c r="M477" s="1">
        <v>10.0</v>
      </c>
      <c r="N477" s="1">
        <v>10.0</v>
      </c>
      <c r="O477" s="1">
        <v>10.0</v>
      </c>
      <c r="P477" s="1">
        <v>10.0</v>
      </c>
      <c r="Q477" s="1">
        <v>10.0</v>
      </c>
      <c r="S477" s="1">
        <v>1.0</v>
      </c>
      <c r="V477" s="1">
        <v>0.0</v>
      </c>
      <c r="X477" s="1" t="s">
        <v>604</v>
      </c>
      <c r="Z477" s="1">
        <v>10000.0</v>
      </c>
      <c r="AE477" s="1">
        <v>332222.0</v>
      </c>
      <c r="AF477" s="1">
        <v>2278.0</v>
      </c>
      <c r="AG477" s="1">
        <v>18.0</v>
      </c>
      <c r="AN477" s="1">
        <v>4.0</v>
      </c>
      <c r="AO477" s="1">
        <v>78.0</v>
      </c>
      <c r="AR477" s="1">
        <v>7.0</v>
      </c>
    </row>
    <row r="478" ht="15.75" customHeight="1">
      <c r="A478" s="1">
        <v>477.0</v>
      </c>
      <c r="B478" s="1" t="s">
        <v>148</v>
      </c>
      <c r="C478" s="1" t="s">
        <v>1269</v>
      </c>
      <c r="E478" s="1">
        <v>200.0</v>
      </c>
      <c r="F478" s="1">
        <v>200.0</v>
      </c>
      <c r="I478" s="1">
        <v>20.0</v>
      </c>
      <c r="J478" s="1">
        <v>10.0</v>
      </c>
      <c r="K478" s="1">
        <v>10.0</v>
      </c>
      <c r="L478" s="1">
        <v>10.0</v>
      </c>
      <c r="V478" s="1">
        <v>90.0</v>
      </c>
      <c r="X478" s="1" t="s">
        <v>153</v>
      </c>
      <c r="Y478" s="1" t="s">
        <v>211</v>
      </c>
      <c r="Z478" s="1">
        <v>100000.0</v>
      </c>
      <c r="AE478" s="1">
        <v>331335.0</v>
      </c>
      <c r="AF478" s="1">
        <v>2269.0</v>
      </c>
      <c r="AG478" s="1">
        <v>40.0</v>
      </c>
      <c r="AN478" s="1">
        <v>4.0</v>
      </c>
      <c r="AO478" s="1">
        <v>78.0</v>
      </c>
      <c r="AR478" s="1">
        <v>9.0</v>
      </c>
    </row>
    <row r="479" ht="15.75" customHeight="1">
      <c r="A479" s="1">
        <v>478.0</v>
      </c>
      <c r="B479" s="1" t="s">
        <v>148</v>
      </c>
      <c r="C479" s="1" t="s">
        <v>1270</v>
      </c>
      <c r="E479" s="1">
        <v>100.0</v>
      </c>
      <c r="F479" s="1">
        <v>100.0</v>
      </c>
      <c r="I479" s="1">
        <v>5.0</v>
      </c>
      <c r="J479" s="1">
        <v>5.0</v>
      </c>
      <c r="K479" s="1">
        <v>5.0</v>
      </c>
      <c r="L479" s="1">
        <v>5.0</v>
      </c>
      <c r="V479" s="1">
        <v>70.0</v>
      </c>
      <c r="W479" s="1">
        <v>9.0</v>
      </c>
      <c r="X479" s="1" t="s">
        <v>153</v>
      </c>
      <c r="Y479" s="1" t="s">
        <v>208</v>
      </c>
      <c r="Z479" s="1">
        <v>30000.0</v>
      </c>
      <c r="AE479" s="1">
        <v>331329.0</v>
      </c>
      <c r="AF479" s="1">
        <v>2269.0</v>
      </c>
      <c r="AG479" s="1">
        <v>31.0</v>
      </c>
      <c r="AN479" s="1">
        <v>4.0</v>
      </c>
      <c r="AR479" s="1">
        <v>5.0</v>
      </c>
    </row>
    <row r="480" ht="15.75" customHeight="1">
      <c r="A480" s="1">
        <v>479.0</v>
      </c>
      <c r="B480" s="1" t="s">
        <v>137</v>
      </c>
      <c r="C480" s="1" t="s">
        <v>1271</v>
      </c>
      <c r="E480" s="1">
        <v>100.0</v>
      </c>
      <c r="F480" s="1">
        <v>100.0</v>
      </c>
      <c r="H480" s="1">
        <v>25.0</v>
      </c>
      <c r="I480" s="1">
        <v>3.0</v>
      </c>
      <c r="J480" s="1">
        <v>3.0</v>
      </c>
      <c r="K480" s="1">
        <v>3.0</v>
      </c>
      <c r="L480" s="1">
        <v>3.0</v>
      </c>
      <c r="S480" s="1">
        <v>25.0</v>
      </c>
      <c r="X480" s="1" t="s">
        <v>737</v>
      </c>
      <c r="AE480" s="1">
        <v>820208.0</v>
      </c>
      <c r="AF480" s="1">
        <v>20399.0</v>
      </c>
    </row>
    <row r="481" ht="15.75" customHeight="1">
      <c r="A481" s="1">
        <v>480.0</v>
      </c>
      <c r="B481" s="1" t="s">
        <v>137</v>
      </c>
      <c r="C481" s="1" t="s">
        <v>1272</v>
      </c>
      <c r="E481" s="1">
        <v>100.0</v>
      </c>
      <c r="F481" s="1">
        <v>100.0</v>
      </c>
      <c r="H481" s="1">
        <v>25.0</v>
      </c>
      <c r="I481" s="1">
        <v>3.0</v>
      </c>
      <c r="J481" s="1">
        <v>3.0</v>
      </c>
      <c r="K481" s="1">
        <v>3.0</v>
      </c>
      <c r="L481" s="1">
        <v>3.0</v>
      </c>
      <c r="S481" s="1">
        <v>25.0</v>
      </c>
      <c r="V481" s="1">
        <v>0.0</v>
      </c>
      <c r="X481" s="1" t="s">
        <v>308</v>
      </c>
      <c r="AE481" s="1">
        <v>820210.0</v>
      </c>
      <c r="AF481" s="1">
        <v>20399.0</v>
      </c>
    </row>
    <row r="482" ht="15.75" customHeight="1">
      <c r="A482" s="1">
        <v>481.0</v>
      </c>
      <c r="B482" s="1" t="s">
        <v>190</v>
      </c>
      <c r="C482" s="1" t="s">
        <v>1273</v>
      </c>
      <c r="S482" s="1">
        <v>25.0</v>
      </c>
      <c r="Z482" s="1">
        <v>10000.0</v>
      </c>
      <c r="AA482" s="1">
        <v>1.0</v>
      </c>
      <c r="AE482" s="1">
        <v>820110.0</v>
      </c>
      <c r="AF482" s="1">
        <v>20398.0</v>
      </c>
      <c r="AL482" s="1">
        <v>47.0</v>
      </c>
      <c r="AQ482" s="1">
        <v>124.0</v>
      </c>
    </row>
    <row r="483" ht="15.75" customHeight="1">
      <c r="A483" s="1">
        <v>482.0</v>
      </c>
      <c r="B483" s="1" t="s">
        <v>190</v>
      </c>
      <c r="C483" s="1" t="s">
        <v>1274</v>
      </c>
      <c r="S483" s="1">
        <v>25.0</v>
      </c>
      <c r="Z483" s="1">
        <v>10000.0</v>
      </c>
      <c r="AA483" s="1">
        <v>1.0</v>
      </c>
      <c r="AE483" s="1">
        <v>820110.0</v>
      </c>
      <c r="AF483" s="1">
        <v>20398.0</v>
      </c>
      <c r="AL483" s="1">
        <v>31.0</v>
      </c>
      <c r="AQ483" s="1">
        <v>125.0</v>
      </c>
    </row>
    <row r="484" ht="15.75" customHeight="1">
      <c r="A484" s="1">
        <v>483.0</v>
      </c>
      <c r="B484" s="1" t="s">
        <v>190</v>
      </c>
      <c r="C484" s="1" t="s">
        <v>1275</v>
      </c>
      <c r="S484" s="1">
        <v>25.0</v>
      </c>
      <c r="Z484" s="1">
        <v>10000.0</v>
      </c>
      <c r="AA484" s="1">
        <v>1.0</v>
      </c>
      <c r="AE484" s="1">
        <v>820110.0</v>
      </c>
      <c r="AF484" s="1">
        <v>20398.0</v>
      </c>
      <c r="AL484" s="1">
        <v>59.0</v>
      </c>
      <c r="AQ484" s="1">
        <v>126.0</v>
      </c>
    </row>
    <row r="485" ht="15.75" customHeight="1">
      <c r="A485" s="1">
        <v>484.0</v>
      </c>
      <c r="B485" s="1" t="s">
        <v>190</v>
      </c>
      <c r="C485" s="1" t="s">
        <v>1276</v>
      </c>
      <c r="S485" s="1">
        <v>25.0</v>
      </c>
      <c r="Z485" s="1">
        <v>10000.0</v>
      </c>
      <c r="AA485" s="1">
        <v>1.0</v>
      </c>
      <c r="AE485" s="1">
        <v>820110.0</v>
      </c>
      <c r="AF485" s="1">
        <v>20398.0</v>
      </c>
      <c r="AL485" s="1">
        <v>55.0</v>
      </c>
      <c r="AQ485" s="1">
        <v>127.0</v>
      </c>
    </row>
    <row r="486" ht="15.75" customHeight="1">
      <c r="A486" s="1">
        <v>485.0</v>
      </c>
      <c r="B486" s="1" t="s">
        <v>190</v>
      </c>
      <c r="C486" s="1" t="s">
        <v>1277</v>
      </c>
      <c r="S486" s="1">
        <v>35.0</v>
      </c>
      <c r="Z486" s="1">
        <v>20000.0</v>
      </c>
      <c r="AA486" s="1">
        <v>1.0</v>
      </c>
      <c r="AE486" s="1">
        <v>820110.0</v>
      </c>
      <c r="AF486" s="1">
        <v>20398.0</v>
      </c>
      <c r="AL486" s="1">
        <v>47.0</v>
      </c>
      <c r="AQ486" s="1">
        <v>128.0</v>
      </c>
    </row>
    <row r="487" ht="15.75" customHeight="1">
      <c r="A487" s="1">
        <v>486.0</v>
      </c>
      <c r="B487" s="1" t="s">
        <v>190</v>
      </c>
      <c r="C487" s="1" t="s">
        <v>1278</v>
      </c>
      <c r="S487" s="1">
        <v>35.0</v>
      </c>
      <c r="Z487" s="1">
        <v>20000.0</v>
      </c>
      <c r="AA487" s="1">
        <v>1.0</v>
      </c>
      <c r="AE487" s="1">
        <v>820110.0</v>
      </c>
      <c r="AF487" s="1">
        <v>20398.0</v>
      </c>
      <c r="AL487" s="1">
        <v>31.0</v>
      </c>
      <c r="AQ487" s="1">
        <v>129.0</v>
      </c>
    </row>
    <row r="488" ht="15.75" customHeight="1">
      <c r="A488" s="1">
        <v>487.0</v>
      </c>
      <c r="B488" s="1" t="s">
        <v>190</v>
      </c>
      <c r="C488" s="1" t="s">
        <v>1279</v>
      </c>
      <c r="S488" s="1">
        <v>35.0</v>
      </c>
      <c r="Z488" s="1">
        <v>20000.0</v>
      </c>
      <c r="AA488" s="1">
        <v>1.0</v>
      </c>
      <c r="AE488" s="1">
        <v>820110.0</v>
      </c>
      <c r="AF488" s="1">
        <v>20398.0</v>
      </c>
      <c r="AL488" s="1">
        <v>59.0</v>
      </c>
      <c r="AQ488" s="1">
        <v>130.0</v>
      </c>
    </row>
    <row r="489" ht="15.75" customHeight="1">
      <c r="A489" s="1">
        <v>488.0</v>
      </c>
      <c r="B489" s="1" t="s">
        <v>190</v>
      </c>
      <c r="C489" s="1" t="s">
        <v>1280</v>
      </c>
      <c r="S489" s="1">
        <v>35.0</v>
      </c>
      <c r="Z489" s="1">
        <v>20000.0</v>
      </c>
      <c r="AA489" s="1">
        <v>1.0</v>
      </c>
      <c r="AE489" s="1">
        <v>820110.0</v>
      </c>
      <c r="AF489" s="1">
        <v>20398.0</v>
      </c>
      <c r="AL489" s="1">
        <v>55.0</v>
      </c>
      <c r="AQ489" s="1">
        <v>131.0</v>
      </c>
    </row>
    <row r="490" ht="15.75" customHeight="1">
      <c r="A490" s="1">
        <v>489.0</v>
      </c>
      <c r="B490" s="1" t="s">
        <v>163</v>
      </c>
      <c r="C490" s="1" t="s">
        <v>926</v>
      </c>
      <c r="AE490" s="1">
        <v>820109.0</v>
      </c>
      <c r="AF490" s="1">
        <v>20398.0</v>
      </c>
      <c r="AM490" s="1">
        <v>99.0</v>
      </c>
      <c r="AO490" s="1">
        <v>210.0</v>
      </c>
    </row>
    <row r="491" ht="15.75" customHeight="1">
      <c r="A491" s="1">
        <v>490.0</v>
      </c>
      <c r="B491" s="1" t="s">
        <v>177</v>
      </c>
      <c r="C491" s="1" t="s">
        <v>1281</v>
      </c>
      <c r="AA491" s="1">
        <v>1.0</v>
      </c>
      <c r="AB491" s="1">
        <v>1.0</v>
      </c>
      <c r="AE491" s="1">
        <v>821102.0</v>
      </c>
      <c r="AF491" s="1">
        <v>20408.0</v>
      </c>
    </row>
    <row r="492" ht="15.75" customHeight="1">
      <c r="A492" s="1">
        <v>491.0</v>
      </c>
      <c r="B492" s="1" t="s">
        <v>177</v>
      </c>
      <c r="C492" s="1" t="s">
        <v>1282</v>
      </c>
      <c r="AA492" s="1">
        <v>1.0</v>
      </c>
      <c r="AB492" s="1">
        <v>1.0</v>
      </c>
      <c r="AE492" s="1">
        <v>821138.0</v>
      </c>
      <c r="AF492" s="1">
        <v>20408.0</v>
      </c>
    </row>
    <row r="493" ht="15.75" customHeight="1">
      <c r="A493" s="1">
        <v>492.0</v>
      </c>
      <c r="B493" s="1" t="s">
        <v>177</v>
      </c>
      <c r="C493" s="1" t="s">
        <v>1283</v>
      </c>
      <c r="AA493" s="1">
        <v>1.0</v>
      </c>
      <c r="AB493" s="1">
        <v>1.0</v>
      </c>
      <c r="AE493" s="1">
        <v>821102.0</v>
      </c>
      <c r="AF493" s="1">
        <v>20408.0</v>
      </c>
    </row>
    <row r="494" ht="15.75" customHeight="1">
      <c r="A494" s="1">
        <v>493.0</v>
      </c>
      <c r="B494" s="1" t="s">
        <v>177</v>
      </c>
      <c r="C494" s="1" t="s">
        <v>1284</v>
      </c>
      <c r="AA494" s="1">
        <v>1.0</v>
      </c>
      <c r="AB494" s="1">
        <v>1.0</v>
      </c>
      <c r="AE494" s="1">
        <v>821138.0</v>
      </c>
      <c r="AF494" s="1">
        <v>20408.0</v>
      </c>
    </row>
    <row r="495" ht="15.75" customHeight="1">
      <c r="A495" s="1">
        <v>494.0</v>
      </c>
      <c r="B495" s="1" t="s">
        <v>137</v>
      </c>
      <c r="C495" s="1" t="s">
        <v>1285</v>
      </c>
      <c r="E495" s="1">
        <v>2000.0</v>
      </c>
      <c r="F495" s="1">
        <v>2000.0</v>
      </c>
      <c r="H495" s="1">
        <v>225.0</v>
      </c>
      <c r="R495" s="1">
        <v>2.0E8</v>
      </c>
      <c r="S495" s="1">
        <v>50.0</v>
      </c>
      <c r="X495" s="1" t="s">
        <v>564</v>
      </c>
      <c r="Y495" s="1" t="s">
        <v>471</v>
      </c>
      <c r="AB495" s="1">
        <v>1.0</v>
      </c>
      <c r="AE495" s="1">
        <v>51332.0</v>
      </c>
      <c r="AF495" s="1">
        <v>2282.0</v>
      </c>
      <c r="AG495" s="1">
        <v>14.0</v>
      </c>
      <c r="AL495" s="1">
        <v>59.0</v>
      </c>
      <c r="AO495" s="1">
        <v>211.0</v>
      </c>
    </row>
    <row r="496" ht="15.75" customHeight="1">
      <c r="A496" s="1">
        <v>495.0</v>
      </c>
      <c r="B496" s="1" t="s">
        <v>137</v>
      </c>
      <c r="C496" s="1" t="s">
        <v>1285</v>
      </c>
      <c r="E496" s="1">
        <v>4000.0</v>
      </c>
      <c r="H496" s="1">
        <v>225.0</v>
      </c>
      <c r="R496" s="1">
        <v>2.0E8</v>
      </c>
      <c r="S496" s="1">
        <v>50.0</v>
      </c>
      <c r="X496" s="1" t="s">
        <v>564</v>
      </c>
      <c r="Y496" s="1" t="s">
        <v>471</v>
      </c>
      <c r="AB496" s="1">
        <v>1.0</v>
      </c>
      <c r="AE496" s="1">
        <v>332232.0</v>
      </c>
      <c r="AF496" s="1">
        <v>2278.0</v>
      </c>
      <c r="AG496" s="1">
        <v>6.0</v>
      </c>
      <c r="AL496" s="1">
        <v>55.0</v>
      </c>
      <c r="AO496" s="1">
        <v>177.0</v>
      </c>
    </row>
    <row r="497" ht="15.75" customHeight="1">
      <c r="A497" s="1">
        <v>496.0</v>
      </c>
      <c r="B497" s="1" t="s">
        <v>137</v>
      </c>
      <c r="C497" s="1" t="s">
        <v>1286</v>
      </c>
      <c r="E497" s="1">
        <v>1500.0</v>
      </c>
      <c r="F497" s="1">
        <v>2500.0</v>
      </c>
      <c r="H497" s="1">
        <v>225.0</v>
      </c>
      <c r="R497" s="1">
        <v>2.0E8</v>
      </c>
      <c r="S497" s="1">
        <v>50.0</v>
      </c>
      <c r="X497" s="1" t="s">
        <v>564</v>
      </c>
      <c r="Y497" s="1" t="s">
        <v>141</v>
      </c>
      <c r="AB497" s="1">
        <v>1.0</v>
      </c>
      <c r="AE497" s="1">
        <v>332204.0</v>
      </c>
      <c r="AF497" s="1">
        <v>2278.0</v>
      </c>
      <c r="AG497" s="1">
        <v>1.0</v>
      </c>
      <c r="AH497" s="1">
        <v>28.0</v>
      </c>
      <c r="AI497" s="1">
        <v>113.0</v>
      </c>
      <c r="AJ497" s="1">
        <v>216.0</v>
      </c>
      <c r="AK497" s="1">
        <v>180.0</v>
      </c>
      <c r="AL497" s="1">
        <v>31.0</v>
      </c>
      <c r="AO497" s="1">
        <v>212.0</v>
      </c>
    </row>
    <row r="498" ht="15.75" customHeight="1">
      <c r="A498" s="1">
        <v>497.0</v>
      </c>
      <c r="B498" s="1" t="s">
        <v>137</v>
      </c>
      <c r="C498" s="1" t="s">
        <v>1286</v>
      </c>
      <c r="F498" s="1">
        <v>4000.0</v>
      </c>
      <c r="H498" s="1">
        <v>225.0</v>
      </c>
      <c r="R498" s="1">
        <v>2.0E8</v>
      </c>
      <c r="S498" s="1">
        <v>50.0</v>
      </c>
      <c r="X498" s="1" t="s">
        <v>564</v>
      </c>
      <c r="Y498" s="1" t="s">
        <v>141</v>
      </c>
      <c r="AB498" s="1">
        <v>1.0</v>
      </c>
      <c r="AE498" s="1">
        <v>332204.0</v>
      </c>
      <c r="AF498" s="1">
        <v>2278.0</v>
      </c>
      <c r="AG498" s="1">
        <v>1.0</v>
      </c>
      <c r="AH498" s="1">
        <v>224.0</v>
      </c>
      <c r="AI498" s="1">
        <v>27.0</v>
      </c>
      <c r="AJ498" s="1">
        <v>36.0</v>
      </c>
      <c r="AK498" s="1">
        <v>180.0</v>
      </c>
      <c r="AL498" s="1">
        <v>47.0</v>
      </c>
      <c r="AO498" s="1">
        <v>70.0</v>
      </c>
    </row>
    <row r="499" ht="15.75" customHeight="1">
      <c r="A499" s="1">
        <v>498.0</v>
      </c>
      <c r="B499" s="1" t="s">
        <v>137</v>
      </c>
      <c r="C499" s="1" t="s">
        <v>1287</v>
      </c>
      <c r="E499" s="1">
        <v>2500.0</v>
      </c>
      <c r="F499" s="1">
        <v>2500.0</v>
      </c>
      <c r="H499" s="1">
        <v>450.0</v>
      </c>
      <c r="R499" s="1">
        <v>2.0E8</v>
      </c>
      <c r="S499" s="1">
        <v>50.0</v>
      </c>
      <c r="X499" s="1" t="s">
        <v>140</v>
      </c>
      <c r="Y499" s="1" t="s">
        <v>471</v>
      </c>
      <c r="AB499" s="1">
        <v>1.0</v>
      </c>
      <c r="AE499" s="1">
        <v>332231.0</v>
      </c>
      <c r="AF499" s="1">
        <v>2278.0</v>
      </c>
      <c r="AG499" s="1">
        <v>11.0</v>
      </c>
      <c r="AL499" s="1">
        <v>59.0</v>
      </c>
      <c r="AO499" s="1">
        <v>213.0</v>
      </c>
    </row>
    <row r="500" ht="15.75" customHeight="1">
      <c r="A500" s="1">
        <v>499.0</v>
      </c>
      <c r="B500" s="1" t="s">
        <v>137</v>
      </c>
      <c r="C500" s="1" t="s">
        <v>1287</v>
      </c>
      <c r="E500" s="1">
        <v>5000.0</v>
      </c>
      <c r="H500" s="1">
        <v>450.0</v>
      </c>
      <c r="R500" s="1">
        <v>2.0E8</v>
      </c>
      <c r="S500" s="1">
        <v>50.0</v>
      </c>
      <c r="X500" s="1" t="s">
        <v>140</v>
      </c>
      <c r="Y500" s="1" t="s">
        <v>471</v>
      </c>
      <c r="AB500" s="1">
        <v>1.0</v>
      </c>
      <c r="AE500" s="1">
        <v>332231.0</v>
      </c>
      <c r="AF500" s="1">
        <v>2278.0</v>
      </c>
      <c r="AG500" s="1">
        <v>11.0</v>
      </c>
      <c r="AH500" s="1">
        <v>66.0</v>
      </c>
      <c r="AI500" s="1">
        <v>69.0</v>
      </c>
      <c r="AJ500" s="1">
        <v>189.0</v>
      </c>
      <c r="AK500" s="1">
        <v>120.0</v>
      </c>
      <c r="AL500" s="1">
        <v>55.0</v>
      </c>
      <c r="AO500" s="1">
        <v>214.0</v>
      </c>
    </row>
    <row r="501" ht="15.75" customHeight="1">
      <c r="A501" s="1">
        <v>500.0</v>
      </c>
      <c r="B501" s="1" t="s">
        <v>137</v>
      </c>
      <c r="C501" s="1" t="s">
        <v>1288</v>
      </c>
      <c r="E501" s="1">
        <v>3000.0</v>
      </c>
      <c r="F501" s="1">
        <v>2000.0</v>
      </c>
      <c r="H501" s="1">
        <v>450.0</v>
      </c>
      <c r="R501" s="1">
        <v>2.0E8</v>
      </c>
      <c r="S501" s="1">
        <v>50.0</v>
      </c>
      <c r="X501" s="1" t="s">
        <v>140</v>
      </c>
      <c r="Y501" s="1" t="s">
        <v>141</v>
      </c>
      <c r="AB501" s="1">
        <v>1.0</v>
      </c>
      <c r="AE501" s="1">
        <v>332245.0</v>
      </c>
      <c r="AF501" s="1">
        <v>2278.0</v>
      </c>
      <c r="AG501" s="1">
        <v>15.0</v>
      </c>
      <c r="AH501" s="1">
        <v>49.0</v>
      </c>
      <c r="AI501" s="1">
        <v>65.0</v>
      </c>
      <c r="AJ501" s="1">
        <v>148.0</v>
      </c>
      <c r="AK501" s="1">
        <v>160.0</v>
      </c>
      <c r="AL501" s="1">
        <v>31.0</v>
      </c>
      <c r="AO501" s="1">
        <v>215.0</v>
      </c>
    </row>
    <row r="502" ht="15.75" customHeight="1">
      <c r="A502" s="1">
        <v>501.0</v>
      </c>
      <c r="B502" s="1" t="s">
        <v>137</v>
      </c>
      <c r="C502" s="1" t="s">
        <v>1288</v>
      </c>
      <c r="F502" s="1">
        <v>5000.0</v>
      </c>
      <c r="H502" s="1">
        <v>450.0</v>
      </c>
      <c r="R502" s="1">
        <v>2.0E8</v>
      </c>
      <c r="S502" s="1">
        <v>50.0</v>
      </c>
      <c r="X502" s="1" t="s">
        <v>140</v>
      </c>
      <c r="Y502" s="1" t="s">
        <v>141</v>
      </c>
      <c r="AB502" s="1">
        <v>1.0</v>
      </c>
      <c r="AE502" s="1">
        <v>332245.0</v>
      </c>
      <c r="AF502" s="1">
        <v>2278.0</v>
      </c>
      <c r="AG502" s="1">
        <v>15.0</v>
      </c>
      <c r="AH502" s="1">
        <v>192.0</v>
      </c>
      <c r="AI502" s="1">
        <v>28.0</v>
      </c>
      <c r="AJ502" s="1">
        <v>40.0</v>
      </c>
      <c r="AK502" s="1">
        <v>180.0</v>
      </c>
      <c r="AL502" s="1">
        <v>47.0</v>
      </c>
      <c r="AO502" s="1">
        <v>215.0</v>
      </c>
    </row>
    <row r="503" ht="15.75" customHeight="1">
      <c r="A503" s="1">
        <v>502.0</v>
      </c>
      <c r="B503" s="1" t="s">
        <v>148</v>
      </c>
      <c r="C503" s="1" t="s">
        <v>1289</v>
      </c>
      <c r="E503" s="1">
        <v>1500.0</v>
      </c>
      <c r="F503" s="1">
        <v>1500.0</v>
      </c>
      <c r="R503" s="1">
        <v>2.0E8</v>
      </c>
      <c r="S503" s="1">
        <v>50.0</v>
      </c>
      <c r="V503" s="1">
        <v>200.0</v>
      </c>
      <c r="X503" s="1" t="s">
        <v>153</v>
      </c>
      <c r="Y503" s="1" t="s">
        <v>208</v>
      </c>
      <c r="AA503" s="1">
        <v>1.0</v>
      </c>
      <c r="AC503" s="1">
        <v>1.0</v>
      </c>
      <c r="AE503" s="1">
        <v>331371.0</v>
      </c>
      <c r="AF503" s="1">
        <v>2269.0</v>
      </c>
      <c r="AG503" s="1">
        <v>90.0</v>
      </c>
      <c r="AH503" s="1">
        <v>100.0</v>
      </c>
      <c r="AI503" s="1">
        <v>100.0</v>
      </c>
      <c r="AJ503" s="1">
        <v>150.0</v>
      </c>
      <c r="AK503" s="1">
        <v>150.0</v>
      </c>
      <c r="AL503" s="1">
        <v>59.0</v>
      </c>
      <c r="AO503" s="1">
        <v>216.0</v>
      </c>
    </row>
    <row r="504" ht="15.75" customHeight="1">
      <c r="A504" s="1">
        <v>503.0</v>
      </c>
      <c r="B504" s="1" t="s">
        <v>148</v>
      </c>
      <c r="C504" s="1" t="s">
        <v>1290</v>
      </c>
      <c r="E504" s="1">
        <v>1000.0</v>
      </c>
      <c r="F504" s="1">
        <v>1000.0</v>
      </c>
      <c r="H504" s="1">
        <v>200.0</v>
      </c>
      <c r="R504" s="1">
        <v>2.0E8</v>
      </c>
      <c r="S504" s="1">
        <v>50.0</v>
      </c>
      <c r="V504" s="1">
        <v>0.0</v>
      </c>
      <c r="X504" s="1" t="s">
        <v>604</v>
      </c>
      <c r="AA504" s="1">
        <v>1.0</v>
      </c>
      <c r="AC504" s="1">
        <v>1.0</v>
      </c>
      <c r="AE504" s="1">
        <v>332222.0</v>
      </c>
      <c r="AF504" s="1">
        <v>2278.0</v>
      </c>
      <c r="AG504" s="1">
        <v>18.0</v>
      </c>
      <c r="AH504" s="1">
        <v>100.0</v>
      </c>
      <c r="AI504" s="1">
        <v>100.0</v>
      </c>
      <c r="AJ504" s="1">
        <v>150.0</v>
      </c>
      <c r="AK504" s="1">
        <v>150.0</v>
      </c>
      <c r="AL504" s="1">
        <v>59.0</v>
      </c>
      <c r="AN504" s="1">
        <v>4.0</v>
      </c>
      <c r="AO504" s="1">
        <v>215.0</v>
      </c>
    </row>
    <row r="505" ht="15.75" customHeight="1">
      <c r="A505" s="1">
        <v>504.0</v>
      </c>
      <c r="B505" s="1" t="s">
        <v>148</v>
      </c>
      <c r="C505" s="1" t="s">
        <v>1291</v>
      </c>
      <c r="F505" s="1">
        <v>5000.0</v>
      </c>
      <c r="R505" s="1">
        <v>2.0E8</v>
      </c>
      <c r="S505" s="1">
        <v>50.0</v>
      </c>
      <c r="V505" s="1">
        <v>150.0</v>
      </c>
      <c r="X505" s="1" t="s">
        <v>202</v>
      </c>
      <c r="Y505" s="1" t="s">
        <v>937</v>
      </c>
      <c r="AA505" s="1">
        <v>1.0</v>
      </c>
      <c r="AC505" s="1">
        <v>1.0</v>
      </c>
      <c r="AE505" s="1">
        <v>331349.0</v>
      </c>
      <c r="AF505" s="1">
        <v>2269.0</v>
      </c>
      <c r="AG505" s="1">
        <v>61.0</v>
      </c>
      <c r="AH505" s="1">
        <v>100.0</v>
      </c>
      <c r="AI505" s="1">
        <v>100.0</v>
      </c>
      <c r="AJ505" s="1">
        <v>150.0</v>
      </c>
      <c r="AK505" s="1">
        <v>150.0</v>
      </c>
      <c r="AL505" s="1">
        <v>47.0</v>
      </c>
      <c r="AN505" s="1">
        <v>6.0</v>
      </c>
      <c r="AO505" s="1">
        <v>217.0</v>
      </c>
    </row>
    <row r="506" ht="15.75" customHeight="1">
      <c r="A506" s="1">
        <v>505.0</v>
      </c>
      <c r="B506" s="1" t="s">
        <v>148</v>
      </c>
      <c r="C506" s="1" t="s">
        <v>1292</v>
      </c>
      <c r="E506" s="1">
        <v>5000.0</v>
      </c>
      <c r="H506" s="1">
        <v>275.0</v>
      </c>
      <c r="R506" s="1">
        <v>2.0E8</v>
      </c>
      <c r="S506" s="1">
        <v>50.0</v>
      </c>
      <c r="V506" s="1">
        <v>250.0</v>
      </c>
      <c r="X506" s="1" t="s">
        <v>202</v>
      </c>
      <c r="Y506" s="1" t="s">
        <v>937</v>
      </c>
      <c r="AA506" s="1">
        <v>1.0</v>
      </c>
      <c r="AC506" s="1">
        <v>1.0</v>
      </c>
      <c r="AE506" s="1">
        <v>331382.0</v>
      </c>
      <c r="AF506" s="1">
        <v>2269.0</v>
      </c>
      <c r="AG506" s="1">
        <v>107.0</v>
      </c>
      <c r="AH506" s="1">
        <v>100.0</v>
      </c>
      <c r="AI506" s="1">
        <v>100.0</v>
      </c>
      <c r="AJ506" s="1">
        <v>150.0</v>
      </c>
      <c r="AK506" s="1">
        <v>150.0</v>
      </c>
      <c r="AL506" s="1">
        <v>55.0</v>
      </c>
      <c r="AN506" s="1">
        <v>6.0</v>
      </c>
      <c r="AO506" s="1">
        <v>218.0</v>
      </c>
    </row>
    <row r="507" ht="15.75" customHeight="1">
      <c r="A507" s="1">
        <v>506.0</v>
      </c>
      <c r="B507" s="1" t="s">
        <v>148</v>
      </c>
      <c r="C507" s="1" t="s">
        <v>1293</v>
      </c>
      <c r="E507" s="1">
        <v>1000.0</v>
      </c>
      <c r="F507" s="1">
        <v>2000.0</v>
      </c>
      <c r="R507" s="1">
        <v>2.0E8</v>
      </c>
      <c r="S507" s="1">
        <v>50.0</v>
      </c>
      <c r="V507" s="1">
        <v>150.0</v>
      </c>
      <c r="X507" s="1" t="s">
        <v>153</v>
      </c>
      <c r="Y507" s="1" t="s">
        <v>155</v>
      </c>
      <c r="AA507" s="1">
        <v>1.0</v>
      </c>
      <c r="AC507" s="1">
        <v>1.0</v>
      </c>
      <c r="AE507" s="1">
        <v>331358.0</v>
      </c>
      <c r="AF507" s="1">
        <v>2269.0</v>
      </c>
      <c r="AG507" s="1">
        <v>75.0</v>
      </c>
      <c r="AH507" s="1">
        <v>100.0</v>
      </c>
      <c r="AI507" s="1">
        <v>100.0</v>
      </c>
      <c r="AJ507" s="1">
        <v>150.0</v>
      </c>
      <c r="AK507" s="1">
        <v>150.0</v>
      </c>
      <c r="AL507" s="1">
        <v>31.0</v>
      </c>
      <c r="AN507" s="1">
        <v>4.0</v>
      </c>
      <c r="AO507" s="1">
        <v>77.0</v>
      </c>
    </row>
    <row r="508" ht="15.75" customHeight="1">
      <c r="A508" s="1">
        <v>507.0</v>
      </c>
      <c r="B508" s="1" t="s">
        <v>137</v>
      </c>
      <c r="C508" s="1" t="s">
        <v>1294</v>
      </c>
      <c r="E508" s="1">
        <v>1000.0</v>
      </c>
      <c r="F508" s="1">
        <v>1000.0</v>
      </c>
      <c r="H508" s="1">
        <v>200.0</v>
      </c>
      <c r="R508" s="1">
        <v>2.0E8</v>
      </c>
      <c r="S508" s="1">
        <v>50.0</v>
      </c>
      <c r="V508" s="1">
        <v>0.0</v>
      </c>
      <c r="X508" s="1" t="s">
        <v>604</v>
      </c>
      <c r="AA508" s="1">
        <v>1.0</v>
      </c>
      <c r="AC508" s="1">
        <v>1.0</v>
      </c>
      <c r="AE508" s="1">
        <v>820259.0</v>
      </c>
      <c r="AF508" s="1">
        <v>20399.0</v>
      </c>
      <c r="AG508" s="1">
        <v>263.0</v>
      </c>
      <c r="AH508" s="1">
        <v>100.0</v>
      </c>
      <c r="AI508" s="1">
        <v>100.0</v>
      </c>
      <c r="AJ508" s="1">
        <v>150.0</v>
      </c>
      <c r="AK508" s="1">
        <v>150.0</v>
      </c>
      <c r="AL508" s="1">
        <v>31.0</v>
      </c>
      <c r="AN508" s="1">
        <v>4.0</v>
      </c>
      <c r="AO508" s="1">
        <v>215.0</v>
      </c>
    </row>
    <row r="509" ht="15.75" customHeight="1">
      <c r="A509" s="1">
        <v>508.0</v>
      </c>
      <c r="B509" s="1" t="s">
        <v>137</v>
      </c>
      <c r="C509" s="1" t="s">
        <v>1295</v>
      </c>
      <c r="E509" s="1">
        <v>1000.0</v>
      </c>
      <c r="F509" s="1">
        <v>1000.0</v>
      </c>
      <c r="H509" s="1">
        <v>100.0</v>
      </c>
      <c r="R509" s="1">
        <v>2.0E8</v>
      </c>
      <c r="S509" s="1">
        <v>50.0</v>
      </c>
      <c r="X509" s="1" t="s">
        <v>715</v>
      </c>
      <c r="AA509" s="1">
        <v>1.0</v>
      </c>
      <c r="AC509" s="1">
        <v>1.0</v>
      </c>
      <c r="AE509" s="1">
        <v>820236.0</v>
      </c>
      <c r="AF509" s="1">
        <v>20399.0</v>
      </c>
      <c r="AO509" s="1">
        <v>219.0</v>
      </c>
    </row>
    <row r="510" ht="15.75" customHeight="1">
      <c r="A510" s="1">
        <v>509.0</v>
      </c>
      <c r="B510" s="1" t="s">
        <v>137</v>
      </c>
      <c r="C510" s="1" t="s">
        <v>1296</v>
      </c>
      <c r="E510" s="1">
        <v>2000.0</v>
      </c>
      <c r="F510" s="1">
        <v>2000.0</v>
      </c>
      <c r="H510" s="1">
        <v>80.0</v>
      </c>
      <c r="R510" s="1">
        <v>2.0E8</v>
      </c>
      <c r="S510" s="1">
        <v>50.0</v>
      </c>
      <c r="X510" s="1" t="s">
        <v>737</v>
      </c>
      <c r="AA510" s="1">
        <v>1.0</v>
      </c>
      <c r="AC510" s="1">
        <v>1.0</v>
      </c>
      <c r="AE510" s="1">
        <v>820201.0</v>
      </c>
      <c r="AF510" s="1">
        <v>20399.0</v>
      </c>
      <c r="AO510" s="1">
        <v>219.0</v>
      </c>
    </row>
    <row r="511" ht="15.75" customHeight="1">
      <c r="A511" s="1">
        <v>510.0</v>
      </c>
      <c r="B511" s="1" t="s">
        <v>137</v>
      </c>
      <c r="C511" s="1" t="s">
        <v>1297</v>
      </c>
      <c r="E511" s="1">
        <v>2000.0</v>
      </c>
      <c r="F511" s="1">
        <v>2000.0</v>
      </c>
      <c r="H511" s="1">
        <v>80.0</v>
      </c>
      <c r="R511" s="1">
        <v>2.0E8</v>
      </c>
      <c r="S511" s="1">
        <v>50.0</v>
      </c>
      <c r="X511" s="1" t="s">
        <v>308</v>
      </c>
      <c r="AA511" s="1">
        <v>1.0</v>
      </c>
      <c r="AC511" s="1">
        <v>1.0</v>
      </c>
      <c r="AE511" s="1">
        <v>820210.0</v>
      </c>
      <c r="AF511" s="1">
        <v>20399.0</v>
      </c>
      <c r="AO511" s="1">
        <v>219.0</v>
      </c>
    </row>
    <row r="512" ht="15.75" customHeight="1">
      <c r="A512" s="1">
        <v>511.0</v>
      </c>
      <c r="B512" s="1" t="s">
        <v>137</v>
      </c>
      <c r="C512" s="1" t="s">
        <v>1298</v>
      </c>
      <c r="E512" s="1">
        <v>2000.0</v>
      </c>
      <c r="F512" s="1">
        <v>2000.0</v>
      </c>
      <c r="H512" s="1">
        <v>75.0</v>
      </c>
      <c r="R512" s="1">
        <v>2.0E8</v>
      </c>
      <c r="S512" s="1">
        <v>50.0</v>
      </c>
      <c r="X512" s="1" t="s">
        <v>709</v>
      </c>
      <c r="AA512" s="1">
        <v>1.0</v>
      </c>
      <c r="AC512" s="1">
        <v>1.0</v>
      </c>
      <c r="AE512" s="1">
        <v>820086.0</v>
      </c>
      <c r="AF512" s="1">
        <v>20397.0</v>
      </c>
      <c r="AO512" s="1">
        <v>215.0</v>
      </c>
    </row>
    <row r="513" ht="15.75" customHeight="1">
      <c r="A513" s="1">
        <v>512.0</v>
      </c>
      <c r="B513" s="1" t="s">
        <v>177</v>
      </c>
      <c r="C513" s="1" t="s">
        <v>1299</v>
      </c>
      <c r="AA513" s="1">
        <v>1.0</v>
      </c>
      <c r="AB513" s="1">
        <v>1.0</v>
      </c>
      <c r="AE513" s="1">
        <v>820173.0</v>
      </c>
      <c r="AF513" s="1">
        <v>20398.0</v>
      </c>
    </row>
    <row r="514" ht="15.75" customHeight="1">
      <c r="A514" s="1">
        <v>513.0</v>
      </c>
      <c r="B514" s="1" t="s">
        <v>177</v>
      </c>
      <c r="C514" s="1" t="s">
        <v>1299</v>
      </c>
      <c r="AA514" s="1">
        <v>1.0</v>
      </c>
      <c r="AB514" s="1">
        <v>1.0</v>
      </c>
      <c r="AE514" s="1">
        <v>820174.0</v>
      </c>
      <c r="AF514" s="1">
        <v>20398.0</v>
      </c>
    </row>
    <row r="515" ht="15.75" customHeight="1">
      <c r="A515" s="1">
        <v>514.0</v>
      </c>
      <c r="B515" s="1" t="s">
        <v>177</v>
      </c>
      <c r="C515" s="1" t="s">
        <v>1299</v>
      </c>
      <c r="AA515" s="1">
        <v>1.0</v>
      </c>
      <c r="AB515" s="1">
        <v>1.0</v>
      </c>
      <c r="AE515" s="1">
        <v>820175.0</v>
      </c>
      <c r="AF515" s="1">
        <v>20398.0</v>
      </c>
    </row>
    <row r="516" ht="15.75" customHeight="1">
      <c r="A516" s="1">
        <v>515.0</v>
      </c>
      <c r="B516" s="1" t="s">
        <v>177</v>
      </c>
      <c r="C516" s="1" t="s">
        <v>1299</v>
      </c>
      <c r="AA516" s="1">
        <v>1.0</v>
      </c>
      <c r="AB516" s="1">
        <v>1.0</v>
      </c>
      <c r="AE516" s="1">
        <v>820176.0</v>
      </c>
      <c r="AF516" s="1">
        <v>20398.0</v>
      </c>
    </row>
    <row r="517" ht="15.75" customHeight="1">
      <c r="A517" s="1">
        <v>516.0</v>
      </c>
      <c r="B517" s="1" t="s">
        <v>177</v>
      </c>
      <c r="C517" s="1" t="s">
        <v>1083</v>
      </c>
      <c r="AA517" s="1">
        <v>1.0</v>
      </c>
      <c r="AB517" s="1">
        <v>1.0</v>
      </c>
      <c r="AE517" s="1">
        <v>820172.0</v>
      </c>
      <c r="AF517" s="1">
        <v>20398.0</v>
      </c>
    </row>
    <row r="518" ht="15.75" customHeight="1">
      <c r="A518" s="1">
        <v>517.0</v>
      </c>
      <c r="B518" s="1" t="s">
        <v>190</v>
      </c>
      <c r="C518" s="1" t="s">
        <v>1300</v>
      </c>
      <c r="R518" s="1">
        <v>2.0E8</v>
      </c>
      <c r="S518" s="1">
        <v>50.0</v>
      </c>
      <c r="AA518" s="1">
        <v>1.0</v>
      </c>
      <c r="AB518" s="1">
        <v>1.0</v>
      </c>
      <c r="AE518" s="1">
        <v>820152.0</v>
      </c>
      <c r="AF518" s="1">
        <v>20398.0</v>
      </c>
      <c r="AL518" s="1">
        <v>55.0</v>
      </c>
      <c r="AQ518" s="1">
        <v>135.0</v>
      </c>
    </row>
    <row r="519" ht="15.75" customHeight="1">
      <c r="A519" s="1">
        <v>518.0</v>
      </c>
      <c r="B519" s="1" t="s">
        <v>190</v>
      </c>
      <c r="C519" s="1" t="s">
        <v>1301</v>
      </c>
      <c r="R519" s="1">
        <v>2.0E8</v>
      </c>
      <c r="S519" s="1">
        <v>50.0</v>
      </c>
      <c r="AA519" s="1">
        <v>1.0</v>
      </c>
      <c r="AB519" s="1">
        <v>1.0</v>
      </c>
      <c r="AE519" s="1">
        <v>820154.0</v>
      </c>
      <c r="AF519" s="1">
        <v>20398.0</v>
      </c>
      <c r="AL519" s="1">
        <v>47.0</v>
      </c>
      <c r="AQ519" s="1">
        <v>133.0</v>
      </c>
    </row>
    <row r="520" ht="15.75" customHeight="1">
      <c r="A520" s="1">
        <v>519.0</v>
      </c>
      <c r="B520" s="1" t="s">
        <v>190</v>
      </c>
      <c r="C520" s="1" t="s">
        <v>1302</v>
      </c>
      <c r="R520" s="1">
        <v>2.0E8</v>
      </c>
      <c r="S520" s="1">
        <v>50.0</v>
      </c>
      <c r="AA520" s="1">
        <v>1.0</v>
      </c>
      <c r="AB520" s="1">
        <v>1.0</v>
      </c>
      <c r="AE520" s="1">
        <v>820153.0</v>
      </c>
      <c r="AF520" s="1">
        <v>20398.0</v>
      </c>
      <c r="AL520" s="1">
        <v>59.0</v>
      </c>
      <c r="AQ520" s="1">
        <v>132.0</v>
      </c>
    </row>
    <row r="521" ht="15.75" customHeight="1">
      <c r="A521" s="1">
        <v>520.0</v>
      </c>
      <c r="B521" s="1" t="s">
        <v>190</v>
      </c>
      <c r="C521" s="1" t="s">
        <v>1303</v>
      </c>
      <c r="R521" s="1">
        <v>2.0E8</v>
      </c>
      <c r="S521" s="1">
        <v>50.0</v>
      </c>
      <c r="AA521" s="1">
        <v>1.0</v>
      </c>
      <c r="AB521" s="1">
        <v>1.0</v>
      </c>
      <c r="AE521" s="1">
        <v>820155.0</v>
      </c>
      <c r="AF521" s="1">
        <v>20398.0</v>
      </c>
      <c r="AL521" s="1">
        <v>31.0</v>
      </c>
      <c r="AQ521" s="1">
        <v>134.0</v>
      </c>
    </row>
    <row r="522" ht="15.75" customHeight="1">
      <c r="A522" s="1">
        <v>521.0</v>
      </c>
      <c r="B522" s="1" t="s">
        <v>163</v>
      </c>
      <c r="C522" s="1" t="s">
        <v>979</v>
      </c>
      <c r="AE522" s="1">
        <v>821122.0</v>
      </c>
      <c r="AF522" s="1">
        <v>20408.0</v>
      </c>
      <c r="AH522" s="1">
        <v>255.0</v>
      </c>
      <c r="AJ522" s="1">
        <v>125.0</v>
      </c>
      <c r="AK522" s="1">
        <v>180.0</v>
      </c>
      <c r="AM522" s="1">
        <v>99.0</v>
      </c>
      <c r="AO522" s="1">
        <v>224.0</v>
      </c>
    </row>
    <row r="523" ht="15.75" customHeight="1">
      <c r="A523" s="1">
        <v>522.0</v>
      </c>
      <c r="B523" s="1" t="s">
        <v>163</v>
      </c>
      <c r="C523" s="1" t="s">
        <v>982</v>
      </c>
      <c r="AE523" s="1">
        <v>821122.0</v>
      </c>
      <c r="AF523" s="1">
        <v>20408.0</v>
      </c>
      <c r="AH523" s="1">
        <v>234.0</v>
      </c>
      <c r="AI523" s="1">
        <v>139.0</v>
      </c>
      <c r="AJ523" s="1">
        <v>173.0</v>
      </c>
      <c r="AK523" s="1">
        <v>180.0</v>
      </c>
      <c r="AM523" s="1">
        <v>99.0</v>
      </c>
      <c r="AO523" s="1">
        <v>225.0</v>
      </c>
    </row>
    <row r="524" ht="15.75" customHeight="1">
      <c r="A524" s="1">
        <v>523.0</v>
      </c>
      <c r="B524" s="1" t="s">
        <v>190</v>
      </c>
      <c r="C524" s="1" t="s">
        <v>1304</v>
      </c>
      <c r="AE524" s="1">
        <v>820110.0</v>
      </c>
      <c r="AF524" s="1">
        <v>20398.0</v>
      </c>
      <c r="AQ524" s="1">
        <v>136.0</v>
      </c>
      <c r="AR524" s="1">
        <v>3.0</v>
      </c>
    </row>
    <row r="525" ht="15.75" customHeight="1">
      <c r="A525" s="1">
        <v>524.0</v>
      </c>
      <c r="B525" s="1" t="s">
        <v>190</v>
      </c>
      <c r="C525" s="1" t="s">
        <v>1305</v>
      </c>
      <c r="AE525" s="1">
        <v>820110.0</v>
      </c>
      <c r="AF525" s="1">
        <v>20398.0</v>
      </c>
      <c r="AQ525" s="1">
        <v>137.0</v>
      </c>
      <c r="AR525" s="1">
        <v>10.0</v>
      </c>
    </row>
    <row r="526" ht="15.75" customHeight="1">
      <c r="A526" s="1">
        <v>525.0</v>
      </c>
      <c r="B526" s="1" t="s">
        <v>190</v>
      </c>
      <c r="C526" s="1" t="s">
        <v>1306</v>
      </c>
      <c r="AE526" s="1">
        <v>820110.0</v>
      </c>
      <c r="AF526" s="1">
        <v>20398.0</v>
      </c>
      <c r="AQ526" s="1">
        <v>138.0</v>
      </c>
      <c r="AR526" s="1">
        <v>3.0</v>
      </c>
    </row>
    <row r="527" ht="15.75" customHeight="1">
      <c r="A527" s="1">
        <v>526.0</v>
      </c>
      <c r="B527" s="1" t="s">
        <v>190</v>
      </c>
      <c r="C527" s="1" t="s">
        <v>1307</v>
      </c>
      <c r="AE527" s="1">
        <v>820110.0</v>
      </c>
      <c r="AF527" s="1">
        <v>20398.0</v>
      </c>
      <c r="AQ527" s="1">
        <v>139.0</v>
      </c>
      <c r="AR527" s="1">
        <v>10.0</v>
      </c>
    </row>
    <row r="528" ht="15.75" customHeight="1">
      <c r="A528" s="1">
        <v>527.0</v>
      </c>
      <c r="B528" s="1" t="s">
        <v>190</v>
      </c>
      <c r="C528" s="1" t="s">
        <v>1304</v>
      </c>
      <c r="Z528" s="1">
        <v>250000.0</v>
      </c>
      <c r="AE528" s="1">
        <v>820110.0</v>
      </c>
      <c r="AF528" s="1">
        <v>20398.0</v>
      </c>
      <c r="AQ528" s="1">
        <v>136.0</v>
      </c>
    </row>
    <row r="529" ht="15.75" customHeight="1">
      <c r="A529" s="1">
        <v>528.0</v>
      </c>
      <c r="B529" s="1" t="s">
        <v>190</v>
      </c>
      <c r="C529" s="1" t="s">
        <v>1305</v>
      </c>
      <c r="Z529" s="1">
        <v>400000.0</v>
      </c>
      <c r="AE529" s="1">
        <v>820110.0</v>
      </c>
      <c r="AF529" s="1">
        <v>20398.0</v>
      </c>
      <c r="AQ529" s="1">
        <v>137.0</v>
      </c>
    </row>
    <row r="530" ht="15.75" customHeight="1">
      <c r="A530" s="1">
        <v>529.0</v>
      </c>
      <c r="B530" s="1" t="s">
        <v>190</v>
      </c>
      <c r="C530" s="1" t="s">
        <v>1306</v>
      </c>
      <c r="Z530" s="1">
        <v>250000.0</v>
      </c>
      <c r="AE530" s="1">
        <v>820110.0</v>
      </c>
      <c r="AF530" s="1">
        <v>20398.0</v>
      </c>
      <c r="AQ530" s="1">
        <v>138.0</v>
      </c>
    </row>
    <row r="531" ht="15.75" customHeight="1">
      <c r="A531" s="1">
        <v>530.0</v>
      </c>
      <c r="B531" s="1" t="s">
        <v>190</v>
      </c>
      <c r="C531" s="1" t="s">
        <v>1307</v>
      </c>
      <c r="Z531" s="1">
        <v>400000.0</v>
      </c>
      <c r="AE531" s="1">
        <v>820110.0</v>
      </c>
      <c r="AF531" s="1">
        <v>20398.0</v>
      </c>
      <c r="AQ531" s="1">
        <v>139.0</v>
      </c>
    </row>
    <row r="532" ht="15.75" customHeight="1">
      <c r="A532" s="1">
        <v>531.0</v>
      </c>
      <c r="B532" s="1" t="s">
        <v>190</v>
      </c>
      <c r="C532" s="1" t="s">
        <v>1308</v>
      </c>
      <c r="D532" s="1" t="s">
        <v>1309</v>
      </c>
      <c r="AE532" s="1">
        <v>820110.0</v>
      </c>
      <c r="AF532" s="1">
        <v>20398.0</v>
      </c>
      <c r="AQ532" s="1">
        <v>140.0</v>
      </c>
      <c r="AR532" s="1">
        <v>30.0</v>
      </c>
    </row>
    <row r="533" ht="15.75" customHeight="1">
      <c r="A533" s="1">
        <v>532.0</v>
      </c>
      <c r="B533" s="1" t="s">
        <v>190</v>
      </c>
      <c r="C533" s="1" t="s">
        <v>1310</v>
      </c>
      <c r="AE533" s="1">
        <v>820110.0</v>
      </c>
      <c r="AF533" s="1">
        <v>20398.0</v>
      </c>
      <c r="AQ533" s="1">
        <v>141.0</v>
      </c>
    </row>
    <row r="534" ht="15.75" customHeight="1">
      <c r="A534" s="1">
        <v>533.0</v>
      </c>
      <c r="B534" s="1" t="s">
        <v>190</v>
      </c>
      <c r="C534" s="1" t="s">
        <v>1311</v>
      </c>
      <c r="AE534" s="1">
        <v>820110.0</v>
      </c>
      <c r="AF534" s="1">
        <v>20398.0</v>
      </c>
      <c r="AQ534" s="1">
        <v>142.0</v>
      </c>
    </row>
    <row r="535" ht="15.75" customHeight="1">
      <c r="A535" s="1">
        <v>534.0</v>
      </c>
      <c r="B535" s="1" t="s">
        <v>190</v>
      </c>
      <c r="C535" s="1" t="s">
        <v>1312</v>
      </c>
      <c r="AE535" s="1">
        <v>820110.0</v>
      </c>
      <c r="AF535" s="1">
        <v>20398.0</v>
      </c>
      <c r="AQ535" s="1">
        <v>143.0</v>
      </c>
    </row>
    <row r="536" ht="15.75" customHeight="1">
      <c r="A536" s="1">
        <v>535.0</v>
      </c>
      <c r="B536" s="1" t="s">
        <v>190</v>
      </c>
      <c r="C536" s="1" t="s">
        <v>1313</v>
      </c>
      <c r="AE536" s="1">
        <v>820110.0</v>
      </c>
      <c r="AF536" s="1">
        <v>20398.0</v>
      </c>
      <c r="AQ536" s="1">
        <v>144.0</v>
      </c>
    </row>
    <row r="537" ht="15.75" customHeight="1">
      <c r="A537" s="1">
        <v>536.0</v>
      </c>
      <c r="B537" s="1" t="s">
        <v>190</v>
      </c>
      <c r="C537" s="1" t="s">
        <v>1314</v>
      </c>
      <c r="AE537" s="1">
        <v>820110.0</v>
      </c>
      <c r="AF537" s="1">
        <v>20398.0</v>
      </c>
      <c r="AQ537" s="1">
        <v>145.0</v>
      </c>
    </row>
    <row r="538" ht="15.75" customHeight="1">
      <c r="A538" s="1">
        <v>537.0</v>
      </c>
      <c r="B538" s="1" t="s">
        <v>137</v>
      </c>
      <c r="C538" s="1" t="s">
        <v>1315</v>
      </c>
      <c r="E538" s="1">
        <v>200.0</v>
      </c>
      <c r="F538" s="1">
        <v>200.0</v>
      </c>
      <c r="H538" s="1">
        <v>200.0</v>
      </c>
      <c r="I538" s="1">
        <v>20.0</v>
      </c>
      <c r="J538" s="1">
        <v>20.0</v>
      </c>
      <c r="K538" s="1">
        <v>20.0</v>
      </c>
      <c r="L538" s="1">
        <v>20.0</v>
      </c>
      <c r="M538" s="1">
        <v>20.0</v>
      </c>
      <c r="N538" s="1">
        <v>20.0</v>
      </c>
      <c r="O538" s="1">
        <v>20.0</v>
      </c>
      <c r="P538" s="1">
        <v>20.0</v>
      </c>
      <c r="Q538" s="1">
        <v>20.0</v>
      </c>
      <c r="S538" s="1">
        <v>1.0</v>
      </c>
      <c r="X538" s="1" t="s">
        <v>140</v>
      </c>
      <c r="Y538" s="1" t="s">
        <v>141</v>
      </c>
      <c r="AE538" s="1">
        <v>332236.0</v>
      </c>
      <c r="AF538" s="1">
        <v>2278.0</v>
      </c>
      <c r="AG538" s="1">
        <v>12.0</v>
      </c>
      <c r="AH538" s="1">
        <v>25.0</v>
      </c>
      <c r="AI538" s="1">
        <v>28.0</v>
      </c>
      <c r="AJ538" s="1">
        <v>65.0</v>
      </c>
      <c r="AK538" s="1">
        <v>215.0</v>
      </c>
    </row>
    <row r="539" ht="15.75" customHeight="1">
      <c r="A539" s="1">
        <v>538.0</v>
      </c>
      <c r="B539" s="1" t="s">
        <v>137</v>
      </c>
      <c r="C539" s="1" t="s">
        <v>1316</v>
      </c>
      <c r="E539" s="1">
        <v>75.0</v>
      </c>
      <c r="F539" s="1">
        <v>150.0</v>
      </c>
      <c r="H539" s="1">
        <v>50.0</v>
      </c>
      <c r="I539" s="1">
        <v>10.0</v>
      </c>
      <c r="J539" s="1">
        <v>10.0</v>
      </c>
      <c r="K539" s="1">
        <v>10.0</v>
      </c>
      <c r="L539" s="1">
        <v>10.0</v>
      </c>
      <c r="S539" s="1">
        <v>1.0</v>
      </c>
      <c r="X539" s="1" t="s">
        <v>186</v>
      </c>
      <c r="Y539" s="1" t="s">
        <v>141</v>
      </c>
      <c r="Z539" s="1">
        <v>300000.0</v>
      </c>
      <c r="AE539" s="1">
        <v>332210.0</v>
      </c>
      <c r="AF539" s="1">
        <v>2278.0</v>
      </c>
      <c r="AG539" s="1">
        <v>4.0</v>
      </c>
      <c r="AK539" s="1">
        <v>160.0</v>
      </c>
      <c r="AO539" s="1">
        <v>71.0</v>
      </c>
    </row>
    <row r="540" ht="15.75" customHeight="1">
      <c r="A540" s="1">
        <v>539.0</v>
      </c>
      <c r="B540" s="1" t="s">
        <v>148</v>
      </c>
      <c r="C540" s="1" t="s">
        <v>1317</v>
      </c>
      <c r="E540" s="1">
        <v>600.0</v>
      </c>
      <c r="F540" s="1">
        <v>600.0</v>
      </c>
      <c r="J540" s="1">
        <v>10.0</v>
      </c>
      <c r="K540" s="1">
        <v>50.0</v>
      </c>
      <c r="L540" s="1">
        <v>10.0</v>
      </c>
      <c r="R540" s="1">
        <v>2.0E7</v>
      </c>
      <c r="S540" s="1">
        <v>50.0</v>
      </c>
      <c r="V540" s="1">
        <v>120.0</v>
      </c>
      <c r="X540" s="1" t="s">
        <v>153</v>
      </c>
      <c r="Y540" s="1" t="s">
        <v>211</v>
      </c>
      <c r="AA540" s="1">
        <v>1.0</v>
      </c>
      <c r="AC540" s="1">
        <v>1.0</v>
      </c>
      <c r="AE540" s="1">
        <v>331382.0</v>
      </c>
      <c r="AF540" s="1">
        <v>2269.0</v>
      </c>
      <c r="AG540" s="1">
        <v>107.0</v>
      </c>
      <c r="AK540" s="1">
        <v>160.0</v>
      </c>
      <c r="AL540" s="1">
        <v>59.0</v>
      </c>
      <c r="AN540" s="1">
        <v>4.0</v>
      </c>
      <c r="AO540" s="1">
        <v>162.0</v>
      </c>
    </row>
    <row r="541" ht="15.75" customHeight="1">
      <c r="A541" s="1">
        <v>540.0</v>
      </c>
      <c r="B541" s="1" t="s">
        <v>137</v>
      </c>
      <c r="C541" s="1" t="s">
        <v>1318</v>
      </c>
      <c r="F541" s="1">
        <v>100.0</v>
      </c>
      <c r="H541" s="1">
        <v>75.0</v>
      </c>
      <c r="I541" s="1">
        <v>3.0</v>
      </c>
      <c r="J541" s="1">
        <v>3.0</v>
      </c>
      <c r="K541" s="1">
        <v>3.0</v>
      </c>
      <c r="L541" s="1">
        <v>3.0</v>
      </c>
      <c r="M541" s="1">
        <v>10.0</v>
      </c>
      <c r="N541" s="1">
        <v>10.0</v>
      </c>
      <c r="O541" s="1">
        <v>10.0</v>
      </c>
      <c r="P541" s="1">
        <v>10.0</v>
      </c>
      <c r="Q541" s="1">
        <v>10.0</v>
      </c>
      <c r="S541" s="1">
        <v>1.0</v>
      </c>
      <c r="V541" s="1">
        <v>0.0</v>
      </c>
      <c r="X541" s="1" t="s">
        <v>604</v>
      </c>
      <c r="AE541" s="1">
        <v>332223.0</v>
      </c>
      <c r="AF541" s="1">
        <v>2278.0</v>
      </c>
      <c r="AG541" s="1">
        <v>17.0</v>
      </c>
      <c r="AK541" s="1">
        <v>160.0</v>
      </c>
      <c r="AN541" s="1">
        <v>4.0</v>
      </c>
      <c r="AO541" s="1">
        <v>71.0</v>
      </c>
    </row>
    <row r="542" ht="15.75" customHeight="1">
      <c r="A542" s="1">
        <v>541.0</v>
      </c>
      <c r="B542" s="1" t="s">
        <v>163</v>
      </c>
      <c r="C542" s="1" t="s">
        <v>1319</v>
      </c>
      <c r="AE542" s="1">
        <v>820607.0</v>
      </c>
      <c r="AF542" s="1">
        <v>20403.0</v>
      </c>
      <c r="AM542" s="1">
        <v>10.0</v>
      </c>
      <c r="AO542" s="1">
        <v>230.0</v>
      </c>
      <c r="AR542" s="1">
        <v>3.0</v>
      </c>
    </row>
    <row r="543" ht="15.75" customHeight="1">
      <c r="A543" s="1">
        <v>542.0</v>
      </c>
      <c r="B543" s="1" t="s">
        <v>137</v>
      </c>
      <c r="C543" s="1" t="s">
        <v>1320</v>
      </c>
      <c r="F543" s="1">
        <v>100.0</v>
      </c>
      <c r="H543" s="1">
        <v>75.0</v>
      </c>
      <c r="I543" s="1">
        <v>3.0</v>
      </c>
      <c r="J543" s="1">
        <v>3.0</v>
      </c>
      <c r="K543" s="1">
        <v>3.0</v>
      </c>
      <c r="L543" s="1">
        <v>3.0</v>
      </c>
      <c r="M543" s="1">
        <v>10.0</v>
      </c>
      <c r="N543" s="1">
        <v>10.0</v>
      </c>
      <c r="O543" s="1">
        <v>10.0</v>
      </c>
      <c r="P543" s="1">
        <v>10.0</v>
      </c>
      <c r="Q543" s="1">
        <v>10.0</v>
      </c>
      <c r="S543" s="1">
        <v>1.0</v>
      </c>
      <c r="V543" s="1">
        <v>0.0</v>
      </c>
      <c r="X543" s="1" t="s">
        <v>604</v>
      </c>
      <c r="AE543" s="1">
        <v>332277.0</v>
      </c>
      <c r="AF543" s="1">
        <v>2278.0</v>
      </c>
      <c r="AG543" s="1">
        <v>70.0</v>
      </c>
      <c r="AH543" s="1">
        <v>255.0</v>
      </c>
      <c r="AI543" s="1">
        <v>255.0</v>
      </c>
      <c r="AJ543" s="1">
        <v>255.0</v>
      </c>
      <c r="AK543" s="1">
        <v>185.0</v>
      </c>
      <c r="AN543" s="1">
        <v>4.0</v>
      </c>
      <c r="AO543" s="1">
        <v>71.0</v>
      </c>
    </row>
    <row r="544" ht="15.75" customHeight="1">
      <c r="A544" s="1">
        <v>543.0</v>
      </c>
      <c r="B544" s="1" t="s">
        <v>137</v>
      </c>
      <c r="C544" s="1" t="s">
        <v>1321</v>
      </c>
      <c r="E544" s="1">
        <v>75.0</v>
      </c>
      <c r="F544" s="1">
        <v>150.0</v>
      </c>
      <c r="H544" s="1">
        <v>50.0</v>
      </c>
      <c r="I544" s="1">
        <v>10.0</v>
      </c>
      <c r="J544" s="1">
        <v>10.0</v>
      </c>
      <c r="K544" s="1">
        <v>10.0</v>
      </c>
      <c r="L544" s="1">
        <v>10.0</v>
      </c>
      <c r="S544" s="1">
        <v>1.0</v>
      </c>
      <c r="X544" s="1" t="s">
        <v>186</v>
      </c>
      <c r="Y544" s="1" t="s">
        <v>141</v>
      </c>
      <c r="AE544" s="1">
        <v>332295.0</v>
      </c>
      <c r="AF544" s="1">
        <v>2278.0</v>
      </c>
      <c r="AG544" s="1">
        <v>54.0</v>
      </c>
      <c r="AH544" s="1">
        <v>255.0</v>
      </c>
      <c r="AI544" s="1">
        <v>255.0</v>
      </c>
      <c r="AJ544" s="1">
        <v>255.0</v>
      </c>
      <c r="AK544" s="1">
        <v>185.0</v>
      </c>
      <c r="AO544" s="1">
        <v>71.0</v>
      </c>
    </row>
    <row r="545" ht="15.75" customHeight="1">
      <c r="A545" s="1">
        <v>544.0</v>
      </c>
      <c r="B545" s="1" t="s">
        <v>137</v>
      </c>
      <c r="C545" s="1" t="s">
        <v>1322</v>
      </c>
      <c r="E545" s="1">
        <v>250.0</v>
      </c>
      <c r="F545" s="1">
        <v>1750.0</v>
      </c>
      <c r="H545" s="1">
        <v>200.0</v>
      </c>
      <c r="L545" s="1">
        <v>10.0</v>
      </c>
      <c r="R545" s="1">
        <v>2.0E7</v>
      </c>
      <c r="S545" s="1">
        <v>50.0</v>
      </c>
      <c r="X545" s="1" t="s">
        <v>140</v>
      </c>
      <c r="Y545" s="1" t="s">
        <v>141</v>
      </c>
      <c r="AA545" s="1">
        <v>1.0</v>
      </c>
      <c r="AC545" s="1">
        <v>1.0</v>
      </c>
      <c r="AE545" s="1">
        <v>332224.0</v>
      </c>
      <c r="AF545" s="1">
        <v>2278.0</v>
      </c>
      <c r="AG545" s="1">
        <v>9.0</v>
      </c>
      <c r="AK545" s="1">
        <v>185.0</v>
      </c>
      <c r="AL545" s="1">
        <v>15.0</v>
      </c>
    </row>
    <row r="546" ht="15.75" customHeight="1">
      <c r="A546" s="1">
        <v>545.0</v>
      </c>
      <c r="B546" s="1" t="s">
        <v>148</v>
      </c>
      <c r="C546" s="1" t="s">
        <v>1323</v>
      </c>
      <c r="E546" s="1">
        <v>125.0</v>
      </c>
      <c r="F546" s="1">
        <v>125.0</v>
      </c>
      <c r="S546" s="1">
        <v>50.0</v>
      </c>
      <c r="V546" s="1">
        <v>50.0</v>
      </c>
      <c r="X546" s="1" t="s">
        <v>153</v>
      </c>
      <c r="Y546" s="1" t="s">
        <v>211</v>
      </c>
      <c r="AA546" s="1">
        <v>1.0</v>
      </c>
      <c r="AB546" s="1">
        <v>1.0</v>
      </c>
      <c r="AC546" s="1">
        <v>1.0</v>
      </c>
      <c r="AE546" s="1">
        <v>331352.0</v>
      </c>
      <c r="AF546" s="1">
        <v>2269.0</v>
      </c>
      <c r="AG546" s="1">
        <v>64.0</v>
      </c>
      <c r="AH546" s="1">
        <v>255.0</v>
      </c>
      <c r="AI546" s="1">
        <v>255.0</v>
      </c>
      <c r="AJ546" s="1">
        <v>255.0</v>
      </c>
      <c r="AK546" s="1">
        <v>185.0</v>
      </c>
      <c r="AN546" s="1">
        <v>4.0</v>
      </c>
      <c r="AO546" s="1">
        <v>76.0</v>
      </c>
    </row>
    <row r="547" ht="15.75" customHeight="1">
      <c r="A547" s="1">
        <v>546.0</v>
      </c>
      <c r="B547" s="1" t="s">
        <v>163</v>
      </c>
      <c r="C547" s="1" t="s">
        <v>1001</v>
      </c>
      <c r="Z547" s="1">
        <v>100.0</v>
      </c>
      <c r="AE547" s="1">
        <v>821122.0</v>
      </c>
      <c r="AF547" s="1">
        <v>20408.0</v>
      </c>
      <c r="AI547" s="1">
        <v>255.0</v>
      </c>
      <c r="AK547" s="1">
        <v>180.0</v>
      </c>
      <c r="AM547" s="1">
        <v>99.0</v>
      </c>
      <c r="AO547" s="1">
        <v>236.0</v>
      </c>
    </row>
    <row r="548" ht="15.75" customHeight="1">
      <c r="A548" s="1">
        <v>547.0</v>
      </c>
      <c r="B548" s="1" t="s">
        <v>163</v>
      </c>
      <c r="C548" s="1" t="s">
        <v>1004</v>
      </c>
      <c r="Z548" s="1">
        <v>100.0</v>
      </c>
      <c r="AE548" s="1">
        <v>821122.0</v>
      </c>
      <c r="AF548" s="1">
        <v>20408.0</v>
      </c>
      <c r="AH548" s="1">
        <v>253.0</v>
      </c>
      <c r="AI548" s="1">
        <v>232.0</v>
      </c>
      <c r="AJ548" s="1">
        <v>80.0</v>
      </c>
      <c r="AK548" s="1">
        <v>160.0</v>
      </c>
      <c r="AM548" s="1">
        <v>99.0</v>
      </c>
      <c r="AO548" s="1">
        <v>237.0</v>
      </c>
    </row>
    <row r="549" ht="15.75" customHeight="1">
      <c r="A549" s="1">
        <v>548.0</v>
      </c>
      <c r="B549" s="1" t="s">
        <v>163</v>
      </c>
      <c r="C549" s="1" t="s">
        <v>1324</v>
      </c>
      <c r="AE549" s="1">
        <v>820118.0</v>
      </c>
      <c r="AF549" s="1">
        <v>20398.0</v>
      </c>
      <c r="AM549" s="1">
        <v>99.0</v>
      </c>
      <c r="AO549" s="1">
        <v>238.0</v>
      </c>
    </row>
    <row r="550" ht="15.75" customHeight="1">
      <c r="A550" s="1">
        <v>549.0</v>
      </c>
      <c r="B550" s="1" t="s">
        <v>137</v>
      </c>
      <c r="C550" s="1" t="s">
        <v>1325</v>
      </c>
      <c r="E550" s="1">
        <v>200.0</v>
      </c>
      <c r="H550" s="1">
        <v>19.0</v>
      </c>
      <c r="J550" s="1">
        <v>4.0</v>
      </c>
      <c r="L550" s="1">
        <v>3.0</v>
      </c>
      <c r="X550" s="1" t="s">
        <v>186</v>
      </c>
      <c r="Y550" s="1" t="s">
        <v>471</v>
      </c>
      <c r="AA550" s="1">
        <v>1.0</v>
      </c>
      <c r="AD550" s="1">
        <v>1.0</v>
      </c>
      <c r="AE550" s="1">
        <v>332238.0</v>
      </c>
      <c r="AF550" s="1">
        <v>2278.0</v>
      </c>
      <c r="AG550" s="1">
        <v>20.0</v>
      </c>
      <c r="AH550" s="1">
        <v>255.0</v>
      </c>
      <c r="AK550" s="1">
        <v>180.0</v>
      </c>
    </row>
    <row r="551" ht="15.75" customHeight="1">
      <c r="A551" s="1">
        <v>550.0</v>
      </c>
      <c r="B551" s="1" t="s">
        <v>137</v>
      </c>
      <c r="C551" s="1" t="s">
        <v>1326</v>
      </c>
      <c r="E551" s="1">
        <v>200.0</v>
      </c>
      <c r="H551" s="1">
        <v>19.0</v>
      </c>
      <c r="J551" s="1">
        <v>4.0</v>
      </c>
      <c r="L551" s="1">
        <v>3.0</v>
      </c>
      <c r="X551" s="1" t="s">
        <v>186</v>
      </c>
      <c r="Y551" s="1" t="s">
        <v>471</v>
      </c>
      <c r="AA551" s="1">
        <v>1.0</v>
      </c>
      <c r="AD551" s="1">
        <v>1.0</v>
      </c>
      <c r="AE551" s="1">
        <v>332238.0</v>
      </c>
      <c r="AF551" s="1">
        <v>2278.0</v>
      </c>
      <c r="AG551" s="1">
        <v>20.0</v>
      </c>
      <c r="AJ551" s="1">
        <v>255.0</v>
      </c>
      <c r="AK551" s="1">
        <v>180.0</v>
      </c>
    </row>
    <row r="552" ht="15.75" customHeight="1">
      <c r="A552" s="1">
        <v>551.0</v>
      </c>
      <c r="B552" s="1" t="s">
        <v>148</v>
      </c>
      <c r="C552" s="1" t="s">
        <v>1327</v>
      </c>
      <c r="E552" s="1">
        <v>125.0</v>
      </c>
      <c r="F552" s="1">
        <v>125.0</v>
      </c>
      <c r="I552" s="1">
        <v>10.0</v>
      </c>
      <c r="J552" s="1">
        <v>5.0</v>
      </c>
      <c r="K552" s="1">
        <v>5.0</v>
      </c>
      <c r="V552" s="1">
        <v>80.0</v>
      </c>
      <c r="W552" s="1">
        <v>7.0</v>
      </c>
      <c r="X552" s="1" t="s">
        <v>153</v>
      </c>
      <c r="Y552" s="1" t="s">
        <v>211</v>
      </c>
      <c r="AE552" s="1">
        <v>820226.0</v>
      </c>
      <c r="AF552" s="1">
        <v>20399.0</v>
      </c>
      <c r="AG552" s="1">
        <v>117.0</v>
      </c>
      <c r="AK552" s="1">
        <v>200.0</v>
      </c>
      <c r="AN552" s="1">
        <v>4.0</v>
      </c>
    </row>
    <row r="553" ht="15.75" customHeight="1">
      <c r="A553" s="1">
        <v>552.0</v>
      </c>
      <c r="B553" s="1" t="s">
        <v>137</v>
      </c>
      <c r="C553" s="1" t="s">
        <v>1328</v>
      </c>
      <c r="E553" s="1">
        <v>100.0</v>
      </c>
      <c r="F553" s="1">
        <v>100.0</v>
      </c>
      <c r="H553" s="1">
        <v>100.0</v>
      </c>
      <c r="I553" s="1">
        <v>10.0</v>
      </c>
      <c r="J553" s="1">
        <v>10.0</v>
      </c>
      <c r="K553" s="1">
        <v>10.0</v>
      </c>
      <c r="L553" s="1">
        <v>10.0</v>
      </c>
      <c r="M553" s="1">
        <v>10.0</v>
      </c>
      <c r="N553" s="1">
        <v>10.0</v>
      </c>
      <c r="O553" s="1">
        <v>10.0</v>
      </c>
      <c r="P553" s="1">
        <v>10.0</v>
      </c>
      <c r="Q553" s="1">
        <v>10.0</v>
      </c>
      <c r="S553" s="1">
        <v>1.0</v>
      </c>
      <c r="V553" s="1">
        <v>0.0</v>
      </c>
      <c r="X553" s="1" t="s">
        <v>604</v>
      </c>
      <c r="AE553" s="1">
        <v>332277.0</v>
      </c>
      <c r="AF553" s="1">
        <v>2278.0</v>
      </c>
      <c r="AG553" s="1">
        <v>70.0</v>
      </c>
      <c r="AK553" s="1">
        <v>185.0</v>
      </c>
      <c r="AN553" s="1">
        <v>4.0</v>
      </c>
      <c r="AO553" s="1">
        <v>78.0</v>
      </c>
    </row>
    <row r="554" ht="15.75" customHeight="1">
      <c r="A554" s="1">
        <v>553.0</v>
      </c>
      <c r="B554" s="1" t="s">
        <v>137</v>
      </c>
      <c r="C554" s="1" t="s">
        <v>1329</v>
      </c>
      <c r="E554" s="1">
        <v>50.0</v>
      </c>
      <c r="F554" s="1">
        <v>100.0</v>
      </c>
      <c r="H554" s="1">
        <v>30.0</v>
      </c>
      <c r="I554" s="1">
        <v>5.0</v>
      </c>
      <c r="J554" s="1">
        <v>5.0</v>
      </c>
      <c r="L554" s="1">
        <v>5.0</v>
      </c>
      <c r="X554" s="1" t="s">
        <v>634</v>
      </c>
      <c r="Y554" s="1" t="s">
        <v>141</v>
      </c>
      <c r="AE554" s="1">
        <v>51336.0</v>
      </c>
      <c r="AF554" s="1">
        <v>2282.0</v>
      </c>
      <c r="AG554" s="1">
        <v>13.0</v>
      </c>
      <c r="AK554" s="1">
        <v>185.0</v>
      </c>
    </row>
    <row r="555" ht="15.75" customHeight="1">
      <c r="A555" s="1">
        <v>554.0</v>
      </c>
      <c r="B555" s="1" t="s">
        <v>163</v>
      </c>
      <c r="C555" s="1" t="s">
        <v>1011</v>
      </c>
      <c r="Z555" s="1">
        <v>100.0</v>
      </c>
      <c r="AE555" s="1">
        <v>821122.0</v>
      </c>
      <c r="AF555" s="1">
        <v>20408.0</v>
      </c>
      <c r="AH555" s="1">
        <v>25.0</v>
      </c>
      <c r="AI555" s="1">
        <v>25.0</v>
      </c>
      <c r="AJ555" s="1">
        <v>65.0</v>
      </c>
      <c r="AK555" s="1">
        <v>215.0</v>
      </c>
      <c r="AM555" s="1">
        <v>99.0</v>
      </c>
      <c r="AO555" s="1">
        <v>239.0</v>
      </c>
    </row>
    <row r="556" ht="15.75" customHeight="1">
      <c r="A556" s="1">
        <v>555.0</v>
      </c>
      <c r="B556" s="1" t="s">
        <v>137</v>
      </c>
      <c r="C556" s="1" t="s">
        <v>1330</v>
      </c>
      <c r="E556" s="1">
        <v>1750.0</v>
      </c>
      <c r="F556" s="1">
        <v>300.0</v>
      </c>
      <c r="H556" s="1">
        <v>375.0</v>
      </c>
      <c r="J556" s="1">
        <v>5.0</v>
      </c>
      <c r="L556" s="1">
        <v>15.0</v>
      </c>
      <c r="R556" s="1">
        <v>2.0E7</v>
      </c>
      <c r="S556" s="1">
        <v>50.0</v>
      </c>
      <c r="X556" s="1" t="s">
        <v>140</v>
      </c>
      <c r="Y556" s="1" t="s">
        <v>141</v>
      </c>
      <c r="AA556" s="1">
        <v>1.0</v>
      </c>
      <c r="AC556" s="1">
        <v>1.0</v>
      </c>
      <c r="AE556" s="1">
        <v>51324.0</v>
      </c>
      <c r="AF556" s="1">
        <v>2282.0</v>
      </c>
      <c r="AG556" s="1">
        <v>34.0</v>
      </c>
      <c r="AH556" s="1">
        <v>255.0</v>
      </c>
      <c r="AI556" s="1">
        <v>255.0</v>
      </c>
      <c r="AK556" s="1">
        <v>180.0</v>
      </c>
      <c r="AL556" s="1">
        <v>51.0</v>
      </c>
    </row>
    <row r="557" ht="15.75" customHeight="1">
      <c r="A557" s="1">
        <v>556.0</v>
      </c>
      <c r="B557" s="1" t="s">
        <v>137</v>
      </c>
      <c r="C557" s="1" t="s">
        <v>1331</v>
      </c>
      <c r="E557" s="1">
        <v>75.0</v>
      </c>
      <c r="F557" s="1">
        <v>150.0</v>
      </c>
      <c r="H557" s="1">
        <v>50.0</v>
      </c>
      <c r="I557" s="1">
        <v>10.0</v>
      </c>
      <c r="J557" s="1">
        <v>10.0</v>
      </c>
      <c r="K557" s="1">
        <v>10.0</v>
      </c>
      <c r="L557" s="1">
        <v>10.0</v>
      </c>
      <c r="S557" s="1">
        <v>1.0</v>
      </c>
      <c r="X557" s="1" t="s">
        <v>186</v>
      </c>
      <c r="Y557" s="1" t="s">
        <v>141</v>
      </c>
      <c r="AE557" s="1">
        <v>332238.0</v>
      </c>
      <c r="AF557" s="1">
        <v>2278.0</v>
      </c>
      <c r="AG557" s="1">
        <v>20.0</v>
      </c>
      <c r="AH557" s="1">
        <v>255.0</v>
      </c>
      <c r="AI557" s="1">
        <v>255.0</v>
      </c>
      <c r="AK557" s="1">
        <v>180.0</v>
      </c>
      <c r="AO557" s="1">
        <v>71.0</v>
      </c>
    </row>
    <row r="558" ht="15.75" customHeight="1">
      <c r="A558" s="1">
        <v>557.0</v>
      </c>
      <c r="B558" s="1" t="s">
        <v>137</v>
      </c>
      <c r="C558" s="1" t="s">
        <v>1332</v>
      </c>
      <c r="F558" s="1">
        <v>100.0</v>
      </c>
      <c r="H558" s="1">
        <v>75.0</v>
      </c>
      <c r="I558" s="1">
        <v>3.0</v>
      </c>
      <c r="J558" s="1">
        <v>3.0</v>
      </c>
      <c r="K558" s="1">
        <v>3.0</v>
      </c>
      <c r="L558" s="1">
        <v>3.0</v>
      </c>
      <c r="M558" s="1">
        <v>10.0</v>
      </c>
      <c r="N558" s="1">
        <v>10.0</v>
      </c>
      <c r="O558" s="1">
        <v>10.0</v>
      </c>
      <c r="P558" s="1">
        <v>10.0</v>
      </c>
      <c r="Q558" s="1">
        <v>10.0</v>
      </c>
      <c r="S558" s="1">
        <v>1.0</v>
      </c>
      <c r="V558" s="1">
        <v>0.0</v>
      </c>
      <c r="X558" s="1" t="s">
        <v>604</v>
      </c>
      <c r="AE558" s="1">
        <v>332277.0</v>
      </c>
      <c r="AF558" s="1">
        <v>2278.0</v>
      </c>
      <c r="AG558" s="1">
        <v>70.0</v>
      </c>
      <c r="AH558" s="1">
        <v>255.0</v>
      </c>
      <c r="AJ558" s="1">
        <v>125.0</v>
      </c>
      <c r="AK558" s="1">
        <v>180.0</v>
      </c>
      <c r="AN558" s="1">
        <v>4.0</v>
      </c>
      <c r="AO558" s="1">
        <v>71.0</v>
      </c>
    </row>
    <row r="559" ht="15.75" customHeight="1">
      <c r="A559" s="1">
        <v>558.0</v>
      </c>
      <c r="B559" s="1" t="s">
        <v>163</v>
      </c>
      <c r="C559" s="1" t="s">
        <v>1013</v>
      </c>
      <c r="Z559" s="1">
        <v>100.0</v>
      </c>
      <c r="AE559" s="1">
        <v>821122.0</v>
      </c>
      <c r="AF559" s="1">
        <v>20408.0</v>
      </c>
      <c r="AH559" s="1">
        <v>280.0</v>
      </c>
      <c r="AI559" s="1">
        <v>113.0</v>
      </c>
      <c r="AJ559" s="1">
        <v>39.0</v>
      </c>
      <c r="AK559" s="1">
        <v>5180.0</v>
      </c>
      <c r="AM559" s="1">
        <v>99.0</v>
      </c>
      <c r="AO559" s="1">
        <v>240.0</v>
      </c>
    </row>
    <row r="560" ht="15.75" customHeight="1">
      <c r="A560" s="1">
        <v>559.0</v>
      </c>
      <c r="B560" s="1" t="s">
        <v>137</v>
      </c>
      <c r="C560" s="1" t="s">
        <v>1333</v>
      </c>
      <c r="E560" s="1">
        <v>1750.0</v>
      </c>
      <c r="F560" s="1">
        <v>300.0</v>
      </c>
      <c r="H560" s="1">
        <v>375.0</v>
      </c>
      <c r="J560" s="1">
        <v>5.0</v>
      </c>
      <c r="L560" s="1">
        <v>15.0</v>
      </c>
      <c r="R560" s="1">
        <v>2.0E7</v>
      </c>
      <c r="S560" s="1">
        <v>50.0</v>
      </c>
      <c r="X560" s="1" t="s">
        <v>140</v>
      </c>
      <c r="Y560" s="1" t="s">
        <v>141</v>
      </c>
      <c r="AA560" s="1">
        <v>1.0</v>
      </c>
      <c r="AC560" s="1">
        <v>1.0</v>
      </c>
      <c r="AE560" s="1">
        <v>332201.0</v>
      </c>
      <c r="AF560" s="1">
        <v>2278.0</v>
      </c>
      <c r="AG560" s="1">
        <v>20.0</v>
      </c>
      <c r="AH560" s="1">
        <v>107.0</v>
      </c>
      <c r="AI560" s="1">
        <v>7.0</v>
      </c>
      <c r="AJ560" s="1">
        <v>7.0</v>
      </c>
      <c r="AK560" s="1">
        <v>205.0</v>
      </c>
      <c r="AL560" s="1">
        <v>51.0</v>
      </c>
    </row>
    <row r="561" ht="15.75" customHeight="1">
      <c r="A561" s="1">
        <v>560.0</v>
      </c>
      <c r="B561" s="1" t="s">
        <v>137</v>
      </c>
      <c r="C561" s="1" t="s">
        <v>1334</v>
      </c>
      <c r="E561" s="1">
        <v>400.0</v>
      </c>
      <c r="F561" s="1">
        <v>200.0</v>
      </c>
      <c r="H561" s="1">
        <v>50.0</v>
      </c>
      <c r="I561" s="1">
        <v>3.0</v>
      </c>
      <c r="J561" s="1">
        <v>3.0</v>
      </c>
      <c r="K561" s="1">
        <v>3.0</v>
      </c>
      <c r="L561" s="1">
        <v>10.0</v>
      </c>
      <c r="X561" s="1" t="s">
        <v>186</v>
      </c>
      <c r="Y561" s="1" t="s">
        <v>471</v>
      </c>
      <c r="AA561" s="1">
        <v>1.0</v>
      </c>
      <c r="AD561" s="1">
        <v>1.0</v>
      </c>
      <c r="AE561" s="1">
        <v>820900.0</v>
      </c>
      <c r="AF561" s="1">
        <v>20406.0</v>
      </c>
      <c r="AG561" s="1">
        <v>11.0</v>
      </c>
      <c r="AR561" s="1">
        <v>2.0</v>
      </c>
    </row>
    <row r="562" ht="15.75" customHeight="1">
      <c r="A562" s="1">
        <v>561.0</v>
      </c>
      <c r="B562" s="1" t="s">
        <v>137</v>
      </c>
      <c r="C562" s="1" t="s">
        <v>1335</v>
      </c>
      <c r="E562" s="1">
        <v>200.0</v>
      </c>
      <c r="F562" s="1">
        <v>400.0</v>
      </c>
      <c r="H562" s="1">
        <v>50.0</v>
      </c>
      <c r="I562" s="1">
        <v>3.0</v>
      </c>
      <c r="J562" s="1">
        <v>10.0</v>
      </c>
      <c r="K562" s="1">
        <v>3.0</v>
      </c>
      <c r="L562" s="1">
        <v>3.0</v>
      </c>
      <c r="X562" s="1" t="s">
        <v>186</v>
      </c>
      <c r="Y562" s="1" t="s">
        <v>471</v>
      </c>
      <c r="AA562" s="1">
        <v>1.0</v>
      </c>
      <c r="AD562" s="1">
        <v>1.0</v>
      </c>
      <c r="AE562" s="1">
        <v>820901.0</v>
      </c>
      <c r="AF562" s="1">
        <v>20406.0</v>
      </c>
      <c r="AG562" s="1">
        <v>143.0</v>
      </c>
      <c r="AR562" s="1">
        <v>2.0</v>
      </c>
    </row>
    <row r="563" ht="15.75" customHeight="1">
      <c r="A563" s="1">
        <v>562.0</v>
      </c>
      <c r="B563" s="1" t="s">
        <v>137</v>
      </c>
      <c r="C563" s="1" t="s">
        <v>1336</v>
      </c>
      <c r="E563" s="1">
        <v>400.0</v>
      </c>
      <c r="F563" s="1">
        <v>200.0</v>
      </c>
      <c r="H563" s="1">
        <v>50.0</v>
      </c>
      <c r="I563" s="1">
        <v>10.0</v>
      </c>
      <c r="J563" s="1">
        <v>3.0</v>
      </c>
      <c r="K563" s="1">
        <v>3.0</v>
      </c>
      <c r="L563" s="1">
        <v>3.0</v>
      </c>
      <c r="X563" s="1" t="s">
        <v>186</v>
      </c>
      <c r="Y563" s="1" t="s">
        <v>471</v>
      </c>
      <c r="AA563" s="1">
        <v>1.0</v>
      </c>
      <c r="AD563" s="1">
        <v>1.0</v>
      </c>
      <c r="AE563" s="1">
        <v>332226.0</v>
      </c>
      <c r="AF563" s="1">
        <v>2278.0</v>
      </c>
      <c r="AG563" s="1">
        <v>19.0</v>
      </c>
      <c r="AR563" s="1">
        <v>2.0</v>
      </c>
    </row>
    <row r="564" ht="15.75" customHeight="1">
      <c r="A564" s="1">
        <v>563.0</v>
      </c>
      <c r="B564" s="1" t="s">
        <v>137</v>
      </c>
      <c r="C564" s="1" t="s">
        <v>1337</v>
      </c>
      <c r="E564" s="1">
        <v>200.0</v>
      </c>
      <c r="F564" s="1">
        <v>400.0</v>
      </c>
      <c r="H564" s="1">
        <v>50.0</v>
      </c>
      <c r="I564" s="1">
        <v>3.0</v>
      </c>
      <c r="J564" s="1">
        <v>3.0</v>
      </c>
      <c r="K564" s="1">
        <v>10.0</v>
      </c>
      <c r="L564" s="1">
        <v>3.0</v>
      </c>
      <c r="X564" s="1" t="s">
        <v>186</v>
      </c>
      <c r="Y564" s="1" t="s">
        <v>471</v>
      </c>
      <c r="AA564" s="1">
        <v>1.0</v>
      </c>
      <c r="AD564" s="1">
        <v>1.0</v>
      </c>
      <c r="AE564" s="1">
        <v>820714.0</v>
      </c>
      <c r="AF564" s="1">
        <v>20404.0</v>
      </c>
      <c r="AG564" s="1">
        <v>17.0</v>
      </c>
      <c r="AR564" s="1">
        <v>2.0</v>
      </c>
    </row>
    <row r="565" ht="15.75" customHeight="1">
      <c r="A565" s="1">
        <v>564.0</v>
      </c>
      <c r="B565" s="1" t="s">
        <v>137</v>
      </c>
      <c r="C565" s="1" t="s">
        <v>1338</v>
      </c>
      <c r="E565" s="1">
        <v>400.0</v>
      </c>
      <c r="F565" s="1">
        <v>200.0</v>
      </c>
      <c r="H565" s="1">
        <v>80.0</v>
      </c>
      <c r="I565" s="1">
        <v>5.0</v>
      </c>
      <c r="J565" s="1">
        <v>5.0</v>
      </c>
      <c r="K565" s="1">
        <v>5.0</v>
      </c>
      <c r="L565" s="1">
        <v>5.0</v>
      </c>
      <c r="X565" s="1" t="s">
        <v>186</v>
      </c>
      <c r="Y565" s="1" t="s">
        <v>471</v>
      </c>
      <c r="AA565" s="1">
        <v>1.0</v>
      </c>
      <c r="AD565" s="1">
        <v>1.0</v>
      </c>
      <c r="AE565" s="1">
        <v>820902.0</v>
      </c>
      <c r="AF565" s="1">
        <v>20406.0</v>
      </c>
      <c r="AG565" s="1">
        <v>26.0</v>
      </c>
      <c r="AR565" s="1">
        <v>2.0</v>
      </c>
    </row>
    <row r="566" ht="15.75" customHeight="1">
      <c r="A566" s="1">
        <v>565.0</v>
      </c>
      <c r="B566" s="1" t="s">
        <v>163</v>
      </c>
      <c r="C566" s="1" t="s">
        <v>1015</v>
      </c>
      <c r="Z566" s="1">
        <v>100.0</v>
      </c>
      <c r="AE566" s="1">
        <v>821122.0</v>
      </c>
      <c r="AF566" s="1">
        <v>20408.0</v>
      </c>
      <c r="AH566" s="1">
        <v>300.0</v>
      </c>
      <c r="AI566" s="1">
        <v>300.0</v>
      </c>
      <c r="AJ566" s="1">
        <v>300.0</v>
      </c>
      <c r="AK566" s="1">
        <v>550.0</v>
      </c>
      <c r="AM566" s="1">
        <v>99.0</v>
      </c>
      <c r="AO566" s="1">
        <v>241.0</v>
      </c>
    </row>
    <row r="567" ht="15.75" customHeight="1">
      <c r="A567" s="1">
        <v>566.0</v>
      </c>
      <c r="B567" s="1" t="s">
        <v>190</v>
      </c>
      <c r="C567" s="1" t="s">
        <v>1339</v>
      </c>
      <c r="R567" s="1">
        <v>2.0E8</v>
      </c>
      <c r="S567" s="1">
        <v>50.0</v>
      </c>
      <c r="AA567" s="1">
        <v>1.0</v>
      </c>
      <c r="AB567" s="1">
        <v>1.0</v>
      </c>
      <c r="AE567" s="1">
        <v>820110.0</v>
      </c>
      <c r="AF567" s="1">
        <v>20398.0</v>
      </c>
      <c r="AL567" s="1">
        <v>31.0</v>
      </c>
      <c r="AQ567" s="1">
        <v>146.0</v>
      </c>
    </row>
    <row r="568" ht="15.75" customHeight="1">
      <c r="A568" s="1">
        <v>567.0</v>
      </c>
      <c r="B568" s="1" t="s">
        <v>148</v>
      </c>
      <c r="C568" s="1" t="s">
        <v>1340</v>
      </c>
      <c r="E568" s="1">
        <v>1500.0</v>
      </c>
      <c r="F568" s="1">
        <v>1500.0</v>
      </c>
      <c r="R568" s="1">
        <v>2.0E8</v>
      </c>
      <c r="S568" s="1">
        <v>50.0</v>
      </c>
      <c r="V568" s="1">
        <v>200.0</v>
      </c>
      <c r="X568" s="1" t="s">
        <v>153</v>
      </c>
      <c r="Y568" s="1" t="s">
        <v>211</v>
      </c>
      <c r="AA568" s="1">
        <v>1.0</v>
      </c>
      <c r="AC568" s="1">
        <v>1.0</v>
      </c>
      <c r="AE568" s="1">
        <v>331352.0</v>
      </c>
      <c r="AF568" s="1">
        <v>2269.0</v>
      </c>
      <c r="AG568" s="1">
        <v>64.0</v>
      </c>
      <c r="AH568" s="1">
        <v>1.0</v>
      </c>
      <c r="AI568" s="1">
        <v>1.0</v>
      </c>
      <c r="AJ568" s="1">
        <v>1.0</v>
      </c>
      <c r="AK568" s="1">
        <v>1134.0</v>
      </c>
      <c r="AL568" s="1">
        <v>59.0</v>
      </c>
      <c r="AN568" s="1">
        <v>4.0</v>
      </c>
      <c r="AO568" s="1">
        <v>216.0</v>
      </c>
    </row>
    <row r="569" ht="15.75" customHeight="1">
      <c r="A569" s="1">
        <v>568.0</v>
      </c>
      <c r="B569" s="1" t="s">
        <v>137</v>
      </c>
      <c r="C569" s="1" t="s">
        <v>1341</v>
      </c>
      <c r="E569" s="1">
        <v>1750.0</v>
      </c>
      <c r="F569" s="1">
        <v>300.0</v>
      </c>
      <c r="H569" s="1">
        <v>375.0</v>
      </c>
      <c r="J569" s="1">
        <v>5.0</v>
      </c>
      <c r="L569" s="1">
        <v>15.0</v>
      </c>
      <c r="R569" s="1">
        <v>2.0E7</v>
      </c>
      <c r="S569" s="1">
        <v>50.0</v>
      </c>
      <c r="X569" s="1" t="s">
        <v>140</v>
      </c>
      <c r="Y569" s="1" t="s">
        <v>141</v>
      </c>
      <c r="AA569" s="1">
        <v>1.0</v>
      </c>
      <c r="AC569" s="1">
        <v>1.0</v>
      </c>
      <c r="AE569" s="1">
        <v>332201.0</v>
      </c>
      <c r="AF569" s="1">
        <v>2278.0</v>
      </c>
      <c r="AG569" s="1">
        <v>20.0</v>
      </c>
      <c r="AH569" s="1">
        <v>14000.0</v>
      </c>
      <c r="AI569" s="1">
        <v>14000.0</v>
      </c>
      <c r="AJ569" s="1">
        <v>14000.0</v>
      </c>
      <c r="AK569" s="1">
        <v>1200.0</v>
      </c>
      <c r="AL569" s="1">
        <v>59.0</v>
      </c>
    </row>
    <row r="570" ht="15.75" customHeight="1">
      <c r="A570" s="1">
        <v>569.0</v>
      </c>
      <c r="B570" s="1" t="s">
        <v>137</v>
      </c>
      <c r="C570" s="1" t="s">
        <v>1342</v>
      </c>
      <c r="E570" s="1">
        <v>2500.0</v>
      </c>
      <c r="F570" s="1">
        <v>2500.0</v>
      </c>
      <c r="H570" s="1">
        <v>450.0</v>
      </c>
      <c r="R570" s="1">
        <v>2.0E8</v>
      </c>
      <c r="S570" s="1">
        <v>50.0</v>
      </c>
      <c r="X570" s="1" t="s">
        <v>140</v>
      </c>
      <c r="Y570" s="1" t="s">
        <v>471</v>
      </c>
      <c r="AB570" s="1">
        <v>1.0</v>
      </c>
      <c r="AE570" s="1">
        <v>332236.0</v>
      </c>
      <c r="AF570" s="1">
        <v>2278.0</v>
      </c>
      <c r="AG570" s="1">
        <v>12.0</v>
      </c>
      <c r="AJ570" s="1">
        <v>89.0</v>
      </c>
      <c r="AK570" s="1">
        <v>185.0</v>
      </c>
      <c r="AL570" s="1">
        <v>59.0</v>
      </c>
      <c r="AO570" s="1">
        <v>213.0</v>
      </c>
    </row>
    <row r="571" ht="15.75" customHeight="1">
      <c r="A571" s="1">
        <v>570.0</v>
      </c>
      <c r="B571" s="1" t="s">
        <v>148</v>
      </c>
      <c r="C571" s="1" t="s">
        <v>1343</v>
      </c>
      <c r="E571" s="1">
        <v>1500.0</v>
      </c>
      <c r="F571" s="1">
        <v>1500.0</v>
      </c>
      <c r="R571" s="1">
        <v>2.0E8</v>
      </c>
      <c r="S571" s="1">
        <v>50.0</v>
      </c>
      <c r="V571" s="1">
        <v>200.0</v>
      </c>
      <c r="X571" s="1" t="s">
        <v>153</v>
      </c>
      <c r="Y571" s="1" t="s">
        <v>211</v>
      </c>
      <c r="AA571" s="1">
        <v>1.0</v>
      </c>
      <c r="AC571" s="1">
        <v>1.0</v>
      </c>
      <c r="AE571" s="1">
        <v>331352.0</v>
      </c>
      <c r="AF571" s="1">
        <v>2269.0</v>
      </c>
      <c r="AG571" s="1">
        <v>64.0</v>
      </c>
      <c r="AJ571" s="1">
        <v>89.0</v>
      </c>
      <c r="AK571" s="1">
        <v>185.0</v>
      </c>
      <c r="AL571" s="1">
        <v>59.0</v>
      </c>
      <c r="AN571" s="1">
        <v>4.0</v>
      </c>
      <c r="AO571" s="1">
        <v>216.0</v>
      </c>
    </row>
    <row r="572" ht="15.75" customHeight="1">
      <c r="A572" s="1">
        <v>571.0</v>
      </c>
      <c r="B572" s="1" t="s">
        <v>137</v>
      </c>
      <c r="C572" s="1" t="s">
        <v>1344</v>
      </c>
      <c r="E572" s="1">
        <v>75.0</v>
      </c>
      <c r="F572" s="1">
        <v>150.0</v>
      </c>
      <c r="H572" s="1">
        <v>50.0</v>
      </c>
      <c r="I572" s="1">
        <v>10.0</v>
      </c>
      <c r="J572" s="1">
        <v>10.0</v>
      </c>
      <c r="K572" s="1">
        <v>10.0</v>
      </c>
      <c r="L572" s="1">
        <v>10.0</v>
      </c>
      <c r="S572" s="1">
        <v>1.0</v>
      </c>
      <c r="X572" s="1" t="s">
        <v>186</v>
      </c>
      <c r="Y572" s="1" t="s">
        <v>141</v>
      </c>
      <c r="AE572" s="1">
        <v>332294.0</v>
      </c>
      <c r="AF572" s="1">
        <v>2278.0</v>
      </c>
      <c r="AG572" s="1">
        <v>53.0</v>
      </c>
      <c r="AJ572" s="1">
        <v>89.0</v>
      </c>
      <c r="AK572" s="1">
        <v>185.0</v>
      </c>
      <c r="AO572" s="1">
        <v>71.0</v>
      </c>
    </row>
    <row r="573" ht="15.75" customHeight="1">
      <c r="A573" s="1">
        <v>572.0</v>
      </c>
      <c r="B573" s="1" t="s">
        <v>137</v>
      </c>
      <c r="C573" s="1" t="s">
        <v>1345</v>
      </c>
      <c r="E573" s="1">
        <v>1000.0</v>
      </c>
      <c r="F573" s="1">
        <v>1000.0</v>
      </c>
      <c r="H573" s="1">
        <v>200.0</v>
      </c>
      <c r="R573" s="1">
        <v>2.0E8</v>
      </c>
      <c r="S573" s="1">
        <v>50.0</v>
      </c>
      <c r="V573" s="1">
        <v>0.0</v>
      </c>
      <c r="X573" s="1" t="s">
        <v>604</v>
      </c>
      <c r="AA573" s="1">
        <v>1.0</v>
      </c>
      <c r="AC573" s="1">
        <v>1.0</v>
      </c>
      <c r="AE573" s="1">
        <v>332277.0</v>
      </c>
      <c r="AF573" s="1">
        <v>2278.0</v>
      </c>
      <c r="AG573" s="1">
        <v>70.0</v>
      </c>
      <c r="AJ573" s="1">
        <v>89.0</v>
      </c>
      <c r="AK573" s="1">
        <v>185.0</v>
      </c>
      <c r="AL573" s="1">
        <v>59.0</v>
      </c>
      <c r="AN573" s="1">
        <v>4.0</v>
      </c>
      <c r="AO573" s="1">
        <v>215.0</v>
      </c>
    </row>
    <row r="574" ht="15.75" customHeight="1">
      <c r="A574" s="1">
        <v>573.0</v>
      </c>
      <c r="B574" s="1" t="s">
        <v>137</v>
      </c>
      <c r="C574" s="1" t="s">
        <v>1346</v>
      </c>
      <c r="E574" s="1">
        <v>2500.0</v>
      </c>
      <c r="F574" s="1">
        <v>2500.0</v>
      </c>
      <c r="H574" s="1">
        <v>450.0</v>
      </c>
      <c r="R574" s="1">
        <v>2.0E8</v>
      </c>
      <c r="S574" s="1">
        <v>50.0</v>
      </c>
      <c r="X574" s="1" t="s">
        <v>140</v>
      </c>
      <c r="Y574" s="1" t="s">
        <v>471</v>
      </c>
      <c r="AB574" s="1">
        <v>1.0</v>
      </c>
      <c r="AE574" s="1">
        <v>332231.0</v>
      </c>
      <c r="AF574" s="1">
        <v>2278.0</v>
      </c>
      <c r="AG574" s="1">
        <v>11.0</v>
      </c>
      <c r="AH574" s="1">
        <v>255.0</v>
      </c>
      <c r="AI574" s="1">
        <v>255.0</v>
      </c>
      <c r="AJ574" s="1">
        <v>255.0</v>
      </c>
      <c r="AK574" s="1">
        <v>230.0</v>
      </c>
      <c r="AL574" s="1">
        <v>59.0</v>
      </c>
      <c r="AO574" s="1">
        <v>213.0</v>
      </c>
    </row>
    <row r="575" ht="15.75" customHeight="1">
      <c r="A575" s="1">
        <v>574.0</v>
      </c>
      <c r="B575" s="1" t="s">
        <v>148</v>
      </c>
      <c r="C575" s="1" t="s">
        <v>1347</v>
      </c>
      <c r="E575" s="1">
        <v>1500.0</v>
      </c>
      <c r="F575" s="1">
        <v>1500.0</v>
      </c>
      <c r="R575" s="1">
        <v>2.0E8</v>
      </c>
      <c r="S575" s="1">
        <v>50.0</v>
      </c>
      <c r="V575" s="1">
        <v>200.0</v>
      </c>
      <c r="X575" s="1" t="s">
        <v>153</v>
      </c>
      <c r="Y575" s="1" t="s">
        <v>208</v>
      </c>
      <c r="AA575" s="1">
        <v>1.0</v>
      </c>
      <c r="AC575" s="1">
        <v>1.0</v>
      </c>
      <c r="AE575" s="1">
        <v>331368.0</v>
      </c>
      <c r="AF575" s="1">
        <v>2269.0</v>
      </c>
      <c r="AG575" s="1">
        <v>79.0</v>
      </c>
      <c r="AH575" s="1">
        <v>255.0</v>
      </c>
      <c r="AI575" s="1">
        <v>255.0</v>
      </c>
      <c r="AJ575" s="1">
        <v>255.0</v>
      </c>
      <c r="AK575" s="1">
        <v>230.0</v>
      </c>
      <c r="AL575" s="1">
        <v>59.0</v>
      </c>
      <c r="AN575" s="1">
        <v>4.0</v>
      </c>
      <c r="AO575" s="1">
        <v>216.0</v>
      </c>
    </row>
    <row r="576" ht="15.75" customHeight="1">
      <c r="A576" s="1">
        <v>575.0</v>
      </c>
      <c r="B576" s="1" t="s">
        <v>137</v>
      </c>
      <c r="C576" s="1" t="s">
        <v>1348</v>
      </c>
      <c r="E576" s="1">
        <v>1000.0</v>
      </c>
      <c r="F576" s="1">
        <v>1000.0</v>
      </c>
      <c r="H576" s="1">
        <v>200.0</v>
      </c>
      <c r="R576" s="1">
        <v>2.0E8</v>
      </c>
      <c r="S576" s="1">
        <v>50.0</v>
      </c>
      <c r="V576" s="1">
        <v>0.0</v>
      </c>
      <c r="X576" s="1" t="s">
        <v>604</v>
      </c>
      <c r="AA576" s="1">
        <v>1.0</v>
      </c>
      <c r="AC576" s="1">
        <v>1.0</v>
      </c>
      <c r="AE576" s="1">
        <v>332277.0</v>
      </c>
      <c r="AF576" s="1">
        <v>2278.0</v>
      </c>
      <c r="AG576" s="1">
        <v>70.0</v>
      </c>
      <c r="AH576" s="1">
        <v>255.0</v>
      </c>
      <c r="AI576" s="1">
        <v>255.0</v>
      </c>
      <c r="AJ576" s="1">
        <v>255.0</v>
      </c>
      <c r="AK576" s="1">
        <v>230.0</v>
      </c>
      <c r="AL576" s="1">
        <v>59.0</v>
      </c>
      <c r="AN576" s="1">
        <v>4.0</v>
      </c>
      <c r="AO576" s="1">
        <v>215.0</v>
      </c>
    </row>
    <row r="577" ht="15.75" customHeight="1">
      <c r="A577" s="1">
        <v>576.0</v>
      </c>
      <c r="B577" s="1" t="s">
        <v>137</v>
      </c>
      <c r="C577" s="1" t="s">
        <v>1349</v>
      </c>
      <c r="E577" s="1">
        <v>75.0</v>
      </c>
      <c r="F577" s="1">
        <v>150.0</v>
      </c>
      <c r="H577" s="1">
        <v>50.0</v>
      </c>
      <c r="I577" s="1">
        <v>10.0</v>
      </c>
      <c r="J577" s="1">
        <v>10.0</v>
      </c>
      <c r="K577" s="1">
        <v>10.0</v>
      </c>
      <c r="L577" s="1">
        <v>10.0</v>
      </c>
      <c r="S577" s="1">
        <v>1.0</v>
      </c>
      <c r="X577" s="1" t="s">
        <v>186</v>
      </c>
      <c r="Y577" s="1" t="s">
        <v>141</v>
      </c>
      <c r="AE577" s="1">
        <v>332294.0</v>
      </c>
      <c r="AF577" s="1">
        <v>2278.0</v>
      </c>
      <c r="AG577" s="1">
        <v>53.0</v>
      </c>
      <c r="AH577" s="1">
        <v>255.0</v>
      </c>
      <c r="AI577" s="1">
        <v>255.0</v>
      </c>
      <c r="AJ577" s="1">
        <v>255.0</v>
      </c>
      <c r="AK577" s="1">
        <v>230.0</v>
      </c>
      <c r="AO577" s="1">
        <v>71.0</v>
      </c>
    </row>
    <row r="578" ht="15.75" customHeight="1">
      <c r="A578" s="1">
        <v>577.0</v>
      </c>
      <c r="B578" s="1" t="s">
        <v>190</v>
      </c>
      <c r="C578" s="1" t="s">
        <v>1350</v>
      </c>
      <c r="R578" s="1">
        <v>2.0E9</v>
      </c>
      <c r="S578" s="1">
        <v>50.0</v>
      </c>
      <c r="AA578" s="1">
        <v>1.0</v>
      </c>
      <c r="AB578" s="1">
        <v>1.0</v>
      </c>
      <c r="AE578" s="1">
        <v>820110.0</v>
      </c>
      <c r="AF578" s="1">
        <v>20398.0</v>
      </c>
      <c r="AL578" s="1">
        <v>31.0</v>
      </c>
      <c r="AQ578" s="1">
        <v>147.0</v>
      </c>
    </row>
    <row r="579" ht="15.75" customHeight="1">
      <c r="A579" s="1">
        <v>578.0</v>
      </c>
      <c r="B579" s="1" t="s">
        <v>137</v>
      </c>
      <c r="C579" s="1" t="s">
        <v>1351</v>
      </c>
      <c r="E579" s="1">
        <v>1000.0</v>
      </c>
      <c r="F579" s="1">
        <v>1000.0</v>
      </c>
      <c r="H579" s="1">
        <v>100.0</v>
      </c>
      <c r="K579" s="1">
        <v>50.0</v>
      </c>
      <c r="S579" s="1">
        <v>50.0</v>
      </c>
      <c r="X579" s="1" t="s">
        <v>634</v>
      </c>
      <c r="Y579" s="1" t="s">
        <v>471</v>
      </c>
      <c r="AA579" s="1">
        <v>1.0</v>
      </c>
      <c r="AB579" s="1">
        <v>1.0</v>
      </c>
      <c r="AC579" s="1">
        <v>1.0</v>
      </c>
      <c r="AE579" s="1">
        <v>332288.0</v>
      </c>
      <c r="AF579" s="1">
        <v>2278.0</v>
      </c>
      <c r="AG579" s="1">
        <v>9.0</v>
      </c>
      <c r="AH579" s="1">
        <v>255.0</v>
      </c>
      <c r="AI579" s="1">
        <v>255.0</v>
      </c>
      <c r="AJ579" s="1">
        <v>255.0</v>
      </c>
      <c r="AK579" s="1">
        <v>230.0</v>
      </c>
      <c r="AL579" s="1">
        <v>59.0</v>
      </c>
      <c r="AO579" s="1">
        <v>76.0</v>
      </c>
    </row>
    <row r="580" ht="15.75" customHeight="1">
      <c r="A580" s="1">
        <v>579.0</v>
      </c>
      <c r="B580" s="1" t="s">
        <v>137</v>
      </c>
      <c r="C580" s="1" t="s">
        <v>1352</v>
      </c>
      <c r="E580" s="1">
        <v>2000.0</v>
      </c>
      <c r="F580" s="1">
        <v>2000.0</v>
      </c>
      <c r="H580" s="1">
        <v>225.0</v>
      </c>
      <c r="R580" s="1">
        <v>2.0E8</v>
      </c>
      <c r="S580" s="1">
        <v>50.0</v>
      </c>
      <c r="X580" s="1" t="s">
        <v>564</v>
      </c>
      <c r="Y580" s="1" t="s">
        <v>471</v>
      </c>
      <c r="AB580" s="1">
        <v>1.0</v>
      </c>
      <c r="AE580" s="1">
        <v>51332.0</v>
      </c>
      <c r="AF580" s="1">
        <v>2282.0</v>
      </c>
      <c r="AG580" s="1">
        <v>14.0</v>
      </c>
      <c r="AH580" s="1">
        <v>255.0</v>
      </c>
      <c r="AI580" s="1">
        <v>255.0</v>
      </c>
      <c r="AJ580" s="1">
        <v>255.0</v>
      </c>
      <c r="AK580" s="1">
        <v>230.0</v>
      </c>
      <c r="AL580" s="1">
        <v>59.0</v>
      </c>
      <c r="AO580" s="1">
        <v>211.0</v>
      </c>
    </row>
    <row r="581" ht="15.75" customHeight="1">
      <c r="A581" s="1">
        <v>580.0</v>
      </c>
      <c r="B581" s="1" t="s">
        <v>137</v>
      </c>
      <c r="C581" s="1" t="s">
        <v>1353</v>
      </c>
      <c r="E581" s="1">
        <v>400.0</v>
      </c>
      <c r="F581" s="1">
        <v>200.0</v>
      </c>
      <c r="H581" s="1">
        <v>40.0</v>
      </c>
      <c r="I581" s="1">
        <v>20.0</v>
      </c>
      <c r="J581" s="1">
        <v>20.0</v>
      </c>
      <c r="K581" s="1">
        <v>20.0</v>
      </c>
      <c r="L581" s="1">
        <v>40.0</v>
      </c>
      <c r="M581" s="1">
        <v>70.0</v>
      </c>
      <c r="R581" s="1">
        <v>4.0E8</v>
      </c>
      <c r="S581" s="1">
        <v>50.0</v>
      </c>
      <c r="V581" s="1">
        <v>0.0</v>
      </c>
      <c r="X581" s="1" t="s">
        <v>694</v>
      </c>
      <c r="AA581" s="1">
        <v>1.0</v>
      </c>
      <c r="AC581" s="1">
        <v>1.0</v>
      </c>
      <c r="AE581" s="1">
        <v>820070.0</v>
      </c>
      <c r="AF581" s="1">
        <v>20397.0</v>
      </c>
      <c r="AO581" s="1">
        <v>177.0</v>
      </c>
    </row>
    <row r="582" ht="15.75" customHeight="1">
      <c r="A582" s="1">
        <v>581.0</v>
      </c>
      <c r="B582" s="1" t="s">
        <v>137</v>
      </c>
      <c r="C582" s="1" t="s">
        <v>1354</v>
      </c>
      <c r="E582" s="1">
        <v>200.0</v>
      </c>
      <c r="F582" s="1">
        <v>400.0</v>
      </c>
      <c r="H582" s="1">
        <v>10.0</v>
      </c>
      <c r="I582" s="1">
        <v>20.0</v>
      </c>
      <c r="J582" s="1">
        <v>20.0</v>
      </c>
      <c r="K582" s="1">
        <v>20.0</v>
      </c>
      <c r="L582" s="1">
        <v>40.0</v>
      </c>
      <c r="Q582" s="1">
        <v>70.0</v>
      </c>
      <c r="R582" s="1">
        <v>4.0E8</v>
      </c>
      <c r="S582" s="1">
        <v>50.0</v>
      </c>
      <c r="V582" s="1">
        <v>0.0</v>
      </c>
      <c r="X582" s="1" t="s">
        <v>694</v>
      </c>
      <c r="AA582" s="1">
        <v>1.0</v>
      </c>
      <c r="AC582" s="1">
        <v>1.0</v>
      </c>
      <c r="AE582" s="1">
        <v>820072.0</v>
      </c>
      <c r="AF582" s="1">
        <v>20397.0</v>
      </c>
      <c r="AO582" s="1">
        <v>70.0</v>
      </c>
    </row>
    <row r="583" ht="15.75" customHeight="1">
      <c r="A583" s="1">
        <v>582.0</v>
      </c>
      <c r="B583" s="1" t="s">
        <v>137</v>
      </c>
      <c r="C583" s="1" t="s">
        <v>1355</v>
      </c>
      <c r="E583" s="1">
        <v>250.0</v>
      </c>
      <c r="F583" s="1">
        <v>350.0</v>
      </c>
      <c r="H583" s="1">
        <v>20.0</v>
      </c>
      <c r="I583" s="1">
        <v>20.0</v>
      </c>
      <c r="J583" s="1">
        <v>35.0</v>
      </c>
      <c r="K583" s="1">
        <v>20.0</v>
      </c>
      <c r="L583" s="1">
        <v>25.0</v>
      </c>
      <c r="P583" s="1">
        <v>70.0</v>
      </c>
      <c r="R583" s="1">
        <v>4.0E8</v>
      </c>
      <c r="S583" s="1">
        <v>50.0</v>
      </c>
      <c r="V583" s="1">
        <v>0.0</v>
      </c>
      <c r="X583" s="1" t="s">
        <v>694</v>
      </c>
      <c r="AA583" s="1">
        <v>1.0</v>
      </c>
      <c r="AC583" s="1">
        <v>1.0</v>
      </c>
      <c r="AE583" s="1">
        <v>820074.0</v>
      </c>
      <c r="AF583" s="1">
        <v>20397.0</v>
      </c>
      <c r="AO583" s="1">
        <v>84.0</v>
      </c>
    </row>
    <row r="584" ht="15.75" customHeight="1">
      <c r="A584" s="1">
        <v>583.0</v>
      </c>
      <c r="B584" s="1" t="s">
        <v>137</v>
      </c>
      <c r="C584" s="1" t="s">
        <v>1356</v>
      </c>
      <c r="E584" s="1">
        <v>300.0</v>
      </c>
      <c r="F584" s="1">
        <v>300.0</v>
      </c>
      <c r="H584" s="1">
        <v>20.0</v>
      </c>
      <c r="I584" s="1">
        <v>20.0</v>
      </c>
      <c r="J584" s="1">
        <v>30.0</v>
      </c>
      <c r="K584" s="1">
        <v>20.0</v>
      </c>
      <c r="L584" s="1">
        <v>30.0</v>
      </c>
      <c r="N584" s="1">
        <v>70.0</v>
      </c>
      <c r="R584" s="1">
        <v>4.0E8</v>
      </c>
      <c r="S584" s="1">
        <v>50.0</v>
      </c>
      <c r="V584" s="1">
        <v>0.0</v>
      </c>
      <c r="X584" s="1" t="s">
        <v>694</v>
      </c>
      <c r="AA584" s="1">
        <v>1.0</v>
      </c>
      <c r="AC584" s="1">
        <v>1.0</v>
      </c>
      <c r="AE584" s="1">
        <v>820076.0</v>
      </c>
      <c r="AF584" s="1">
        <v>20397.0</v>
      </c>
      <c r="AO584" s="1">
        <v>244.0</v>
      </c>
    </row>
    <row r="585" ht="15.75" customHeight="1">
      <c r="A585" s="1">
        <v>584.0</v>
      </c>
      <c r="B585" s="1" t="s">
        <v>137</v>
      </c>
      <c r="C585" s="1" t="s">
        <v>1357</v>
      </c>
      <c r="E585" s="1">
        <v>300.0</v>
      </c>
      <c r="F585" s="1">
        <v>300.0</v>
      </c>
      <c r="H585" s="1">
        <v>30.0</v>
      </c>
      <c r="I585" s="1">
        <v>30.0</v>
      </c>
      <c r="J585" s="1">
        <v>30.0</v>
      </c>
      <c r="K585" s="1">
        <v>30.0</v>
      </c>
      <c r="L585" s="1">
        <v>30.0</v>
      </c>
      <c r="O585" s="1">
        <v>70.0</v>
      </c>
      <c r="R585" s="1">
        <v>4.0E8</v>
      </c>
      <c r="S585" s="1">
        <v>50.0</v>
      </c>
      <c r="V585" s="1">
        <v>0.0</v>
      </c>
      <c r="X585" s="1" t="s">
        <v>694</v>
      </c>
      <c r="AA585" s="1">
        <v>1.0</v>
      </c>
      <c r="AC585" s="1">
        <v>1.0</v>
      </c>
      <c r="AE585" s="1">
        <v>820079.0</v>
      </c>
      <c r="AF585" s="1">
        <v>20397.0</v>
      </c>
      <c r="AO585" s="1">
        <v>245.0</v>
      </c>
    </row>
    <row r="586" ht="15.75" customHeight="1">
      <c r="A586" s="1">
        <v>585.0</v>
      </c>
      <c r="B586" s="1" t="s">
        <v>177</v>
      </c>
      <c r="C586" s="1" t="s">
        <v>1358</v>
      </c>
      <c r="AB586" s="1">
        <v>1.0</v>
      </c>
      <c r="AE586" s="1">
        <v>821102.0</v>
      </c>
      <c r="AF586" s="1">
        <v>20408.0</v>
      </c>
    </row>
    <row r="587" ht="15.75" customHeight="1">
      <c r="A587" s="1">
        <v>586.0</v>
      </c>
      <c r="B587" s="1" t="s">
        <v>137</v>
      </c>
      <c r="C587" s="1" t="s">
        <v>1359</v>
      </c>
      <c r="E587" s="1">
        <v>500.0</v>
      </c>
      <c r="F587" s="1">
        <v>500.0</v>
      </c>
      <c r="H587" s="1">
        <v>70.0</v>
      </c>
      <c r="I587" s="1">
        <v>10.0</v>
      </c>
      <c r="J587" s="1">
        <v>10.0</v>
      </c>
      <c r="K587" s="1">
        <v>10.0</v>
      </c>
      <c r="L587" s="1">
        <v>10.0</v>
      </c>
      <c r="S587" s="1">
        <v>1.0</v>
      </c>
      <c r="V587" s="1">
        <v>0.0</v>
      </c>
      <c r="X587" s="1" t="s">
        <v>308</v>
      </c>
      <c r="AA587" s="1">
        <v>1.0</v>
      </c>
      <c r="AB587" s="1">
        <v>1.0</v>
      </c>
      <c r="AE587" s="1">
        <v>820210.0</v>
      </c>
      <c r="AF587" s="1">
        <v>20399.0</v>
      </c>
      <c r="AO587" s="1">
        <v>71.0</v>
      </c>
    </row>
    <row r="588" ht="15.75" customHeight="1">
      <c r="A588" s="1">
        <v>587.0</v>
      </c>
      <c r="B588" s="1" t="s">
        <v>137</v>
      </c>
      <c r="C588" s="1" t="s">
        <v>1360</v>
      </c>
      <c r="E588" s="1">
        <v>3000.0</v>
      </c>
      <c r="F588" s="1">
        <v>3000.0</v>
      </c>
      <c r="H588" s="1">
        <v>150.0</v>
      </c>
      <c r="J588" s="1">
        <v>25.0</v>
      </c>
      <c r="L588" s="1">
        <v>25.0</v>
      </c>
      <c r="S588" s="1">
        <v>50.0</v>
      </c>
      <c r="X588" s="1" t="s">
        <v>186</v>
      </c>
      <c r="Y588" s="1" t="s">
        <v>471</v>
      </c>
      <c r="AA588" s="1">
        <v>1.0</v>
      </c>
      <c r="AB588" s="1">
        <v>1.0</v>
      </c>
      <c r="AC588" s="1">
        <v>1.0</v>
      </c>
      <c r="AE588" s="1">
        <v>332238.0</v>
      </c>
      <c r="AF588" s="1">
        <v>2278.0</v>
      </c>
      <c r="AG588" s="1">
        <v>20.0</v>
      </c>
      <c r="AK588" s="1">
        <v>100.0</v>
      </c>
      <c r="AL588" s="1">
        <v>59.0</v>
      </c>
      <c r="AO588" s="1">
        <v>211.0</v>
      </c>
    </row>
    <row r="589" ht="15.75" customHeight="1">
      <c r="A589" s="1">
        <v>588.0</v>
      </c>
      <c r="B589" s="1" t="s">
        <v>137</v>
      </c>
      <c r="C589" s="1" t="s">
        <v>1360</v>
      </c>
      <c r="E589" s="1">
        <v>6000.0</v>
      </c>
      <c r="H589" s="1">
        <v>150.0</v>
      </c>
      <c r="J589" s="1">
        <v>50.0</v>
      </c>
      <c r="S589" s="1">
        <v>50.0</v>
      </c>
      <c r="X589" s="1" t="s">
        <v>186</v>
      </c>
      <c r="Y589" s="1" t="s">
        <v>471</v>
      </c>
      <c r="AA589" s="1">
        <v>1.0</v>
      </c>
      <c r="AB589" s="1">
        <v>1.0</v>
      </c>
      <c r="AC589" s="1">
        <v>1.0</v>
      </c>
      <c r="AE589" s="1">
        <v>332238.0</v>
      </c>
      <c r="AF589" s="1">
        <v>2278.0</v>
      </c>
      <c r="AG589" s="1">
        <v>20.0</v>
      </c>
      <c r="AK589" s="1">
        <v>100.0</v>
      </c>
      <c r="AL589" s="1">
        <v>55.0</v>
      </c>
      <c r="AO589" s="1">
        <v>176.0</v>
      </c>
    </row>
    <row r="590" ht="15.75" customHeight="1">
      <c r="A590" s="1">
        <v>589.0</v>
      </c>
      <c r="B590" s="1" t="s">
        <v>137</v>
      </c>
      <c r="C590" s="1" t="s">
        <v>1361</v>
      </c>
      <c r="F590" s="1">
        <v>6000.0</v>
      </c>
      <c r="H590" s="1">
        <v>150.0</v>
      </c>
      <c r="L590" s="1">
        <v>50.0</v>
      </c>
      <c r="S590" s="1">
        <v>50.0</v>
      </c>
      <c r="X590" s="1" t="s">
        <v>186</v>
      </c>
      <c r="Y590" s="1" t="s">
        <v>471</v>
      </c>
      <c r="AA590" s="1">
        <v>1.0</v>
      </c>
      <c r="AB590" s="1">
        <v>1.0</v>
      </c>
      <c r="AC590" s="1">
        <v>1.0</v>
      </c>
      <c r="AE590" s="1">
        <v>332240.0</v>
      </c>
      <c r="AF590" s="1">
        <v>2278.0</v>
      </c>
      <c r="AG590" s="1">
        <v>22.0</v>
      </c>
      <c r="AK590" s="1">
        <v>100.0</v>
      </c>
      <c r="AL590" s="1">
        <v>47.0</v>
      </c>
      <c r="AO590" s="1">
        <v>244.0</v>
      </c>
    </row>
    <row r="591" ht="15.75" customHeight="1">
      <c r="A591" s="1">
        <v>590.0</v>
      </c>
      <c r="B591" s="1" t="s">
        <v>137</v>
      </c>
      <c r="C591" s="1" t="s">
        <v>1361</v>
      </c>
      <c r="E591" s="1">
        <v>2000.0</v>
      </c>
      <c r="F591" s="1">
        <v>4000.0</v>
      </c>
      <c r="H591" s="1">
        <v>150.0</v>
      </c>
      <c r="J591" s="1">
        <v>20.0</v>
      </c>
      <c r="L591" s="1">
        <v>30.0</v>
      </c>
      <c r="S591" s="1">
        <v>50.0</v>
      </c>
      <c r="X591" s="1" t="s">
        <v>186</v>
      </c>
      <c r="Y591" s="1" t="s">
        <v>471</v>
      </c>
      <c r="AA591" s="1">
        <v>1.0</v>
      </c>
      <c r="AB591" s="1">
        <v>1.0</v>
      </c>
      <c r="AC591" s="1">
        <v>1.0</v>
      </c>
      <c r="AE591" s="1">
        <v>332240.0</v>
      </c>
      <c r="AF591" s="1">
        <v>2278.0</v>
      </c>
      <c r="AG591" s="1">
        <v>22.0</v>
      </c>
      <c r="AK591" s="1">
        <v>100.0</v>
      </c>
      <c r="AL591" s="1">
        <v>31.0</v>
      </c>
      <c r="AO591" s="1">
        <v>244.0</v>
      </c>
    </row>
    <row r="592" ht="15.75" customHeight="1">
      <c r="A592" s="1">
        <v>591.0</v>
      </c>
      <c r="B592" s="1" t="s">
        <v>177</v>
      </c>
      <c r="C592" s="1" t="s">
        <v>1362</v>
      </c>
      <c r="AB592" s="1">
        <v>1.0</v>
      </c>
      <c r="AE592" s="1">
        <v>821102.0</v>
      </c>
      <c r="AF592" s="1">
        <v>20408.0</v>
      </c>
    </row>
    <row r="593" ht="15.75" customHeight="1">
      <c r="A593" s="1">
        <v>592.0</v>
      </c>
      <c r="B593" s="1" t="s">
        <v>190</v>
      </c>
      <c r="C593" s="1" t="s">
        <v>1363</v>
      </c>
      <c r="R593" s="1">
        <v>4.0E8</v>
      </c>
      <c r="S593" s="1">
        <v>50.0</v>
      </c>
      <c r="AA593" s="1">
        <v>1.0</v>
      </c>
      <c r="AB593" s="1">
        <v>1.0</v>
      </c>
      <c r="AE593" s="1">
        <v>820110.0</v>
      </c>
      <c r="AF593" s="1">
        <v>20398.0</v>
      </c>
      <c r="AL593" s="1">
        <v>47.0</v>
      </c>
      <c r="AQ593" s="1">
        <v>148.0</v>
      </c>
    </row>
    <row r="594" ht="15.75" customHeight="1">
      <c r="A594" s="1">
        <v>593.0</v>
      </c>
      <c r="B594" s="1" t="s">
        <v>190</v>
      </c>
      <c r="C594" s="1" t="s">
        <v>1364</v>
      </c>
      <c r="R594" s="1">
        <v>4.0E8</v>
      </c>
      <c r="S594" s="1">
        <v>50.0</v>
      </c>
      <c r="AA594" s="1">
        <v>1.0</v>
      </c>
      <c r="AB594" s="1">
        <v>1.0</v>
      </c>
      <c r="AE594" s="1">
        <v>820110.0</v>
      </c>
      <c r="AF594" s="1">
        <v>20398.0</v>
      </c>
      <c r="AQ594" s="1">
        <v>149.0</v>
      </c>
    </row>
    <row r="595" ht="15.75" customHeight="1">
      <c r="A595" s="1">
        <v>594.0</v>
      </c>
      <c r="B595" s="1" t="s">
        <v>190</v>
      </c>
      <c r="C595" s="1" t="s">
        <v>1365</v>
      </c>
      <c r="R595" s="1">
        <v>4.0E8</v>
      </c>
      <c r="S595" s="1">
        <v>50.0</v>
      </c>
      <c r="AA595" s="1">
        <v>1.0</v>
      </c>
      <c r="AB595" s="1">
        <v>1.0</v>
      </c>
      <c r="AE595" s="1">
        <v>820110.0</v>
      </c>
      <c r="AF595" s="1">
        <v>20398.0</v>
      </c>
      <c r="AL595" s="1">
        <v>47.0</v>
      </c>
      <c r="AQ595" s="1">
        <v>150.0</v>
      </c>
    </row>
    <row r="596" ht="15.75" customHeight="1">
      <c r="A596" s="1">
        <v>595.0</v>
      </c>
      <c r="B596" s="1" t="s">
        <v>190</v>
      </c>
      <c r="C596" s="1" t="s">
        <v>1366</v>
      </c>
      <c r="R596" s="1">
        <v>4.0E8</v>
      </c>
      <c r="S596" s="1">
        <v>50.0</v>
      </c>
      <c r="AA596" s="1">
        <v>1.0</v>
      </c>
      <c r="AB596" s="1">
        <v>1.0</v>
      </c>
      <c r="AE596" s="1">
        <v>820110.0</v>
      </c>
      <c r="AF596" s="1">
        <v>20398.0</v>
      </c>
      <c r="AL596" s="1">
        <v>31.0</v>
      </c>
      <c r="AQ596" s="1">
        <v>151.0</v>
      </c>
    </row>
    <row r="597" ht="15.75" customHeight="1">
      <c r="A597" s="1">
        <v>596.0</v>
      </c>
      <c r="B597" s="1" t="s">
        <v>137</v>
      </c>
      <c r="C597" s="1" t="s">
        <v>1367</v>
      </c>
      <c r="E597" s="1">
        <v>3000.0</v>
      </c>
      <c r="F597" s="1">
        <v>2000.0</v>
      </c>
      <c r="H597" s="1">
        <v>450.0</v>
      </c>
      <c r="R597" s="1">
        <v>2.0E8</v>
      </c>
      <c r="S597" s="1">
        <v>50.0</v>
      </c>
      <c r="X597" s="1" t="s">
        <v>140</v>
      </c>
      <c r="Y597" s="1" t="s">
        <v>141</v>
      </c>
      <c r="AB597" s="1">
        <v>1.0</v>
      </c>
      <c r="AE597" s="1">
        <v>332236.0</v>
      </c>
      <c r="AF597" s="1">
        <v>2278.0</v>
      </c>
      <c r="AG597" s="1">
        <v>12.0</v>
      </c>
      <c r="AH597" s="1">
        <v>200.0</v>
      </c>
      <c r="AK597" s="1">
        <v>180.0</v>
      </c>
      <c r="AL597" s="1">
        <v>31.0</v>
      </c>
      <c r="AO597" s="1">
        <v>215.0</v>
      </c>
    </row>
    <row r="598" ht="15.75" customHeight="1">
      <c r="A598" s="1">
        <v>597.0</v>
      </c>
      <c r="B598" s="1" t="s">
        <v>190</v>
      </c>
      <c r="C598" s="1" t="s">
        <v>1368</v>
      </c>
      <c r="R598" s="1">
        <v>4.0E8</v>
      </c>
      <c r="S598" s="1">
        <v>50.0</v>
      </c>
      <c r="AA598" s="1">
        <v>1.0</v>
      </c>
      <c r="AB598" s="1">
        <v>1.0</v>
      </c>
      <c r="AE598" s="1">
        <v>820110.0</v>
      </c>
      <c r="AF598" s="1">
        <v>20398.0</v>
      </c>
      <c r="AL598" s="1">
        <v>55.0</v>
      </c>
      <c r="AQ598" s="1">
        <v>152.0</v>
      </c>
    </row>
    <row r="599" ht="15.75" customHeight="1">
      <c r="A599" s="1">
        <v>600.0</v>
      </c>
      <c r="B599" s="1" t="s">
        <v>137</v>
      </c>
      <c r="C599" s="1" t="s">
        <v>1369</v>
      </c>
      <c r="E599" s="1">
        <v>75.0</v>
      </c>
      <c r="F599" s="1">
        <v>150.0</v>
      </c>
      <c r="H599" s="1">
        <v>50.0</v>
      </c>
      <c r="I599" s="1">
        <v>10.0</v>
      </c>
      <c r="J599" s="1">
        <v>10.0</v>
      </c>
      <c r="K599" s="1">
        <v>10.0</v>
      </c>
      <c r="L599" s="1">
        <v>10.0</v>
      </c>
      <c r="S599" s="1">
        <v>1.0</v>
      </c>
      <c r="X599" s="1" t="s">
        <v>186</v>
      </c>
      <c r="Y599" s="1" t="s">
        <v>141</v>
      </c>
      <c r="AE599" s="1">
        <v>332238.0</v>
      </c>
      <c r="AF599" s="1">
        <v>2278.0</v>
      </c>
      <c r="AG599" s="1">
        <v>20.0</v>
      </c>
      <c r="AH599" s="1">
        <v>245.0</v>
      </c>
      <c r="AI599" s="1">
        <v>121.0</v>
      </c>
      <c r="AJ599" s="1">
        <v>2.0</v>
      </c>
      <c r="AK599" s="1">
        <v>180.0</v>
      </c>
      <c r="AO599" s="1">
        <v>71.0</v>
      </c>
    </row>
    <row r="600" ht="15.75" customHeight="1">
      <c r="A600" s="1">
        <v>601.0</v>
      </c>
      <c r="B600" s="1" t="s">
        <v>137</v>
      </c>
      <c r="C600" s="1" t="s">
        <v>1370</v>
      </c>
      <c r="E600" s="1">
        <v>300.0</v>
      </c>
      <c r="F600" s="1">
        <v>300.0</v>
      </c>
      <c r="H600" s="1">
        <v>150.0</v>
      </c>
      <c r="J600" s="1">
        <v>10.0</v>
      </c>
      <c r="K600" s="1">
        <v>25.0</v>
      </c>
      <c r="L600" s="1">
        <v>10.0</v>
      </c>
      <c r="R600" s="1">
        <v>2.0E7</v>
      </c>
      <c r="S600" s="1">
        <v>50.0</v>
      </c>
      <c r="V600" s="1">
        <v>0.0</v>
      </c>
      <c r="X600" s="1" t="s">
        <v>604</v>
      </c>
      <c r="AA600" s="1">
        <v>1.0</v>
      </c>
      <c r="AC600" s="1">
        <v>1.0</v>
      </c>
      <c r="AE600" s="1">
        <v>332277.0</v>
      </c>
      <c r="AF600" s="1">
        <v>2278.0</v>
      </c>
      <c r="AG600" s="1">
        <v>70.0</v>
      </c>
      <c r="AH600" s="1">
        <v>180.0</v>
      </c>
      <c r="AI600" s="1">
        <v>60.0</v>
      </c>
      <c r="AJ600" s="1">
        <v>25.0</v>
      </c>
      <c r="AK600" s="1">
        <v>130.0</v>
      </c>
      <c r="AL600" s="1">
        <v>59.0</v>
      </c>
      <c r="AN600" s="1">
        <v>4.0</v>
      </c>
      <c r="AO600" s="1">
        <v>77.0</v>
      </c>
    </row>
    <row r="601" ht="15.75" customHeight="1">
      <c r="A601" s="1">
        <v>602.0</v>
      </c>
      <c r="B601" s="1" t="s">
        <v>137</v>
      </c>
      <c r="C601" s="1" t="s">
        <v>1371</v>
      </c>
      <c r="E601" s="1">
        <v>75.0</v>
      </c>
      <c r="F601" s="1">
        <v>150.0</v>
      </c>
      <c r="H601" s="1">
        <v>50.0</v>
      </c>
      <c r="I601" s="1">
        <v>10.0</v>
      </c>
      <c r="J601" s="1">
        <v>10.0</v>
      </c>
      <c r="K601" s="1">
        <v>10.0</v>
      </c>
      <c r="L601" s="1">
        <v>10.0</v>
      </c>
      <c r="S601" s="1">
        <v>1.0</v>
      </c>
      <c r="X601" s="1" t="s">
        <v>186</v>
      </c>
      <c r="Y601" s="1" t="s">
        <v>141</v>
      </c>
      <c r="AE601" s="1">
        <v>332246.0</v>
      </c>
      <c r="AF601" s="1">
        <v>2278.0</v>
      </c>
      <c r="AG601" s="1">
        <v>32.0</v>
      </c>
      <c r="AH601" s="1">
        <v>1.0</v>
      </c>
      <c r="AI601" s="1">
        <v>1.0</v>
      </c>
      <c r="AJ601" s="1">
        <v>1.0</v>
      </c>
      <c r="AK601" s="1">
        <v>210.0</v>
      </c>
      <c r="AO601" s="1">
        <v>71.0</v>
      </c>
    </row>
    <row r="602" ht="15.75" customHeight="1">
      <c r="A602" s="1">
        <v>603.0</v>
      </c>
      <c r="B602" s="1" t="s">
        <v>137</v>
      </c>
      <c r="C602" s="1" t="s">
        <v>1372</v>
      </c>
      <c r="E602" s="1">
        <v>75.0</v>
      </c>
      <c r="F602" s="1">
        <v>150.0</v>
      </c>
      <c r="H602" s="1">
        <v>50.0</v>
      </c>
      <c r="I602" s="1">
        <v>10.0</v>
      </c>
      <c r="J602" s="1">
        <v>10.0</v>
      </c>
      <c r="K602" s="1">
        <v>10.0</v>
      </c>
      <c r="L602" s="1">
        <v>10.0</v>
      </c>
      <c r="S602" s="1">
        <v>1.0</v>
      </c>
      <c r="X602" s="1" t="s">
        <v>186</v>
      </c>
      <c r="Y602" s="1" t="s">
        <v>141</v>
      </c>
      <c r="AE602" s="1">
        <v>332246.0</v>
      </c>
      <c r="AF602" s="1">
        <v>2278.0</v>
      </c>
      <c r="AG602" s="1">
        <v>32.0</v>
      </c>
      <c r="AH602" s="1">
        <v>255.0</v>
      </c>
      <c r="AI602" s="1">
        <v>255.0</v>
      </c>
      <c r="AJ602" s="1">
        <v>255.0</v>
      </c>
      <c r="AK602" s="1">
        <v>205.0</v>
      </c>
      <c r="AO602" s="1">
        <v>71.0</v>
      </c>
    </row>
    <row r="603" ht="15.75" customHeight="1">
      <c r="A603" s="1">
        <v>604.0</v>
      </c>
      <c r="B603" s="1" t="s">
        <v>163</v>
      </c>
      <c r="C603" s="1" t="s">
        <v>1032</v>
      </c>
      <c r="Z603" s="1">
        <v>100.0</v>
      </c>
      <c r="AE603" s="1">
        <v>821122.0</v>
      </c>
      <c r="AF603" s="1">
        <v>20408.0</v>
      </c>
      <c r="AH603" s="1">
        <v>1.0</v>
      </c>
      <c r="AI603" s="1">
        <v>1.0</v>
      </c>
      <c r="AJ603" s="1">
        <v>1.0</v>
      </c>
      <c r="AK603" s="1">
        <v>255.0</v>
      </c>
      <c r="AM603" s="1">
        <v>99.0</v>
      </c>
      <c r="AO603" s="1">
        <v>250.0</v>
      </c>
    </row>
    <row r="604" ht="15.75" customHeight="1">
      <c r="A604" s="1">
        <v>605.0</v>
      </c>
      <c r="B604" s="1" t="s">
        <v>137</v>
      </c>
      <c r="C604" s="1" t="s">
        <v>1373</v>
      </c>
      <c r="E604" s="1">
        <v>650.0</v>
      </c>
      <c r="F604" s="1">
        <v>1000.0</v>
      </c>
      <c r="H604" s="1">
        <v>200.0</v>
      </c>
      <c r="J604" s="1">
        <v>20.0</v>
      </c>
      <c r="R604" s="1">
        <v>2.0E7</v>
      </c>
      <c r="S604" s="1">
        <v>50.0</v>
      </c>
      <c r="X604" s="1" t="s">
        <v>140</v>
      </c>
      <c r="Y604" s="1" t="s">
        <v>141</v>
      </c>
      <c r="AA604" s="1">
        <v>1.0</v>
      </c>
      <c r="AC604" s="1">
        <v>1.0</v>
      </c>
      <c r="AE604" s="1">
        <v>820254.0</v>
      </c>
      <c r="AF604" s="1">
        <v>20399.0</v>
      </c>
      <c r="AH604" s="1">
        <v>1.0</v>
      </c>
      <c r="AI604" s="1">
        <v>1.0</v>
      </c>
      <c r="AJ604" s="1">
        <v>1.0</v>
      </c>
      <c r="AK604" s="1">
        <v>250.0</v>
      </c>
      <c r="AL604" s="1">
        <v>15.0</v>
      </c>
    </row>
    <row r="605" ht="15.75" customHeight="1">
      <c r="A605" s="1">
        <v>606.0</v>
      </c>
      <c r="B605" s="1" t="s">
        <v>137</v>
      </c>
      <c r="C605" s="1" t="s">
        <v>1374</v>
      </c>
      <c r="E605" s="1">
        <v>75.0</v>
      </c>
      <c r="F605" s="1">
        <v>150.0</v>
      </c>
      <c r="H605" s="1">
        <v>50.0</v>
      </c>
      <c r="I605" s="1">
        <v>10.0</v>
      </c>
      <c r="J605" s="1">
        <v>10.0</v>
      </c>
      <c r="K605" s="1">
        <v>10.0</v>
      </c>
      <c r="L605" s="1">
        <v>10.0</v>
      </c>
      <c r="S605" s="1">
        <v>1.0</v>
      </c>
      <c r="X605" s="1" t="s">
        <v>186</v>
      </c>
      <c r="Y605" s="1" t="s">
        <v>141</v>
      </c>
      <c r="Z605" s="1">
        <v>300000.0</v>
      </c>
      <c r="AE605" s="1">
        <v>820714.0</v>
      </c>
      <c r="AF605" s="1">
        <v>20404.0</v>
      </c>
      <c r="AG605" s="1">
        <v>17.0</v>
      </c>
      <c r="AO605" s="1">
        <v>71.0</v>
      </c>
    </row>
    <row r="606" ht="15.75" customHeight="1">
      <c r="A606" s="1">
        <v>607.0</v>
      </c>
      <c r="B606" s="1" t="s">
        <v>137</v>
      </c>
      <c r="C606" s="1" t="s">
        <v>1375</v>
      </c>
      <c r="E606" s="1">
        <v>175.0</v>
      </c>
      <c r="F606" s="1">
        <v>150.0</v>
      </c>
      <c r="H606" s="1">
        <v>120.0</v>
      </c>
      <c r="I606" s="1">
        <v>15.0</v>
      </c>
      <c r="J606" s="1">
        <v>15.0</v>
      </c>
      <c r="K606" s="1">
        <v>15.0</v>
      </c>
      <c r="L606" s="1">
        <v>15.0</v>
      </c>
      <c r="S606" s="1">
        <v>50.0</v>
      </c>
      <c r="X606" s="1" t="s">
        <v>564</v>
      </c>
      <c r="Y606" s="1" t="s">
        <v>471</v>
      </c>
      <c r="AE606" s="1">
        <v>332204.0</v>
      </c>
      <c r="AF606" s="1">
        <v>2278.0</v>
      </c>
      <c r="AG606" s="1">
        <v>1.0</v>
      </c>
      <c r="AH606" s="1">
        <v>224.0</v>
      </c>
      <c r="AI606" s="1">
        <v>27.0</v>
      </c>
      <c r="AJ606" s="1">
        <v>36.0</v>
      </c>
      <c r="AK606" s="1">
        <v>180.0</v>
      </c>
    </row>
    <row r="607" ht="15.75" customHeight="1">
      <c r="A607" s="1">
        <v>608.0</v>
      </c>
      <c r="B607" s="1" t="s">
        <v>137</v>
      </c>
      <c r="C607" s="1" t="s">
        <v>1376</v>
      </c>
      <c r="E607" s="1">
        <v>1000.0</v>
      </c>
      <c r="F607" s="1">
        <v>1000.0</v>
      </c>
      <c r="H607" s="1">
        <v>100.0</v>
      </c>
      <c r="K607" s="1">
        <v>50.0</v>
      </c>
      <c r="S607" s="1">
        <v>50.0</v>
      </c>
      <c r="X607" s="1" t="s">
        <v>634</v>
      </c>
      <c r="Y607" s="1" t="s">
        <v>471</v>
      </c>
      <c r="AA607" s="1">
        <v>1.0</v>
      </c>
      <c r="AB607" s="1">
        <v>1.0</v>
      </c>
      <c r="AC607" s="1">
        <v>1.0</v>
      </c>
      <c r="AE607" s="1">
        <v>820041.0</v>
      </c>
      <c r="AF607" s="1">
        <v>20397.0</v>
      </c>
      <c r="AL607" s="1">
        <v>59.0</v>
      </c>
      <c r="AO607" s="1">
        <v>76.0</v>
      </c>
    </row>
    <row r="608" ht="15.75" customHeight="1">
      <c r="A608" s="1">
        <v>609.0</v>
      </c>
      <c r="B608" s="1" t="s">
        <v>137</v>
      </c>
      <c r="C608" s="1" t="s">
        <v>1377</v>
      </c>
      <c r="E608" s="1">
        <v>3000.0</v>
      </c>
      <c r="F608" s="1">
        <v>3000.0</v>
      </c>
      <c r="H608" s="1">
        <v>200.0</v>
      </c>
      <c r="I608" s="1">
        <v>20.0</v>
      </c>
      <c r="J608" s="1">
        <v>20.0</v>
      </c>
      <c r="K608" s="1">
        <v>20.0</v>
      </c>
      <c r="L608" s="1">
        <v>20.0</v>
      </c>
      <c r="M608" s="1">
        <v>20.0</v>
      </c>
      <c r="N608" s="1">
        <v>20.0</v>
      </c>
      <c r="O608" s="1">
        <v>20.0</v>
      </c>
      <c r="P608" s="1">
        <v>20.0</v>
      </c>
      <c r="Q608" s="1">
        <v>20.0</v>
      </c>
      <c r="S608" s="1">
        <v>50.0</v>
      </c>
      <c r="X608" s="1" t="s">
        <v>140</v>
      </c>
      <c r="Y608" s="1" t="s">
        <v>141</v>
      </c>
      <c r="AA608" s="1">
        <v>1.0</v>
      </c>
      <c r="AB608" s="1">
        <v>1.0</v>
      </c>
      <c r="AE608" s="1">
        <v>820285.0</v>
      </c>
      <c r="AF608" s="1">
        <v>20399.0</v>
      </c>
      <c r="AO608" s="1">
        <v>161.0</v>
      </c>
    </row>
    <row r="609" ht="15.75" customHeight="1">
      <c r="A609" s="1">
        <v>610.0</v>
      </c>
      <c r="B609" s="1" t="s">
        <v>148</v>
      </c>
      <c r="C609" s="1" t="s">
        <v>1378</v>
      </c>
      <c r="E609" s="1">
        <v>125.0</v>
      </c>
      <c r="F609" s="1">
        <v>125.0</v>
      </c>
      <c r="S609" s="1">
        <v>50.0</v>
      </c>
      <c r="V609" s="1">
        <v>50.0</v>
      </c>
      <c r="X609" s="1" t="s">
        <v>153</v>
      </c>
      <c r="Y609" s="1" t="s">
        <v>211</v>
      </c>
      <c r="AA609" s="1">
        <v>1.0</v>
      </c>
      <c r="AB609" s="1">
        <v>1.0</v>
      </c>
      <c r="AC609" s="1">
        <v>1.0</v>
      </c>
      <c r="AE609" s="1">
        <v>332513.0</v>
      </c>
      <c r="AF609" s="1">
        <v>2281.0</v>
      </c>
      <c r="AG609" s="1">
        <v>37.0</v>
      </c>
      <c r="AH609" s="1">
        <v>10.0</v>
      </c>
      <c r="AI609" s="1">
        <v>10.0</v>
      </c>
      <c r="AJ609" s="1">
        <v>255.0</v>
      </c>
      <c r="AK609" s="1">
        <v>70.0</v>
      </c>
      <c r="AN609" s="1">
        <v>4.0</v>
      </c>
      <c r="AO609" s="1">
        <v>76.0</v>
      </c>
    </row>
    <row r="610" ht="15.75" customHeight="1">
      <c r="A610" s="1">
        <v>611.0</v>
      </c>
      <c r="B610" s="1" t="s">
        <v>137</v>
      </c>
      <c r="C610" s="1" t="s">
        <v>1379</v>
      </c>
      <c r="E610" s="1">
        <v>1750.0</v>
      </c>
      <c r="F610" s="1">
        <v>300.0</v>
      </c>
      <c r="H610" s="1">
        <v>375.0</v>
      </c>
      <c r="J610" s="1">
        <v>5.0</v>
      </c>
      <c r="L610" s="1">
        <v>15.0</v>
      </c>
      <c r="R610" s="1">
        <v>2.0E7</v>
      </c>
      <c r="S610" s="1">
        <v>50.0</v>
      </c>
      <c r="X610" s="1" t="s">
        <v>140</v>
      </c>
      <c r="Y610" s="1" t="s">
        <v>141</v>
      </c>
      <c r="AA610" s="1">
        <v>1.0</v>
      </c>
      <c r="AC610" s="1">
        <v>1.0</v>
      </c>
      <c r="AE610" s="1">
        <v>332236.0</v>
      </c>
      <c r="AF610" s="1">
        <v>2278.0</v>
      </c>
      <c r="AG610" s="1">
        <v>12.0</v>
      </c>
      <c r="AK610" s="1">
        <v>180.0</v>
      </c>
      <c r="AL610" s="1">
        <v>51.0</v>
      </c>
    </row>
    <row r="611" ht="15.75" customHeight="1">
      <c r="A611" s="1">
        <v>612.0</v>
      </c>
      <c r="B611" s="1" t="s">
        <v>148</v>
      </c>
      <c r="C611" s="1" t="s">
        <v>1380</v>
      </c>
      <c r="E611" s="1">
        <v>125.0</v>
      </c>
      <c r="F611" s="1">
        <v>125.0</v>
      </c>
      <c r="S611" s="1">
        <v>50.0</v>
      </c>
      <c r="V611" s="1">
        <v>50.0</v>
      </c>
      <c r="X611" s="1" t="s">
        <v>153</v>
      </c>
      <c r="Y611" s="1" t="s">
        <v>211</v>
      </c>
      <c r="AA611" s="1">
        <v>1.0</v>
      </c>
      <c r="AB611" s="1">
        <v>1.0</v>
      </c>
      <c r="AC611" s="1">
        <v>1.0</v>
      </c>
      <c r="AE611" s="1">
        <v>820282.0</v>
      </c>
      <c r="AF611" s="1">
        <v>20399.0</v>
      </c>
      <c r="AG611" s="1">
        <v>316.0</v>
      </c>
      <c r="AK611" s="1">
        <v>180.0</v>
      </c>
      <c r="AN611" s="1">
        <v>4.0</v>
      </c>
      <c r="AO611" s="1">
        <v>76.0</v>
      </c>
    </row>
    <row r="612" ht="15.75" customHeight="1">
      <c r="A612" s="1">
        <v>613.0</v>
      </c>
      <c r="B612" s="1" t="s">
        <v>137</v>
      </c>
      <c r="C612" s="1" t="s">
        <v>1381</v>
      </c>
      <c r="F612" s="1">
        <v>100.0</v>
      </c>
      <c r="H612" s="1">
        <v>75.0</v>
      </c>
      <c r="I612" s="1">
        <v>3.0</v>
      </c>
      <c r="J612" s="1">
        <v>3.0</v>
      </c>
      <c r="K612" s="1">
        <v>3.0</v>
      </c>
      <c r="L612" s="1">
        <v>3.0</v>
      </c>
      <c r="M612" s="1">
        <v>10.0</v>
      </c>
      <c r="N612" s="1">
        <v>10.0</v>
      </c>
      <c r="O612" s="1">
        <v>10.0</v>
      </c>
      <c r="P612" s="1">
        <v>10.0</v>
      </c>
      <c r="Q612" s="1">
        <v>10.0</v>
      </c>
      <c r="S612" s="1">
        <v>1.0</v>
      </c>
      <c r="V612" s="1">
        <v>0.0</v>
      </c>
      <c r="X612" s="1" t="s">
        <v>604</v>
      </c>
      <c r="Z612" s="1">
        <v>500000.0</v>
      </c>
      <c r="AE612" s="1">
        <v>332277.0</v>
      </c>
      <c r="AF612" s="1">
        <v>2278.0</v>
      </c>
      <c r="AG612" s="1">
        <v>70.0</v>
      </c>
      <c r="AK612" s="1">
        <v>200.0</v>
      </c>
      <c r="AN612" s="1">
        <v>4.0</v>
      </c>
      <c r="AO612" s="1">
        <v>71.0</v>
      </c>
    </row>
    <row r="613" ht="15.75" customHeight="1">
      <c r="A613" s="1">
        <v>614.0</v>
      </c>
      <c r="B613" s="1" t="s">
        <v>137</v>
      </c>
      <c r="C613" s="1" t="s">
        <v>1382</v>
      </c>
      <c r="E613" s="1">
        <v>1750.0</v>
      </c>
      <c r="F613" s="1">
        <v>300.0</v>
      </c>
      <c r="H613" s="1">
        <v>375.0</v>
      </c>
      <c r="J613" s="1">
        <v>5.0</v>
      </c>
      <c r="L613" s="1">
        <v>15.0</v>
      </c>
      <c r="R613" s="1">
        <v>2.0E7</v>
      </c>
      <c r="S613" s="1">
        <v>50.0</v>
      </c>
      <c r="X613" s="1" t="s">
        <v>140</v>
      </c>
      <c r="Y613" s="1" t="s">
        <v>141</v>
      </c>
      <c r="AA613" s="1">
        <v>1.0</v>
      </c>
      <c r="AC613" s="1">
        <v>1.0</v>
      </c>
      <c r="AE613" s="1">
        <v>332201.0</v>
      </c>
      <c r="AF613" s="1">
        <v>2278.0</v>
      </c>
      <c r="AG613" s="1">
        <v>20.0</v>
      </c>
      <c r="AH613" s="1">
        <v>255.0</v>
      </c>
      <c r="AI613" s="1">
        <v>10.0</v>
      </c>
      <c r="AJ613" s="1">
        <v>10.0</v>
      </c>
      <c r="AK613" s="1">
        <v>120.0</v>
      </c>
      <c r="AL613" s="1">
        <v>51.0</v>
      </c>
    </row>
    <row r="614" ht="15.75" customHeight="1">
      <c r="A614" s="1">
        <v>615.0</v>
      </c>
      <c r="B614" s="1" t="s">
        <v>137</v>
      </c>
      <c r="C614" s="1" t="s">
        <v>1383</v>
      </c>
      <c r="E614" s="1">
        <v>650.0</v>
      </c>
      <c r="F614" s="1">
        <v>1000.0</v>
      </c>
      <c r="H614" s="1">
        <v>200.0</v>
      </c>
      <c r="J614" s="1">
        <v>20.0</v>
      </c>
      <c r="R614" s="1">
        <v>2.0E7</v>
      </c>
      <c r="S614" s="1">
        <v>50.0</v>
      </c>
      <c r="X614" s="1" t="s">
        <v>140</v>
      </c>
      <c r="Y614" s="1" t="s">
        <v>141</v>
      </c>
      <c r="AA614" s="1">
        <v>1.0</v>
      </c>
      <c r="AC614" s="1">
        <v>1.0</v>
      </c>
      <c r="AE614" s="1">
        <v>332201.0</v>
      </c>
      <c r="AF614" s="1">
        <v>2278.0</v>
      </c>
      <c r="AG614" s="1">
        <v>20.0</v>
      </c>
      <c r="AH614" s="1">
        <v>10.0</v>
      </c>
      <c r="AI614" s="1">
        <v>10.0</v>
      </c>
      <c r="AJ614" s="1">
        <v>255.0</v>
      </c>
      <c r="AK614" s="1">
        <v>70.0</v>
      </c>
      <c r="AL614" s="1">
        <v>15.0</v>
      </c>
    </row>
    <row r="615" ht="15.75" customHeight="1">
      <c r="A615" s="1">
        <v>616.0</v>
      </c>
      <c r="B615" s="1" t="s">
        <v>163</v>
      </c>
      <c r="C615" s="1" t="s">
        <v>1319</v>
      </c>
      <c r="Z615" s="1">
        <v>250000.0</v>
      </c>
      <c r="AE615" s="1">
        <v>820607.0</v>
      </c>
      <c r="AF615" s="1">
        <v>20403.0</v>
      </c>
      <c r="AM615" s="1">
        <v>10.0</v>
      </c>
      <c r="AO615" s="1">
        <v>230.0</v>
      </c>
    </row>
    <row r="616" ht="15.75" customHeight="1">
      <c r="A616" s="1">
        <v>617.0</v>
      </c>
      <c r="B616" s="1" t="s">
        <v>137</v>
      </c>
      <c r="C616" s="1" t="s">
        <v>1384</v>
      </c>
      <c r="E616" s="1">
        <v>3000.0</v>
      </c>
      <c r="F616" s="1">
        <v>3000.0</v>
      </c>
      <c r="H616" s="1">
        <v>200.0</v>
      </c>
      <c r="X616" s="1" t="s">
        <v>709</v>
      </c>
      <c r="AE616" s="1">
        <v>820084.0</v>
      </c>
      <c r="AF616" s="1">
        <v>20397.0</v>
      </c>
      <c r="AO616" s="1">
        <v>72.0</v>
      </c>
    </row>
    <row r="617" ht="15.75" customHeight="1">
      <c r="A617" s="1">
        <v>618.0</v>
      </c>
      <c r="B617" s="1" t="s">
        <v>148</v>
      </c>
      <c r="C617" s="1" t="s">
        <v>1385</v>
      </c>
      <c r="E617" s="1">
        <v>2000.0</v>
      </c>
      <c r="F617" s="1">
        <v>7000.0</v>
      </c>
      <c r="S617" s="1">
        <v>50.0</v>
      </c>
      <c r="V617" s="1">
        <v>150.0</v>
      </c>
      <c r="X617" s="1" t="s">
        <v>153</v>
      </c>
      <c r="Y617" s="1" t="s">
        <v>155</v>
      </c>
      <c r="AE617" s="1">
        <v>331349.0</v>
      </c>
      <c r="AF617" s="1">
        <v>2269.0</v>
      </c>
      <c r="AG617" s="1">
        <v>61.0</v>
      </c>
      <c r="AK617" s="1">
        <v>200.0</v>
      </c>
      <c r="AL617" s="1">
        <v>47.0</v>
      </c>
      <c r="AN617" s="1">
        <v>4.0</v>
      </c>
      <c r="AO617" s="1">
        <v>72.0</v>
      </c>
    </row>
    <row r="618" ht="15.75" customHeight="1">
      <c r="A618" s="1">
        <v>619.0</v>
      </c>
      <c r="B618" s="1" t="s">
        <v>137</v>
      </c>
      <c r="C618" s="1" t="s">
        <v>1386</v>
      </c>
      <c r="E618" s="1">
        <v>3000.0</v>
      </c>
      <c r="F618" s="1">
        <v>3000.0</v>
      </c>
      <c r="H618" s="1">
        <v>200.0</v>
      </c>
      <c r="S618" s="1">
        <v>1.0</v>
      </c>
      <c r="V618" s="1">
        <v>0.0</v>
      </c>
      <c r="X618" s="1" t="s">
        <v>604</v>
      </c>
      <c r="AE618" s="1">
        <v>332277.0</v>
      </c>
      <c r="AF618" s="1">
        <v>2278.0</v>
      </c>
      <c r="AG618" s="1">
        <v>70.0</v>
      </c>
      <c r="AK618" s="1">
        <v>200.0</v>
      </c>
      <c r="AN618" s="1">
        <v>4.0</v>
      </c>
      <c r="AO618" s="1">
        <v>72.0</v>
      </c>
    </row>
    <row r="619" ht="15.75" customHeight="1">
      <c r="A619" s="1">
        <v>620.0</v>
      </c>
      <c r="B619" s="1" t="s">
        <v>137</v>
      </c>
      <c r="C619" s="1" t="s">
        <v>1387</v>
      </c>
      <c r="E619" s="1">
        <v>3000.0</v>
      </c>
      <c r="F619" s="1">
        <v>3000.0</v>
      </c>
      <c r="H619" s="1">
        <v>200.0</v>
      </c>
      <c r="V619" s="1">
        <v>0.0</v>
      </c>
      <c r="X619" s="1" t="s">
        <v>694</v>
      </c>
      <c r="AE619" s="1">
        <v>820079.0</v>
      </c>
      <c r="AF619" s="1">
        <v>20397.0</v>
      </c>
      <c r="AO619" s="1">
        <v>72.0</v>
      </c>
    </row>
    <row r="620" ht="15.75" customHeight="1">
      <c r="A620" s="1">
        <v>621.0</v>
      </c>
      <c r="B620" s="1" t="s">
        <v>177</v>
      </c>
      <c r="C620" s="1" t="s">
        <v>1388</v>
      </c>
      <c r="Z620" s="1">
        <v>500.0</v>
      </c>
      <c r="AE620" s="1">
        <v>820183.0</v>
      </c>
      <c r="AF620" s="1">
        <v>20398.0</v>
      </c>
      <c r="AM620" s="1">
        <v>99.0</v>
      </c>
    </row>
    <row r="621" ht="15.75" customHeight="1">
      <c r="A621" s="1">
        <v>622.0</v>
      </c>
      <c r="B621" s="1" t="s">
        <v>177</v>
      </c>
      <c r="C621" s="1" t="s">
        <v>1389</v>
      </c>
      <c r="Z621" s="1">
        <v>200.0</v>
      </c>
      <c r="AE621" s="1">
        <v>820123.0</v>
      </c>
      <c r="AF621" s="1">
        <v>20398.0</v>
      </c>
      <c r="AM621" s="1">
        <v>99.0</v>
      </c>
    </row>
    <row r="622" ht="15.75" customHeight="1">
      <c r="A622" s="1">
        <v>623.0</v>
      </c>
      <c r="B622" s="1" t="s">
        <v>177</v>
      </c>
      <c r="C622" s="1" t="s">
        <v>1390</v>
      </c>
      <c r="Z622" s="1">
        <v>200.0</v>
      </c>
      <c r="AE622" s="1">
        <v>820300.0</v>
      </c>
      <c r="AF622" s="1">
        <v>20400.0</v>
      </c>
      <c r="AH622" s="1">
        <v>255.0</v>
      </c>
      <c r="AI622" s="1">
        <v>65.0</v>
      </c>
      <c r="AJ622" s="1">
        <v>7.0</v>
      </c>
      <c r="AK622" s="1">
        <v>200.0</v>
      </c>
      <c r="AM622" s="1">
        <v>99.0</v>
      </c>
    </row>
    <row r="623" ht="15.75" customHeight="1">
      <c r="A623" s="1">
        <v>624.0</v>
      </c>
      <c r="B623" s="1" t="s">
        <v>177</v>
      </c>
      <c r="C623" s="1" t="s">
        <v>1391</v>
      </c>
      <c r="Z623" s="1">
        <v>200.0</v>
      </c>
      <c r="AE623" s="1">
        <v>820300.0</v>
      </c>
      <c r="AF623" s="1">
        <v>20400.0</v>
      </c>
      <c r="AH623" s="1">
        <v>7.0</v>
      </c>
      <c r="AI623" s="1">
        <v>89.0</v>
      </c>
      <c r="AJ623" s="1">
        <v>255.0</v>
      </c>
      <c r="AK623" s="1">
        <v>200.0</v>
      </c>
      <c r="AM623" s="1">
        <v>99.0</v>
      </c>
    </row>
    <row r="624" ht="15.75" customHeight="1">
      <c r="A624" s="1">
        <v>625.0</v>
      </c>
      <c r="B624" s="1" t="s">
        <v>177</v>
      </c>
      <c r="C624" s="1" t="s">
        <v>1392</v>
      </c>
      <c r="Z624" s="1">
        <v>200.0</v>
      </c>
      <c r="AE624" s="1">
        <v>820300.0</v>
      </c>
      <c r="AF624" s="1">
        <v>20400.0</v>
      </c>
      <c r="AH624" s="1">
        <v>130.0</v>
      </c>
      <c r="AI624" s="1">
        <v>7.0</v>
      </c>
      <c r="AJ624" s="1">
        <v>255.0</v>
      </c>
      <c r="AK624" s="1">
        <v>200.0</v>
      </c>
      <c r="AM624" s="1">
        <v>99.0</v>
      </c>
    </row>
    <row r="625" ht="15.75" customHeight="1">
      <c r="A625" s="1">
        <v>626.0</v>
      </c>
      <c r="B625" s="1" t="s">
        <v>177</v>
      </c>
      <c r="C625" s="1" t="s">
        <v>1393</v>
      </c>
      <c r="Z625" s="1">
        <v>200.0</v>
      </c>
      <c r="AE625" s="1">
        <v>820300.0</v>
      </c>
      <c r="AF625" s="1">
        <v>20400.0</v>
      </c>
      <c r="AH625" s="1">
        <v>71.0</v>
      </c>
      <c r="AI625" s="1">
        <v>255.0</v>
      </c>
      <c r="AJ625" s="1">
        <v>7.0</v>
      </c>
      <c r="AK625" s="1">
        <v>200.0</v>
      </c>
      <c r="AM625" s="1">
        <v>99.0</v>
      </c>
    </row>
    <row r="626" ht="15.75" customHeight="1">
      <c r="A626" s="1">
        <v>627.0</v>
      </c>
      <c r="B626" s="1" t="s">
        <v>177</v>
      </c>
      <c r="C626" s="1" t="s">
        <v>1394</v>
      </c>
      <c r="Z626" s="1">
        <v>200.0</v>
      </c>
      <c r="AE626" s="1">
        <v>820300.0</v>
      </c>
      <c r="AF626" s="1">
        <v>20400.0</v>
      </c>
      <c r="AH626" s="1">
        <v>255.0</v>
      </c>
      <c r="AI626" s="1">
        <v>100.0</v>
      </c>
      <c r="AJ626" s="1">
        <v>15.0</v>
      </c>
      <c r="AK626" s="1">
        <v>200.0</v>
      </c>
      <c r="AM626" s="1">
        <v>99.0</v>
      </c>
    </row>
    <row r="627" ht="15.75" customHeight="1">
      <c r="A627" s="1">
        <v>628.0</v>
      </c>
      <c r="B627" s="1" t="s">
        <v>163</v>
      </c>
      <c r="C627" s="1" t="s">
        <v>1395</v>
      </c>
      <c r="Z627" s="1">
        <v>1500.0</v>
      </c>
      <c r="AE627" s="1">
        <v>820181.0</v>
      </c>
      <c r="AF627" s="1">
        <v>20398.0</v>
      </c>
      <c r="AM627" s="1">
        <v>99.0</v>
      </c>
      <c r="AO627" s="1">
        <v>251.0</v>
      </c>
    </row>
    <row r="628" ht="15.75" customHeight="1">
      <c r="A628" s="1">
        <v>629.0</v>
      </c>
      <c r="B628" s="1" t="s">
        <v>163</v>
      </c>
      <c r="C628" s="1" t="s">
        <v>1396</v>
      </c>
      <c r="Z628" s="1">
        <v>1500.0</v>
      </c>
      <c r="AE628" s="1">
        <v>820178.0</v>
      </c>
      <c r="AF628" s="1">
        <v>20398.0</v>
      </c>
      <c r="AM628" s="1">
        <v>99.0</v>
      </c>
      <c r="AO628" s="1">
        <v>252.0</v>
      </c>
    </row>
    <row r="629" ht="15.75" customHeight="1">
      <c r="A629" s="1">
        <v>630.0</v>
      </c>
      <c r="B629" s="1" t="s">
        <v>163</v>
      </c>
      <c r="C629" s="1" t="s">
        <v>1397</v>
      </c>
      <c r="Z629" s="1">
        <v>1500.0</v>
      </c>
      <c r="AE629" s="1">
        <v>820180.0</v>
      </c>
      <c r="AF629" s="1">
        <v>20398.0</v>
      </c>
      <c r="AM629" s="1">
        <v>99.0</v>
      </c>
      <c r="AO629" s="1">
        <v>253.0</v>
      </c>
    </row>
    <row r="630" ht="15.75" customHeight="1">
      <c r="A630" s="1">
        <v>631.0</v>
      </c>
      <c r="B630" s="1" t="s">
        <v>163</v>
      </c>
      <c r="C630" s="1" t="s">
        <v>1398</v>
      </c>
      <c r="Z630" s="1">
        <v>2000.0</v>
      </c>
      <c r="AE630" s="1">
        <v>820179.0</v>
      </c>
      <c r="AF630" s="1">
        <v>20398.0</v>
      </c>
      <c r="AM630" s="1">
        <v>99.0</v>
      </c>
      <c r="AO630" s="1">
        <v>254.0</v>
      </c>
    </row>
    <row r="631" ht="15.75" customHeight="1">
      <c r="A631" s="1">
        <v>632.0</v>
      </c>
      <c r="B631" s="1" t="s">
        <v>163</v>
      </c>
      <c r="C631" s="1" t="s">
        <v>1399</v>
      </c>
      <c r="Z631" s="1">
        <v>2000.0</v>
      </c>
      <c r="AE631" s="1">
        <v>820177.0</v>
      </c>
      <c r="AF631" s="1">
        <v>20398.0</v>
      </c>
      <c r="AM631" s="1">
        <v>99.0</v>
      </c>
      <c r="AO631" s="1">
        <v>255.0</v>
      </c>
    </row>
    <row r="632" ht="15.75" customHeight="1">
      <c r="A632" s="1">
        <v>633.0</v>
      </c>
      <c r="B632" s="1" t="s">
        <v>137</v>
      </c>
      <c r="C632" s="1" t="s">
        <v>1400</v>
      </c>
      <c r="E632" s="1">
        <v>1500.0</v>
      </c>
      <c r="F632" s="1">
        <v>1500.0</v>
      </c>
      <c r="H632" s="1">
        <v>200.0</v>
      </c>
      <c r="I632" s="1">
        <v>20.0</v>
      </c>
      <c r="J632" s="1">
        <v>20.0</v>
      </c>
      <c r="K632" s="1">
        <v>20.0</v>
      </c>
      <c r="L632" s="1">
        <v>20.0</v>
      </c>
      <c r="M632" s="1">
        <v>20.0</v>
      </c>
      <c r="N632" s="1">
        <v>20.0</v>
      </c>
      <c r="O632" s="1">
        <v>20.0</v>
      </c>
      <c r="P632" s="1">
        <v>20.0</v>
      </c>
      <c r="Q632" s="1">
        <v>20.0</v>
      </c>
      <c r="X632" s="1" t="s">
        <v>186</v>
      </c>
      <c r="Y632" s="1" t="s">
        <v>141</v>
      </c>
      <c r="AA632" s="1">
        <v>1.0</v>
      </c>
      <c r="AE632" s="1">
        <v>332294.0</v>
      </c>
      <c r="AF632" s="1">
        <v>2278.0</v>
      </c>
      <c r="AG632" s="1">
        <v>53.0</v>
      </c>
      <c r="AH632" s="1">
        <v>20.0</v>
      </c>
      <c r="AI632" s="1">
        <v>70.0</v>
      </c>
      <c r="AJ632" s="1">
        <v>130.0</v>
      </c>
      <c r="AK632" s="1">
        <v>150.0</v>
      </c>
      <c r="AO632" s="1">
        <v>72.0</v>
      </c>
    </row>
    <row r="633" ht="15.75" customHeight="1">
      <c r="A633" s="1">
        <v>634.0</v>
      </c>
      <c r="B633" s="1" t="s">
        <v>137</v>
      </c>
      <c r="C633" s="1" t="s">
        <v>1401</v>
      </c>
      <c r="E633" s="1">
        <v>1500.0</v>
      </c>
      <c r="F633" s="1">
        <v>1500.0</v>
      </c>
      <c r="H633" s="1">
        <v>200.0</v>
      </c>
      <c r="I633" s="1">
        <v>20.0</v>
      </c>
      <c r="J633" s="1">
        <v>20.0</v>
      </c>
      <c r="K633" s="1">
        <v>20.0</v>
      </c>
      <c r="L633" s="1">
        <v>20.0</v>
      </c>
      <c r="M633" s="1">
        <v>20.0</v>
      </c>
      <c r="N633" s="1">
        <v>20.0</v>
      </c>
      <c r="O633" s="1">
        <v>20.0</v>
      </c>
      <c r="P633" s="1">
        <v>20.0</v>
      </c>
      <c r="Q633" s="1">
        <v>20.0</v>
      </c>
      <c r="X633" s="1" t="s">
        <v>140</v>
      </c>
      <c r="Y633" s="1" t="s">
        <v>141</v>
      </c>
      <c r="AE633" s="1">
        <v>332243.0</v>
      </c>
      <c r="AF633" s="1">
        <v>2278.0</v>
      </c>
      <c r="AG633" s="1">
        <v>14.0</v>
      </c>
      <c r="AH633" s="1">
        <v>20.0</v>
      </c>
      <c r="AI633" s="1">
        <v>70.0</v>
      </c>
      <c r="AJ633" s="1">
        <v>130.0</v>
      </c>
      <c r="AK633" s="1">
        <v>150.0</v>
      </c>
      <c r="AO633" s="1">
        <v>72.0</v>
      </c>
    </row>
    <row r="634" ht="15.75" customHeight="1">
      <c r="A634" s="1">
        <v>635.0</v>
      </c>
      <c r="B634" s="1" t="s">
        <v>148</v>
      </c>
      <c r="C634" s="1" t="s">
        <v>1402</v>
      </c>
      <c r="E634" s="1">
        <v>1500.0</v>
      </c>
      <c r="F634" s="1">
        <v>1500.0</v>
      </c>
      <c r="H634" s="1">
        <v>200.0</v>
      </c>
      <c r="I634" s="1">
        <v>20.0</v>
      </c>
      <c r="J634" s="1">
        <v>20.0</v>
      </c>
      <c r="K634" s="1">
        <v>20.0</v>
      </c>
      <c r="L634" s="1">
        <v>20.0</v>
      </c>
      <c r="M634" s="1">
        <v>20.0</v>
      </c>
      <c r="N634" s="1">
        <v>20.0</v>
      </c>
      <c r="O634" s="1">
        <v>20.0</v>
      </c>
      <c r="P634" s="1">
        <v>20.0</v>
      </c>
      <c r="Q634" s="1">
        <v>20.0</v>
      </c>
      <c r="V634" s="1">
        <v>50.0</v>
      </c>
      <c r="X634" s="1" t="s">
        <v>153</v>
      </c>
      <c r="Y634" s="1" t="s">
        <v>211</v>
      </c>
      <c r="AE634" s="1">
        <v>331352.0</v>
      </c>
      <c r="AF634" s="1">
        <v>2269.0</v>
      </c>
      <c r="AG634" s="1">
        <v>64.0</v>
      </c>
      <c r="AH634" s="1">
        <v>20.0</v>
      </c>
      <c r="AI634" s="1">
        <v>70.0</v>
      </c>
      <c r="AJ634" s="1">
        <v>130.0</v>
      </c>
      <c r="AK634" s="1">
        <v>180.0</v>
      </c>
      <c r="AN634" s="1">
        <v>4.0</v>
      </c>
      <c r="AO634" s="1">
        <v>72.0</v>
      </c>
    </row>
    <row r="635" ht="15.75" customHeight="1">
      <c r="A635" s="1">
        <v>636.0</v>
      </c>
      <c r="B635" s="1" t="s">
        <v>137</v>
      </c>
      <c r="C635" s="1" t="s">
        <v>1403</v>
      </c>
      <c r="E635" s="1">
        <v>1500.0</v>
      </c>
      <c r="F635" s="1">
        <v>1500.0</v>
      </c>
      <c r="H635" s="1">
        <v>200.0</v>
      </c>
      <c r="I635" s="1">
        <v>20.0</v>
      </c>
      <c r="J635" s="1">
        <v>20.0</v>
      </c>
      <c r="K635" s="1">
        <v>20.0</v>
      </c>
      <c r="L635" s="1">
        <v>20.0</v>
      </c>
      <c r="M635" s="1">
        <v>20.0</v>
      </c>
      <c r="N635" s="1">
        <v>20.0</v>
      </c>
      <c r="O635" s="1">
        <v>20.0</v>
      </c>
      <c r="P635" s="1">
        <v>20.0</v>
      </c>
      <c r="Q635" s="1">
        <v>20.0</v>
      </c>
      <c r="X635" s="1" t="s">
        <v>564</v>
      </c>
      <c r="Y635" s="1" t="s">
        <v>471</v>
      </c>
      <c r="AE635" s="1">
        <v>51332.0</v>
      </c>
      <c r="AF635" s="1">
        <v>2282.0</v>
      </c>
      <c r="AG635" s="1">
        <v>14.0</v>
      </c>
      <c r="AK635" s="1">
        <v>160.0</v>
      </c>
      <c r="AO635" s="1">
        <v>140.0</v>
      </c>
    </row>
    <row r="636" ht="15.75" customHeight="1">
      <c r="A636" s="1">
        <v>637.0</v>
      </c>
      <c r="B636" s="1" t="s">
        <v>137</v>
      </c>
      <c r="C636" s="1" t="s">
        <v>1404</v>
      </c>
      <c r="E636" s="1">
        <v>1500.0</v>
      </c>
      <c r="F636" s="1">
        <v>1500.0</v>
      </c>
      <c r="H636" s="1">
        <v>200.0</v>
      </c>
      <c r="I636" s="1">
        <v>20.0</v>
      </c>
      <c r="J636" s="1">
        <v>20.0</v>
      </c>
      <c r="K636" s="1">
        <v>20.0</v>
      </c>
      <c r="L636" s="1">
        <v>20.0</v>
      </c>
      <c r="M636" s="1">
        <v>20.0</v>
      </c>
      <c r="N636" s="1">
        <v>20.0</v>
      </c>
      <c r="O636" s="1">
        <v>20.0</v>
      </c>
      <c r="P636" s="1">
        <v>20.0</v>
      </c>
      <c r="Q636" s="1">
        <v>20.0</v>
      </c>
      <c r="X636" s="1" t="s">
        <v>634</v>
      </c>
      <c r="Y636" s="1" t="s">
        <v>471</v>
      </c>
      <c r="AA636" s="1">
        <v>1.0</v>
      </c>
      <c r="AE636" s="1">
        <v>332288.0</v>
      </c>
      <c r="AF636" s="1">
        <v>2278.0</v>
      </c>
      <c r="AG636" s="1">
        <v>9.0</v>
      </c>
      <c r="AK636" s="1">
        <v>160.0</v>
      </c>
      <c r="AO636" s="1">
        <v>140.0</v>
      </c>
    </row>
    <row r="637" ht="15.75" customHeight="1">
      <c r="A637" s="1">
        <v>638.0</v>
      </c>
      <c r="B637" s="1" t="s">
        <v>137</v>
      </c>
      <c r="C637" s="1" t="s">
        <v>1405</v>
      </c>
      <c r="E637" s="1">
        <v>1500.0</v>
      </c>
      <c r="F637" s="1">
        <v>1500.0</v>
      </c>
      <c r="H637" s="1">
        <v>200.0</v>
      </c>
      <c r="I637" s="1">
        <v>20.0</v>
      </c>
      <c r="J637" s="1">
        <v>20.0</v>
      </c>
      <c r="K637" s="1">
        <v>20.0</v>
      </c>
      <c r="L637" s="1">
        <v>20.0</v>
      </c>
      <c r="M637" s="1">
        <v>20.0</v>
      </c>
      <c r="N637" s="1">
        <v>20.0</v>
      </c>
      <c r="O637" s="1">
        <v>20.0</v>
      </c>
      <c r="P637" s="1">
        <v>20.0</v>
      </c>
      <c r="Q637" s="1">
        <v>20.0</v>
      </c>
      <c r="X637" s="1" t="s">
        <v>715</v>
      </c>
      <c r="AE637" s="1">
        <v>820232.0</v>
      </c>
      <c r="AF637" s="1">
        <v>20399.0</v>
      </c>
      <c r="AO637" s="1">
        <v>140.0</v>
      </c>
    </row>
    <row r="638" ht="15.75" customHeight="1">
      <c r="A638" s="1">
        <v>639.0</v>
      </c>
      <c r="B638" s="1" t="s">
        <v>137</v>
      </c>
      <c r="C638" s="1" t="s">
        <v>1406</v>
      </c>
      <c r="E638" s="1">
        <v>1500.0</v>
      </c>
      <c r="F638" s="1">
        <v>1500.0</v>
      </c>
      <c r="H638" s="1">
        <v>200.0</v>
      </c>
      <c r="I638" s="1">
        <v>20.0</v>
      </c>
      <c r="J638" s="1">
        <v>20.0</v>
      </c>
      <c r="K638" s="1">
        <v>20.0</v>
      </c>
      <c r="L638" s="1">
        <v>20.0</v>
      </c>
      <c r="M638" s="1">
        <v>20.0</v>
      </c>
      <c r="N638" s="1">
        <v>20.0</v>
      </c>
      <c r="O638" s="1">
        <v>20.0</v>
      </c>
      <c r="P638" s="1">
        <v>20.0</v>
      </c>
      <c r="Q638" s="1">
        <v>20.0</v>
      </c>
      <c r="V638" s="1">
        <v>0.0</v>
      </c>
      <c r="X638" s="1" t="s">
        <v>316</v>
      </c>
      <c r="AE638" s="1">
        <v>810034.0</v>
      </c>
      <c r="AF638" s="1">
        <v>20107.0</v>
      </c>
      <c r="AO638" s="1">
        <v>258.0</v>
      </c>
    </row>
    <row r="639" ht="15.75" customHeight="1">
      <c r="A639" s="1">
        <v>640.0</v>
      </c>
      <c r="B639" s="1" t="s">
        <v>137</v>
      </c>
      <c r="C639" s="1" t="s">
        <v>1415</v>
      </c>
      <c r="E639" s="1">
        <v>1500.0</v>
      </c>
      <c r="F639" s="1">
        <v>1500.0</v>
      </c>
      <c r="H639" s="1">
        <v>200.0</v>
      </c>
      <c r="I639" s="1">
        <v>20.0</v>
      </c>
      <c r="J639" s="1">
        <v>20.0</v>
      </c>
      <c r="K639" s="1">
        <v>20.0</v>
      </c>
      <c r="L639" s="1">
        <v>20.0</v>
      </c>
      <c r="M639" s="1">
        <v>20.0</v>
      </c>
      <c r="N639" s="1">
        <v>20.0</v>
      </c>
      <c r="O639" s="1">
        <v>20.0</v>
      </c>
      <c r="P639" s="1">
        <v>20.0</v>
      </c>
      <c r="Q639" s="1">
        <v>20.0</v>
      </c>
      <c r="V639" s="1">
        <v>0.0</v>
      </c>
      <c r="X639" s="1" t="s">
        <v>694</v>
      </c>
      <c r="AE639" s="1">
        <v>820054.0</v>
      </c>
      <c r="AF639" s="1">
        <v>20397.0</v>
      </c>
      <c r="AO639" s="1">
        <v>257.0</v>
      </c>
    </row>
    <row r="640" ht="15.75" customHeight="1">
      <c r="A640" s="1">
        <v>641.0</v>
      </c>
      <c r="B640" s="1" t="s">
        <v>137</v>
      </c>
      <c r="C640" s="1" t="s">
        <v>1425</v>
      </c>
      <c r="E640" s="1">
        <v>1500.0</v>
      </c>
      <c r="F640" s="1">
        <v>1500.0</v>
      </c>
      <c r="H640" s="1">
        <v>200.0</v>
      </c>
      <c r="I640" s="1">
        <v>20.0</v>
      </c>
      <c r="J640" s="1">
        <v>20.0</v>
      </c>
      <c r="K640" s="1">
        <v>20.0</v>
      </c>
      <c r="L640" s="1">
        <v>20.0</v>
      </c>
      <c r="M640" s="1">
        <v>20.0</v>
      </c>
      <c r="N640" s="1">
        <v>20.0</v>
      </c>
      <c r="O640" s="1">
        <v>20.0</v>
      </c>
      <c r="P640" s="1">
        <v>20.0</v>
      </c>
      <c r="Q640" s="1">
        <v>20.0</v>
      </c>
      <c r="V640" s="1">
        <v>0.0</v>
      </c>
      <c r="X640" s="1" t="s">
        <v>694</v>
      </c>
      <c r="AE640" s="1">
        <v>820059.0</v>
      </c>
      <c r="AF640" s="1">
        <v>20397.0</v>
      </c>
      <c r="AO640" s="1">
        <v>256.0</v>
      </c>
    </row>
    <row r="641" ht="15.75" customHeight="1">
      <c r="A641" s="1">
        <v>642.0</v>
      </c>
      <c r="B641" s="1" t="s">
        <v>137</v>
      </c>
      <c r="C641" s="1" t="s">
        <v>1434</v>
      </c>
      <c r="E641" s="1">
        <v>1500.0</v>
      </c>
      <c r="F641" s="1">
        <v>1500.0</v>
      </c>
      <c r="H641" s="1">
        <v>200.0</v>
      </c>
      <c r="I641" s="1">
        <v>20.0</v>
      </c>
      <c r="J641" s="1">
        <v>20.0</v>
      </c>
      <c r="K641" s="1">
        <v>20.0</v>
      </c>
      <c r="L641" s="1">
        <v>20.0</v>
      </c>
      <c r="M641" s="1">
        <v>20.0</v>
      </c>
      <c r="N641" s="1">
        <v>20.0</v>
      </c>
      <c r="O641" s="1">
        <v>20.0</v>
      </c>
      <c r="P641" s="1">
        <v>20.0</v>
      </c>
      <c r="Q641" s="1">
        <v>20.0</v>
      </c>
      <c r="V641" s="1">
        <v>0.0</v>
      </c>
      <c r="X641" s="1" t="s">
        <v>308</v>
      </c>
      <c r="AE641" s="1">
        <v>820209.0</v>
      </c>
      <c r="AF641" s="1">
        <v>20399.0</v>
      </c>
      <c r="AO641" s="1">
        <v>140.0</v>
      </c>
    </row>
    <row r="642" ht="15.75" customHeight="1">
      <c r="A642" s="1">
        <v>643.0</v>
      </c>
      <c r="B642" s="1" t="s">
        <v>177</v>
      </c>
      <c r="C642" s="1" t="s">
        <v>1445</v>
      </c>
      <c r="D642" s="1" t="s">
        <v>1446</v>
      </c>
      <c r="AE642" s="1">
        <v>821123.0</v>
      </c>
      <c r="AF642" s="1">
        <v>20408.0</v>
      </c>
      <c r="AH642" s="1">
        <v>224.0</v>
      </c>
      <c r="AI642" s="1">
        <v>40.0</v>
      </c>
      <c r="AJ642" s="1">
        <v>40.0</v>
      </c>
      <c r="AK642" s="1">
        <v>150.0</v>
      </c>
    </row>
    <row r="643" ht="15.75" customHeight="1">
      <c r="A643" s="1">
        <v>644.0</v>
      </c>
      <c r="B643" s="1" t="s">
        <v>137</v>
      </c>
      <c r="C643" s="1" t="s">
        <v>1453</v>
      </c>
      <c r="H643" s="1">
        <v>2.0</v>
      </c>
      <c r="S643" s="1">
        <v>1.0</v>
      </c>
      <c r="X643" s="1" t="s">
        <v>634</v>
      </c>
      <c r="Y643" s="1" t="s">
        <v>141</v>
      </c>
      <c r="Z643" s="1">
        <v>100.0</v>
      </c>
      <c r="AE643" s="1">
        <v>332213.0</v>
      </c>
      <c r="AF643" s="1">
        <v>2278.0</v>
      </c>
      <c r="AG643" s="1">
        <v>2.0</v>
      </c>
      <c r="AH643" s="1">
        <v>1.0</v>
      </c>
      <c r="AI643" s="1">
        <v>1.0</v>
      </c>
      <c r="AJ643" s="1">
        <v>1.0</v>
      </c>
      <c r="AK643" s="1">
        <v>100.0</v>
      </c>
    </row>
    <row r="644" ht="15.75" customHeight="1">
      <c r="A644" s="1">
        <v>645.0</v>
      </c>
      <c r="B644" s="1" t="s">
        <v>148</v>
      </c>
      <c r="C644" s="1" t="s">
        <v>1461</v>
      </c>
      <c r="S644" s="1">
        <v>5.0</v>
      </c>
      <c r="V644" s="1">
        <v>7.0</v>
      </c>
      <c r="X644" s="1" t="s">
        <v>153</v>
      </c>
      <c r="Y644" s="1" t="s">
        <v>155</v>
      </c>
      <c r="Z644" s="1">
        <v>200.0</v>
      </c>
      <c r="AE644" s="1">
        <v>820039.0</v>
      </c>
      <c r="AF644" s="1">
        <v>20397.0</v>
      </c>
      <c r="AG644" s="1">
        <v>5.0</v>
      </c>
      <c r="AH644" s="1">
        <v>1.0</v>
      </c>
      <c r="AI644" s="1">
        <v>1.0</v>
      </c>
      <c r="AJ644" s="1">
        <v>1.0</v>
      </c>
      <c r="AK644" s="1">
        <v>100.0</v>
      </c>
      <c r="AL644" s="1">
        <v>22.0</v>
      </c>
      <c r="AN644" s="1">
        <v>4.0</v>
      </c>
    </row>
    <row r="645" ht="15.75" customHeight="1">
      <c r="A645" s="1">
        <v>646.0</v>
      </c>
      <c r="B645" s="1" t="s">
        <v>148</v>
      </c>
      <c r="C645" s="1" t="s">
        <v>1468</v>
      </c>
      <c r="S645" s="1">
        <v>5.0</v>
      </c>
      <c r="V645" s="1">
        <v>7.0</v>
      </c>
      <c r="X645" s="1" t="s">
        <v>202</v>
      </c>
      <c r="Y645" s="1" t="s">
        <v>203</v>
      </c>
      <c r="Z645" s="1">
        <v>200.0</v>
      </c>
      <c r="AE645" s="1">
        <v>820021.0</v>
      </c>
      <c r="AF645" s="1">
        <v>20397.0</v>
      </c>
      <c r="AG645" s="1">
        <v>13.0</v>
      </c>
      <c r="AH645" s="1">
        <v>1.0</v>
      </c>
      <c r="AI645" s="1">
        <v>1.0</v>
      </c>
      <c r="AJ645" s="1">
        <v>1.0</v>
      </c>
      <c r="AK645" s="1">
        <v>100.0</v>
      </c>
      <c r="AL645" s="1">
        <v>38.0</v>
      </c>
    </row>
    <row r="646" ht="15.75" customHeight="1">
      <c r="A646" s="1">
        <v>647.0</v>
      </c>
      <c r="B646" s="1" t="s">
        <v>148</v>
      </c>
      <c r="C646" s="1" t="s">
        <v>1475</v>
      </c>
      <c r="S646" s="1">
        <v>5.0</v>
      </c>
      <c r="V646" s="1">
        <v>7.0</v>
      </c>
      <c r="X646" s="1" t="s">
        <v>153</v>
      </c>
      <c r="Y646" s="1" t="s">
        <v>208</v>
      </c>
      <c r="Z646" s="1">
        <v>200.0</v>
      </c>
      <c r="AE646" s="1">
        <v>331379.0</v>
      </c>
      <c r="AF646" s="1">
        <v>2269.0</v>
      </c>
      <c r="AG646" s="1">
        <v>11.0</v>
      </c>
      <c r="AH646" s="1">
        <v>1.0</v>
      </c>
      <c r="AI646" s="1">
        <v>1.0</v>
      </c>
      <c r="AJ646" s="1">
        <v>1.0</v>
      </c>
      <c r="AK646" s="1">
        <v>100.0</v>
      </c>
      <c r="AL646" s="1">
        <v>34.0</v>
      </c>
      <c r="AN646" s="1">
        <v>4.0</v>
      </c>
    </row>
    <row r="647" ht="15.75" customHeight="1">
      <c r="A647" s="1">
        <v>648.0</v>
      </c>
      <c r="B647" s="1" t="s">
        <v>148</v>
      </c>
      <c r="C647" s="1" t="s">
        <v>1482</v>
      </c>
      <c r="S647" s="1">
        <v>5.0</v>
      </c>
      <c r="V647" s="1">
        <v>7.0</v>
      </c>
      <c r="X647" s="1" t="s">
        <v>153</v>
      </c>
      <c r="Y647" s="1" t="s">
        <v>211</v>
      </c>
      <c r="Z647" s="1">
        <v>200.0</v>
      </c>
      <c r="AE647" s="1">
        <v>820015.0</v>
      </c>
      <c r="AF647" s="1">
        <v>20397.0</v>
      </c>
      <c r="AG647" s="1">
        <v>10.0</v>
      </c>
      <c r="AH647" s="1">
        <v>1.0</v>
      </c>
      <c r="AI647" s="1">
        <v>1.0</v>
      </c>
      <c r="AJ647" s="1">
        <v>1.0</v>
      </c>
      <c r="AK647" s="1">
        <v>100.0</v>
      </c>
      <c r="AL647" s="1">
        <v>50.0</v>
      </c>
      <c r="AN647" s="1">
        <v>4.0</v>
      </c>
    </row>
    <row r="648" ht="15.75" customHeight="1">
      <c r="A648" s="1">
        <v>649.0</v>
      </c>
      <c r="B648" s="1" t="s">
        <v>177</v>
      </c>
      <c r="C648" s="1" t="s">
        <v>1490</v>
      </c>
      <c r="Z648" s="1">
        <v>30.0</v>
      </c>
      <c r="AE648" s="1">
        <v>820601.0</v>
      </c>
      <c r="AF648" s="1">
        <v>20403.0</v>
      </c>
      <c r="AM648" s="1">
        <v>99.0</v>
      </c>
    </row>
    <row r="649" ht="15.75" customHeight="1">
      <c r="A649" s="1">
        <v>650.0</v>
      </c>
      <c r="B649" s="1" t="s">
        <v>137</v>
      </c>
      <c r="C649" s="1" t="s">
        <v>1494</v>
      </c>
      <c r="E649" s="1">
        <v>10.0</v>
      </c>
      <c r="F649" s="1">
        <v>10.0</v>
      </c>
      <c r="H649" s="1">
        <v>10.0</v>
      </c>
      <c r="I649" s="1">
        <v>2.0</v>
      </c>
      <c r="S649" s="1">
        <v>1.0</v>
      </c>
      <c r="X649" s="1" t="s">
        <v>564</v>
      </c>
      <c r="Y649" s="1" t="s">
        <v>141</v>
      </c>
      <c r="Z649" s="1">
        <v>300.0</v>
      </c>
      <c r="AE649" s="1">
        <v>332204.0</v>
      </c>
      <c r="AF649" s="1">
        <v>2278.0</v>
      </c>
      <c r="AG649" s="1">
        <v>1.0</v>
      </c>
      <c r="AH649" s="1">
        <v>255.0</v>
      </c>
      <c r="AI649" s="1">
        <v>255.0</v>
      </c>
      <c r="AJ649" s="1">
        <v>255.0</v>
      </c>
      <c r="AK649" s="1">
        <v>150.0</v>
      </c>
    </row>
    <row r="650" ht="15.75" customHeight="1">
      <c r="A650" s="2">
        <v>651.0</v>
      </c>
      <c r="B650" s="3" t="s">
        <v>137</v>
      </c>
      <c r="C650" s="3" t="s">
        <v>1505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 t="s">
        <v>1515</v>
      </c>
      <c r="Y650" s="3" t="s">
        <v>1516</v>
      </c>
      <c r="Z650" s="7">
        <v>150000.0</v>
      </c>
      <c r="AA650" s="4">
        <v>1.0</v>
      </c>
      <c r="AB650" s="3"/>
      <c r="AC650" s="3"/>
      <c r="AD650" s="3"/>
      <c r="AE650" s="4">
        <v>332524.0</v>
      </c>
      <c r="AF650" s="4">
        <v>2281.0</v>
      </c>
      <c r="AG650" s="4">
        <v>273.0</v>
      </c>
      <c r="AH650" s="3"/>
      <c r="AI650" s="3"/>
      <c r="AJ650" s="3"/>
      <c r="AK650" s="3"/>
      <c r="AL650" s="3"/>
      <c r="AM650" s="3"/>
      <c r="AN650" s="3"/>
      <c r="AO650" s="2">
        <v>259.0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8" width="8.71"/>
  </cols>
  <sheetData>
    <row r="1" ht="30.75" customHeight="1">
      <c r="A1" s="1" t="s">
        <v>3</v>
      </c>
      <c r="B1" s="1" t="s">
        <v>7</v>
      </c>
      <c r="C1" s="1" t="s">
        <v>4</v>
      </c>
      <c r="D1" s="1" t="s">
        <v>12</v>
      </c>
      <c r="E1" s="1" t="s">
        <v>15</v>
      </c>
      <c r="F1" s="1" t="s">
        <v>18</v>
      </c>
      <c r="G1" s="1" t="s">
        <v>22</v>
      </c>
      <c r="H1" s="1" t="s">
        <v>25</v>
      </c>
      <c r="I1" s="1" t="s">
        <v>29</v>
      </c>
      <c r="J1" s="1" t="s">
        <v>33</v>
      </c>
      <c r="K1" s="1" t="s">
        <v>36</v>
      </c>
      <c r="L1" s="1" t="s">
        <v>39</v>
      </c>
      <c r="M1" s="1" t="s">
        <v>43</v>
      </c>
      <c r="N1" s="1" t="s">
        <v>46</v>
      </c>
      <c r="O1" s="1" t="s">
        <v>50</v>
      </c>
      <c r="P1" s="1" t="s">
        <v>53</v>
      </c>
      <c r="Q1" s="1" t="s">
        <v>56</v>
      </c>
      <c r="R1" s="1" t="s">
        <v>59</v>
      </c>
      <c r="S1" s="1" t="s">
        <v>16</v>
      </c>
      <c r="T1" s="1" t="s">
        <v>21</v>
      </c>
      <c r="U1" s="1" t="s">
        <v>26</v>
      </c>
      <c r="V1" s="1" t="s">
        <v>67</v>
      </c>
      <c r="W1" s="1" t="s">
        <v>30</v>
      </c>
      <c r="X1" s="1" t="s">
        <v>34</v>
      </c>
      <c r="Y1" s="1" t="s">
        <v>37</v>
      </c>
      <c r="Z1" s="1" t="s">
        <v>41</v>
      </c>
      <c r="AA1" s="1" t="s">
        <v>45</v>
      </c>
      <c r="AB1" s="1" t="s">
        <v>51</v>
      </c>
      <c r="AC1" s="1" t="s">
        <v>54</v>
      </c>
      <c r="AD1" s="1" t="s">
        <v>57</v>
      </c>
      <c r="AE1" s="1" t="s">
        <v>60</v>
      </c>
      <c r="AF1" s="1" t="s">
        <v>62</v>
      </c>
      <c r="AG1" s="1" t="s">
        <v>74</v>
      </c>
      <c r="AH1" s="1" t="s">
        <v>76</v>
      </c>
      <c r="AI1" s="1" t="s">
        <v>78</v>
      </c>
      <c r="AJ1" s="1" t="s">
        <v>79</v>
      </c>
      <c r="AK1" s="1" t="s">
        <v>81</v>
      </c>
      <c r="AL1" s="1" t="s">
        <v>83</v>
      </c>
      <c r="AM1" s="1" t="s">
        <v>85</v>
      </c>
      <c r="AN1" s="1" t="s">
        <v>87</v>
      </c>
      <c r="AO1" s="1" t="s">
        <v>89</v>
      </c>
      <c r="AP1" s="1" t="s">
        <v>91</v>
      </c>
      <c r="AQ1" s="1" t="s">
        <v>92</v>
      </c>
      <c r="AR1" s="1" t="s">
        <v>93</v>
      </c>
      <c r="AS1" s="1" t="s">
        <v>95</v>
      </c>
      <c r="AT1" s="1" t="s">
        <v>96</v>
      </c>
      <c r="AU1" s="1" t="s">
        <v>99</v>
      </c>
      <c r="AV1" s="1" t="s">
        <v>97</v>
      </c>
      <c r="AW1" s="1" t="s">
        <v>101</v>
      </c>
      <c r="AX1" s="1" t="s">
        <v>103</v>
      </c>
      <c r="AY1" s="1" t="s">
        <v>105</v>
      </c>
      <c r="AZ1" s="1" t="s">
        <v>107</v>
      </c>
      <c r="BA1" s="1" t="s">
        <v>111</v>
      </c>
      <c r="BB1" s="1" t="s">
        <v>114</v>
      </c>
      <c r="BC1" s="1" t="s">
        <v>117</v>
      </c>
      <c r="BD1" s="1" t="s">
        <v>120</v>
      </c>
      <c r="BE1" s="1" t="s">
        <v>122</v>
      </c>
      <c r="BF1" s="1" t="s">
        <v>125</v>
      </c>
    </row>
    <row r="2">
      <c r="A2" s="1">
        <v>1.0</v>
      </c>
      <c r="B2" s="1">
        <v>2.0</v>
      </c>
      <c r="C2" s="1" t="s">
        <v>131</v>
      </c>
      <c r="F2" s="1">
        <v>40.0</v>
      </c>
      <c r="I2" s="1">
        <v>20.0</v>
      </c>
      <c r="K2" s="1">
        <v>1.0</v>
      </c>
      <c r="L2" s="1">
        <v>1.5</v>
      </c>
      <c r="V2" s="1">
        <v>4.0</v>
      </c>
      <c r="AH2" s="1">
        <v>10113.0</v>
      </c>
      <c r="AT2" s="1">
        <v>4.0</v>
      </c>
    </row>
    <row r="3">
      <c r="A3" s="1">
        <v>2.0</v>
      </c>
      <c r="B3" s="1">
        <v>2.0</v>
      </c>
      <c r="C3" s="1" t="s">
        <v>139</v>
      </c>
      <c r="F3" s="1">
        <v>40.0</v>
      </c>
      <c r="H3" s="1">
        <v>2.0</v>
      </c>
      <c r="I3" s="1">
        <v>40.0</v>
      </c>
      <c r="K3" s="1">
        <v>1.0</v>
      </c>
      <c r="L3" s="1">
        <v>1.5</v>
      </c>
      <c r="V3" s="1">
        <v>4.0</v>
      </c>
      <c r="AH3" s="1">
        <v>10114.0</v>
      </c>
      <c r="AT3" s="1">
        <v>6.0</v>
      </c>
    </row>
    <row r="4">
      <c r="A4" s="1">
        <v>3.0</v>
      </c>
      <c r="B4" s="1">
        <v>2.0</v>
      </c>
      <c r="C4" s="1" t="s">
        <v>149</v>
      </c>
      <c r="F4" s="1">
        <v>30.0</v>
      </c>
      <c r="H4" s="1">
        <v>4.0</v>
      </c>
      <c r="I4" s="1">
        <v>104.0</v>
      </c>
      <c r="J4" s="1">
        <v>1.0</v>
      </c>
      <c r="K4" s="1">
        <v>1.0</v>
      </c>
      <c r="L4" s="1">
        <v>1.4</v>
      </c>
      <c r="M4" s="1">
        <v>1.5</v>
      </c>
      <c r="N4" s="1">
        <v>1.0</v>
      </c>
      <c r="Q4" s="1">
        <v>1.0</v>
      </c>
      <c r="V4" s="1">
        <v>4.0</v>
      </c>
      <c r="AH4" s="1">
        <v>10140.0</v>
      </c>
      <c r="AT4" s="1">
        <v>9.0</v>
      </c>
      <c r="AZ4" s="1" t="s">
        <v>164</v>
      </c>
    </row>
    <row r="5">
      <c r="A5" s="1">
        <v>4.0</v>
      </c>
      <c r="B5" s="1">
        <v>2.0</v>
      </c>
      <c r="C5" s="1" t="s">
        <v>168</v>
      </c>
      <c r="F5" s="1">
        <v>30.0</v>
      </c>
      <c r="H5" s="1">
        <v>8.0</v>
      </c>
      <c r="I5" s="1">
        <v>186.0</v>
      </c>
      <c r="J5" s="1">
        <v>2.0</v>
      </c>
      <c r="K5" s="1">
        <v>1.0</v>
      </c>
      <c r="L5" s="1">
        <v>1.4</v>
      </c>
      <c r="M5" s="1">
        <v>1.3</v>
      </c>
      <c r="N5" s="1">
        <v>1.0</v>
      </c>
      <c r="Q5" s="1">
        <v>1.0</v>
      </c>
      <c r="V5" s="1">
        <v>4.0</v>
      </c>
      <c r="AH5" s="1">
        <v>10141.0</v>
      </c>
      <c r="AT5" s="1">
        <v>18.0</v>
      </c>
      <c r="AZ5" s="1" t="s">
        <v>173</v>
      </c>
    </row>
    <row r="6">
      <c r="A6" s="1">
        <v>5.0</v>
      </c>
      <c r="B6" s="1">
        <v>2.0</v>
      </c>
      <c r="C6" s="1" t="s">
        <v>174</v>
      </c>
      <c r="F6" s="1">
        <v>1800.0</v>
      </c>
      <c r="H6" s="1">
        <v>9.0</v>
      </c>
      <c r="I6" s="1">
        <v>250.0</v>
      </c>
      <c r="J6" s="1">
        <v>1.0</v>
      </c>
      <c r="K6" s="1">
        <v>1.0</v>
      </c>
      <c r="L6" s="1">
        <v>1.5</v>
      </c>
      <c r="M6" s="1">
        <v>1.5</v>
      </c>
      <c r="N6" s="1">
        <v>1.0</v>
      </c>
      <c r="Q6" s="1">
        <v>1.0</v>
      </c>
      <c r="V6" s="1">
        <v>2.0</v>
      </c>
      <c r="AH6" s="1">
        <v>121.0</v>
      </c>
      <c r="AT6" s="1">
        <v>28.0</v>
      </c>
      <c r="AZ6" s="1" t="s">
        <v>173</v>
      </c>
    </row>
    <row r="7">
      <c r="A7" s="1">
        <v>6.0</v>
      </c>
      <c r="B7" s="1">
        <v>2.0</v>
      </c>
      <c r="C7" s="1" t="s">
        <v>178</v>
      </c>
      <c r="F7" s="1">
        <v>30.0</v>
      </c>
      <c r="H7" s="1">
        <v>6.0</v>
      </c>
      <c r="I7" s="1">
        <v>124.0</v>
      </c>
      <c r="J7" s="1">
        <v>1.0</v>
      </c>
      <c r="K7" s="1">
        <v>1.0</v>
      </c>
      <c r="L7" s="1">
        <v>1.4</v>
      </c>
      <c r="M7" s="1">
        <v>1.3</v>
      </c>
      <c r="Q7" s="1">
        <v>1.0</v>
      </c>
      <c r="V7" s="1">
        <v>2.0</v>
      </c>
      <c r="AH7" s="1">
        <v>123.0</v>
      </c>
      <c r="AT7" s="1">
        <v>13.0</v>
      </c>
      <c r="AZ7" s="1" t="s">
        <v>182</v>
      </c>
    </row>
    <row r="8">
      <c r="A8" s="1">
        <v>7.0</v>
      </c>
      <c r="B8" s="1">
        <v>2.0</v>
      </c>
      <c r="C8" s="1" t="s">
        <v>183</v>
      </c>
      <c r="F8" s="1">
        <v>30.0</v>
      </c>
      <c r="H8" s="1">
        <v>12.0</v>
      </c>
      <c r="I8" s="1">
        <v>266.0</v>
      </c>
      <c r="J8" s="1">
        <v>3.0</v>
      </c>
      <c r="K8" s="1">
        <v>1.0</v>
      </c>
      <c r="L8" s="1">
        <v>1.4</v>
      </c>
      <c r="M8" s="1">
        <v>1.5</v>
      </c>
      <c r="Q8" s="1">
        <v>1.0</v>
      </c>
      <c r="V8" s="1">
        <v>2.0</v>
      </c>
      <c r="AH8" s="1">
        <v>10100.0</v>
      </c>
      <c r="AT8" s="1">
        <v>38.0</v>
      </c>
      <c r="AZ8" s="1" t="s">
        <v>188</v>
      </c>
    </row>
    <row r="9">
      <c r="A9" s="1">
        <v>8.0</v>
      </c>
      <c r="B9" s="1">
        <v>2.0</v>
      </c>
      <c r="C9" s="1" t="s">
        <v>189</v>
      </c>
      <c r="F9" s="1">
        <v>30.0</v>
      </c>
      <c r="H9" s="1">
        <v>21.0</v>
      </c>
      <c r="I9" s="1">
        <v>448.0</v>
      </c>
      <c r="K9" s="1">
        <v>1.0</v>
      </c>
      <c r="L9" s="1">
        <v>1.5</v>
      </c>
      <c r="M9" s="1">
        <v>1.5</v>
      </c>
      <c r="Q9" s="1">
        <v>1.0</v>
      </c>
      <c r="V9" s="1">
        <v>2.0</v>
      </c>
      <c r="AH9" s="1">
        <v>116.0</v>
      </c>
      <c r="AT9" s="1">
        <v>90.0</v>
      </c>
    </row>
    <row r="10">
      <c r="A10" s="1">
        <v>9.0</v>
      </c>
      <c r="B10" s="1">
        <v>2.0</v>
      </c>
      <c r="C10" s="1" t="s">
        <v>196</v>
      </c>
      <c r="F10" s="1">
        <v>30.0</v>
      </c>
      <c r="H10" s="1">
        <v>18.0</v>
      </c>
      <c r="I10" s="1">
        <v>368.0</v>
      </c>
      <c r="K10" s="1">
        <v>1.0</v>
      </c>
      <c r="L10" s="1">
        <v>1.5</v>
      </c>
      <c r="M10" s="1">
        <v>1.5</v>
      </c>
      <c r="Q10" s="1">
        <v>1.0</v>
      </c>
      <c r="V10" s="1">
        <v>2.0</v>
      </c>
      <c r="AH10" s="1">
        <v>10104.0</v>
      </c>
      <c r="AT10" s="1">
        <v>72.0</v>
      </c>
    </row>
    <row r="11">
      <c r="A11" s="1">
        <v>10.0</v>
      </c>
      <c r="B11" s="1">
        <v>2.0</v>
      </c>
      <c r="C11" s="1" t="s">
        <v>200</v>
      </c>
      <c r="F11" s="1">
        <v>30.0</v>
      </c>
      <c r="H11" s="1">
        <v>20.0</v>
      </c>
      <c r="I11" s="1">
        <v>404.0</v>
      </c>
      <c r="J11" s="1">
        <v>2.0</v>
      </c>
      <c r="K11" s="1">
        <v>1.0</v>
      </c>
      <c r="L11" s="1">
        <v>1.3</v>
      </c>
      <c r="M11" s="1">
        <v>1.3</v>
      </c>
      <c r="Q11" s="1">
        <v>1.0</v>
      </c>
      <c r="V11" s="1">
        <v>4.0</v>
      </c>
      <c r="AH11" s="1">
        <v>169.0</v>
      </c>
      <c r="AT11" s="1">
        <v>80.0</v>
      </c>
      <c r="AZ11" s="1" t="s">
        <v>204</v>
      </c>
    </row>
    <row r="12">
      <c r="A12" s="1">
        <v>11.0</v>
      </c>
      <c r="B12" s="1">
        <v>2.0</v>
      </c>
      <c r="C12" s="1" t="s">
        <v>205</v>
      </c>
      <c r="F12" s="1">
        <v>60.0</v>
      </c>
      <c r="H12" s="1">
        <v>30.0</v>
      </c>
      <c r="I12" s="1">
        <v>609.0</v>
      </c>
      <c r="J12" s="1">
        <v>3.0</v>
      </c>
      <c r="K12" s="1">
        <v>1.0</v>
      </c>
      <c r="L12" s="1">
        <v>1.5</v>
      </c>
      <c r="N12" s="1">
        <v>1.0</v>
      </c>
      <c r="P12" s="1">
        <v>1.0</v>
      </c>
      <c r="Q12" s="1">
        <v>1.0</v>
      </c>
      <c r="V12" s="1">
        <v>3.0</v>
      </c>
      <c r="AH12" s="1">
        <v>10106.0</v>
      </c>
      <c r="AT12" s="1">
        <v>150.0</v>
      </c>
      <c r="AZ12" s="1" t="s">
        <v>209</v>
      </c>
    </row>
    <row r="13">
      <c r="A13" s="1">
        <v>12.0</v>
      </c>
      <c r="B13" s="1">
        <v>2.0</v>
      </c>
      <c r="C13" s="1" t="s">
        <v>205</v>
      </c>
      <c r="F13" s="1">
        <v>60.0</v>
      </c>
      <c r="H13" s="1">
        <v>30.0</v>
      </c>
      <c r="I13" s="1">
        <v>609.0</v>
      </c>
      <c r="J13" s="1">
        <v>3.0</v>
      </c>
      <c r="K13" s="1">
        <v>1.0</v>
      </c>
      <c r="L13" s="1">
        <v>1.5</v>
      </c>
      <c r="P13" s="1">
        <v>1.0</v>
      </c>
      <c r="Q13" s="1">
        <v>1.0</v>
      </c>
      <c r="V13" s="1">
        <v>3.0</v>
      </c>
      <c r="AH13" s="1">
        <v>10106.0</v>
      </c>
      <c r="AT13" s="1">
        <v>150.0</v>
      </c>
      <c r="AZ13" s="1" t="s">
        <v>209</v>
      </c>
    </row>
    <row r="14">
      <c r="A14" s="1">
        <v>13.0</v>
      </c>
      <c r="B14" s="1">
        <v>2.0</v>
      </c>
      <c r="C14" s="1" t="s">
        <v>214</v>
      </c>
      <c r="F14" s="1">
        <v>60.0</v>
      </c>
      <c r="H14" s="1">
        <v>35.0</v>
      </c>
      <c r="I14" s="1">
        <v>709.0</v>
      </c>
      <c r="J14" s="1">
        <v>4.0</v>
      </c>
      <c r="K14" s="1">
        <v>1.0</v>
      </c>
      <c r="L14" s="1">
        <v>1.5</v>
      </c>
      <c r="N14" s="1">
        <v>1.0</v>
      </c>
      <c r="O14" s="1">
        <v>1.0</v>
      </c>
      <c r="Q14" s="1">
        <v>1.0</v>
      </c>
      <c r="V14" s="1">
        <v>3.0</v>
      </c>
      <c r="AH14" s="1">
        <v>10106.0</v>
      </c>
      <c r="AT14" s="1">
        <v>180.0</v>
      </c>
      <c r="AZ14" s="1" t="s">
        <v>218</v>
      </c>
    </row>
    <row r="15">
      <c r="A15" s="1">
        <v>14.0</v>
      </c>
      <c r="B15" s="1">
        <v>2.0</v>
      </c>
      <c r="C15" s="1" t="s">
        <v>219</v>
      </c>
      <c r="F15" s="1">
        <v>60.0</v>
      </c>
      <c r="H15" s="1">
        <v>40.0</v>
      </c>
      <c r="I15" s="1">
        <v>809.0</v>
      </c>
      <c r="J15" s="1">
        <v>4.0</v>
      </c>
      <c r="K15" s="1">
        <v>1.0</v>
      </c>
      <c r="L15" s="1">
        <v>1.5</v>
      </c>
      <c r="M15" s="1">
        <v>1.3</v>
      </c>
      <c r="N15" s="1">
        <v>1.0</v>
      </c>
      <c r="Q15" s="1">
        <v>1.0</v>
      </c>
      <c r="V15" s="1">
        <v>3.0</v>
      </c>
      <c r="AH15" s="1">
        <v>10125.0</v>
      </c>
      <c r="AT15" s="1">
        <v>210.0</v>
      </c>
      <c r="AZ15" s="1" t="s">
        <v>209</v>
      </c>
    </row>
    <row r="16">
      <c r="A16" s="1">
        <v>15.0</v>
      </c>
      <c r="B16" s="1">
        <v>2.0</v>
      </c>
      <c r="C16" s="1" t="s">
        <v>222</v>
      </c>
      <c r="F16" s="1">
        <v>3600.0</v>
      </c>
      <c r="H16" s="1">
        <v>42.0</v>
      </c>
      <c r="I16" s="1">
        <v>1000.0</v>
      </c>
      <c r="J16" s="1">
        <v>4.0</v>
      </c>
      <c r="K16" s="1">
        <v>1.0</v>
      </c>
      <c r="L16" s="1">
        <v>1.5</v>
      </c>
      <c r="M16" s="1">
        <v>1.3</v>
      </c>
      <c r="N16" s="1">
        <v>1.0</v>
      </c>
      <c r="Q16" s="1">
        <v>1.0</v>
      </c>
      <c r="V16" s="1">
        <v>3.0</v>
      </c>
      <c r="AH16" s="1">
        <v>10125.0</v>
      </c>
      <c r="AT16" s="1">
        <v>240.0</v>
      </c>
      <c r="AZ16" s="1" t="s">
        <v>209</v>
      </c>
    </row>
    <row r="17">
      <c r="A17" s="1">
        <v>16.0</v>
      </c>
      <c r="B17" s="1">
        <v>2.0</v>
      </c>
      <c r="C17" s="1" t="s">
        <v>226</v>
      </c>
      <c r="F17" s="1">
        <v>3600.0</v>
      </c>
      <c r="H17" s="1">
        <v>43.0</v>
      </c>
      <c r="I17" s="1">
        <v>1100.0</v>
      </c>
      <c r="J17" s="1">
        <v>4.0</v>
      </c>
      <c r="K17" s="1">
        <v>1.0</v>
      </c>
      <c r="L17" s="1">
        <v>1.5</v>
      </c>
      <c r="M17" s="1">
        <v>1.3</v>
      </c>
      <c r="N17" s="1">
        <v>1.0</v>
      </c>
      <c r="Q17" s="1">
        <v>1.0</v>
      </c>
      <c r="V17" s="1">
        <v>3.0</v>
      </c>
      <c r="AH17" s="1">
        <v>10125.0</v>
      </c>
      <c r="AT17" s="1">
        <v>240.0</v>
      </c>
      <c r="AZ17" s="1" t="s">
        <v>209</v>
      </c>
    </row>
    <row r="18">
      <c r="A18" s="1">
        <v>17.0</v>
      </c>
      <c r="B18" s="1">
        <v>2.0</v>
      </c>
      <c r="C18" s="1" t="s">
        <v>228</v>
      </c>
      <c r="F18" s="1">
        <v>3600.0</v>
      </c>
      <c r="H18" s="1">
        <v>45.0</v>
      </c>
      <c r="I18" s="1">
        <v>1200.0</v>
      </c>
      <c r="J18" s="1">
        <v>5.0</v>
      </c>
      <c r="K18" s="1">
        <v>1.0</v>
      </c>
      <c r="L18" s="1">
        <v>1.0</v>
      </c>
      <c r="M18" s="1">
        <v>1.3</v>
      </c>
      <c r="N18" s="1">
        <v>1.0</v>
      </c>
      <c r="Q18" s="1">
        <v>1.0</v>
      </c>
      <c r="V18" s="1">
        <v>3.0</v>
      </c>
      <c r="AH18" s="1">
        <v>10125.0</v>
      </c>
      <c r="AT18" s="1">
        <v>270.0</v>
      </c>
      <c r="AZ18" s="1" t="s">
        <v>209</v>
      </c>
    </row>
    <row r="19">
      <c r="A19" s="1">
        <v>18.0</v>
      </c>
      <c r="B19" s="1">
        <v>2.0</v>
      </c>
      <c r="C19" s="1" t="s">
        <v>234</v>
      </c>
      <c r="F19" s="1">
        <v>30.0</v>
      </c>
      <c r="H19" s="1">
        <v>21.0</v>
      </c>
      <c r="I19" s="1">
        <v>400.0</v>
      </c>
      <c r="J19" s="1">
        <v>1.0</v>
      </c>
      <c r="K19" s="1">
        <v>1.0</v>
      </c>
      <c r="L19" s="1">
        <v>1.4</v>
      </c>
      <c r="M19" s="1">
        <v>1.4</v>
      </c>
      <c r="O19" s="1">
        <v>1.0</v>
      </c>
      <c r="P19" s="1">
        <v>1.0</v>
      </c>
      <c r="Q19" s="1">
        <v>1.0</v>
      </c>
      <c r="V19" s="1">
        <v>4.0</v>
      </c>
      <c r="AH19" s="1">
        <v>109.0</v>
      </c>
      <c r="AT19" s="1">
        <v>57.0</v>
      </c>
      <c r="AZ19" s="1" t="s">
        <v>237</v>
      </c>
    </row>
    <row r="20">
      <c r="A20" s="1">
        <v>19.0</v>
      </c>
      <c r="B20" s="1">
        <v>2.0</v>
      </c>
      <c r="C20" s="1" t="s">
        <v>239</v>
      </c>
      <c r="F20" s="1">
        <v>3600.0</v>
      </c>
      <c r="H20" s="1">
        <v>23.0</v>
      </c>
      <c r="I20" s="1">
        <v>600.0</v>
      </c>
      <c r="J20" s="1">
        <v>3.0</v>
      </c>
      <c r="K20" s="1">
        <v>1.0</v>
      </c>
      <c r="L20" s="1">
        <v>1.2</v>
      </c>
      <c r="M20" s="1">
        <v>1.2</v>
      </c>
      <c r="P20" s="1">
        <v>1.0</v>
      </c>
      <c r="Q20" s="1">
        <v>1.0</v>
      </c>
      <c r="V20" s="1">
        <v>3.0</v>
      </c>
      <c r="AH20" s="1">
        <v>134.0</v>
      </c>
      <c r="AT20" s="1">
        <v>72.0</v>
      </c>
      <c r="AZ20" s="1" t="s">
        <v>237</v>
      </c>
    </row>
    <row r="21" ht="15.75" customHeight="1">
      <c r="A21" s="1">
        <v>20.0</v>
      </c>
      <c r="B21" s="1">
        <v>2.0</v>
      </c>
      <c r="C21" s="1" t="s">
        <v>243</v>
      </c>
      <c r="F21" s="1">
        <v>60.0</v>
      </c>
      <c r="H21" s="1">
        <v>12.0</v>
      </c>
      <c r="I21" s="1">
        <v>246.0</v>
      </c>
      <c r="J21" s="1">
        <v>2.0</v>
      </c>
      <c r="K21" s="1">
        <v>1.0</v>
      </c>
      <c r="L21" s="1">
        <v>1.3</v>
      </c>
      <c r="M21" s="1">
        <v>1.5</v>
      </c>
      <c r="N21" s="1">
        <v>1.0</v>
      </c>
      <c r="Q21" s="1">
        <v>1.0</v>
      </c>
      <c r="V21" s="1">
        <v>4.0</v>
      </c>
      <c r="AH21" s="1">
        <v>10139.0</v>
      </c>
      <c r="AT21" s="1">
        <v>51.0</v>
      </c>
      <c r="AZ21" s="1" t="s">
        <v>246</v>
      </c>
    </row>
    <row r="22" ht="15.75" customHeight="1">
      <c r="A22" s="1">
        <v>21.0</v>
      </c>
      <c r="B22" s="1">
        <v>2.0</v>
      </c>
      <c r="C22" s="1" t="s">
        <v>250</v>
      </c>
      <c r="F22" s="1">
        <v>60.0</v>
      </c>
      <c r="H22" s="1">
        <v>15.0</v>
      </c>
      <c r="I22" s="1">
        <v>306.0</v>
      </c>
      <c r="J22" s="1">
        <v>2.0</v>
      </c>
      <c r="K22" s="1">
        <v>1.0</v>
      </c>
      <c r="L22" s="1">
        <v>1.3</v>
      </c>
      <c r="M22" s="1">
        <v>1.5</v>
      </c>
      <c r="N22" s="1">
        <v>1.0</v>
      </c>
      <c r="Q22" s="1">
        <v>1.0</v>
      </c>
      <c r="V22" s="1">
        <v>2.0</v>
      </c>
      <c r="AH22" s="1">
        <v>10138.0</v>
      </c>
      <c r="AT22" s="1">
        <v>58.0</v>
      </c>
      <c r="AZ22" s="1" t="s">
        <v>246</v>
      </c>
    </row>
    <row r="23" ht="15.75" customHeight="1">
      <c r="A23" s="1">
        <v>22.0</v>
      </c>
      <c r="B23" s="1">
        <v>2.0</v>
      </c>
      <c r="C23" s="1" t="s">
        <v>253</v>
      </c>
      <c r="F23" s="1">
        <v>3600.0</v>
      </c>
      <c r="H23" s="1">
        <v>14.0</v>
      </c>
      <c r="I23" s="1">
        <v>356.0</v>
      </c>
      <c r="J23" s="1">
        <v>3.0</v>
      </c>
      <c r="K23" s="1">
        <v>1.0</v>
      </c>
      <c r="L23" s="1">
        <v>1.3</v>
      </c>
      <c r="M23" s="1">
        <v>1.3</v>
      </c>
      <c r="N23" s="1">
        <v>1.0</v>
      </c>
      <c r="Q23" s="1">
        <v>1.0</v>
      </c>
      <c r="V23" s="1">
        <v>3.0</v>
      </c>
      <c r="AH23" s="1">
        <v>121.0</v>
      </c>
      <c r="AT23" s="1">
        <v>60.0</v>
      </c>
      <c r="AZ23" s="1" t="s">
        <v>246</v>
      </c>
    </row>
    <row r="24" ht="15.75" customHeight="1">
      <c r="A24" s="1">
        <v>23.0</v>
      </c>
      <c r="B24" s="1">
        <v>2.0</v>
      </c>
      <c r="C24" s="1" t="s">
        <v>258</v>
      </c>
      <c r="F24" s="1">
        <v>3600.0</v>
      </c>
      <c r="H24" s="1">
        <v>17.0</v>
      </c>
      <c r="I24" s="1">
        <v>406.0</v>
      </c>
      <c r="J24" s="1">
        <v>3.0</v>
      </c>
      <c r="K24" s="1">
        <v>1.0</v>
      </c>
      <c r="L24" s="1">
        <v>1.3</v>
      </c>
      <c r="M24" s="1">
        <v>1.3</v>
      </c>
      <c r="N24" s="1">
        <v>1.0</v>
      </c>
      <c r="Q24" s="1">
        <v>1.0</v>
      </c>
      <c r="V24" s="1">
        <v>3.0</v>
      </c>
      <c r="AH24" s="1">
        <v>121.0</v>
      </c>
      <c r="AT24" s="1">
        <v>69.0</v>
      </c>
      <c r="AZ24" s="1" t="s">
        <v>246</v>
      </c>
    </row>
    <row r="25" ht="15.75" customHeight="1">
      <c r="A25" s="1">
        <v>24.0</v>
      </c>
      <c r="B25" s="1">
        <v>2.0</v>
      </c>
      <c r="C25" s="1" t="s">
        <v>262</v>
      </c>
      <c r="F25" s="1">
        <v>30.0</v>
      </c>
      <c r="H25" s="1">
        <v>12.0</v>
      </c>
      <c r="I25" s="1">
        <v>246.0</v>
      </c>
      <c r="J25" s="1">
        <v>1.0</v>
      </c>
      <c r="K25" s="1">
        <v>1.0</v>
      </c>
      <c r="L25" s="1">
        <v>1.4</v>
      </c>
      <c r="M25" s="1">
        <v>1.4</v>
      </c>
      <c r="O25" s="1">
        <v>1.0</v>
      </c>
      <c r="P25" s="1">
        <v>1.0</v>
      </c>
      <c r="Q25" s="1">
        <v>1.0</v>
      </c>
      <c r="V25" s="1">
        <v>4.0</v>
      </c>
      <c r="AH25" s="1">
        <v>109.0</v>
      </c>
      <c r="AT25" s="1">
        <v>57.0</v>
      </c>
      <c r="AZ25" s="1" t="s">
        <v>265</v>
      </c>
    </row>
    <row r="26" ht="15.75" customHeight="1">
      <c r="A26" s="1">
        <v>25.0</v>
      </c>
      <c r="B26" s="1">
        <v>2.0</v>
      </c>
      <c r="C26" s="1" t="s">
        <v>267</v>
      </c>
      <c r="F26" s="1">
        <v>3600.0</v>
      </c>
      <c r="H26" s="1">
        <v>14.0</v>
      </c>
      <c r="I26" s="1">
        <v>400.0</v>
      </c>
      <c r="J26" s="1">
        <v>3.0</v>
      </c>
      <c r="K26" s="1">
        <v>1.0</v>
      </c>
      <c r="L26" s="1">
        <v>1.2</v>
      </c>
      <c r="M26" s="1">
        <v>1.2</v>
      </c>
      <c r="P26" s="1">
        <v>1.0</v>
      </c>
      <c r="Q26" s="1">
        <v>1.0</v>
      </c>
      <c r="V26" s="1">
        <v>3.0</v>
      </c>
      <c r="AH26" s="1">
        <v>134.0</v>
      </c>
      <c r="AT26" s="1">
        <v>60.0</v>
      </c>
      <c r="AZ26" s="1" t="s">
        <v>265</v>
      </c>
    </row>
    <row r="27" ht="15.75" customHeight="1">
      <c r="A27" s="1">
        <v>26.0</v>
      </c>
      <c r="B27" s="1">
        <v>2.0</v>
      </c>
      <c r="C27" s="1" t="s">
        <v>272</v>
      </c>
      <c r="F27" s="1">
        <v>30.0</v>
      </c>
      <c r="H27" s="1">
        <v>25.0</v>
      </c>
      <c r="I27" s="1">
        <v>508.0</v>
      </c>
      <c r="J27" s="1">
        <v>1.0</v>
      </c>
      <c r="K27" s="1">
        <v>1.0</v>
      </c>
      <c r="L27" s="1">
        <v>1.3</v>
      </c>
      <c r="M27" s="1">
        <v>1.3</v>
      </c>
      <c r="Q27" s="1">
        <v>1.0</v>
      </c>
      <c r="V27" s="1">
        <v>4.0</v>
      </c>
      <c r="AH27" s="1">
        <v>10122.0</v>
      </c>
      <c r="AT27" s="1">
        <v>96.0</v>
      </c>
      <c r="AZ27" s="1" t="s">
        <v>275</v>
      </c>
    </row>
    <row r="28" ht="15.75" customHeight="1">
      <c r="A28" s="1">
        <v>27.0</v>
      </c>
      <c r="B28" s="1">
        <v>2.0</v>
      </c>
      <c r="C28" s="1" t="s">
        <v>278</v>
      </c>
      <c r="F28" s="1">
        <v>30.0</v>
      </c>
      <c r="H28" s="1">
        <v>28.0</v>
      </c>
      <c r="I28" s="1">
        <v>568.0</v>
      </c>
      <c r="J28" s="1">
        <v>2.0</v>
      </c>
      <c r="K28" s="1">
        <v>1.0</v>
      </c>
      <c r="L28" s="1">
        <v>1.5</v>
      </c>
      <c r="M28" s="1">
        <v>1.3</v>
      </c>
      <c r="P28" s="1">
        <v>1.0</v>
      </c>
      <c r="Q28" s="1">
        <v>1.0</v>
      </c>
      <c r="V28" s="1">
        <v>3.0</v>
      </c>
      <c r="AG28" s="1">
        <v>4.0</v>
      </c>
      <c r="AH28" s="1">
        <v>1.0</v>
      </c>
      <c r="AM28" s="1">
        <v>1.0</v>
      </c>
      <c r="AS28" s="1" t="s">
        <v>282</v>
      </c>
      <c r="AT28" s="1">
        <v>112.0</v>
      </c>
      <c r="AZ28" s="1" t="s">
        <v>275</v>
      </c>
    </row>
    <row r="29" ht="15.75" customHeight="1">
      <c r="A29" s="1">
        <v>28.0</v>
      </c>
      <c r="B29" s="1">
        <v>2.0</v>
      </c>
      <c r="C29" s="1" t="s">
        <v>283</v>
      </c>
      <c r="F29" s="1">
        <v>30.0</v>
      </c>
      <c r="H29" s="1">
        <v>30.0</v>
      </c>
      <c r="I29" s="1">
        <v>608.0</v>
      </c>
      <c r="J29" s="1">
        <v>2.0</v>
      </c>
      <c r="K29" s="1">
        <v>1.0</v>
      </c>
      <c r="L29" s="1">
        <v>1.1</v>
      </c>
      <c r="M29" s="1">
        <v>1.3</v>
      </c>
      <c r="P29" s="1">
        <v>1.0</v>
      </c>
      <c r="Q29" s="1">
        <v>1.0</v>
      </c>
      <c r="V29" s="1">
        <v>2.0</v>
      </c>
      <c r="AG29" s="1">
        <v>4.0</v>
      </c>
      <c r="AH29" s="1">
        <v>1.0</v>
      </c>
      <c r="AM29" s="1">
        <v>1.0</v>
      </c>
      <c r="AS29" s="1" t="s">
        <v>288</v>
      </c>
      <c r="AT29" s="1">
        <v>105.0</v>
      </c>
      <c r="AZ29" s="1" t="s">
        <v>275</v>
      </c>
    </row>
    <row r="30" ht="15.75" customHeight="1">
      <c r="A30" s="1">
        <v>29.0</v>
      </c>
      <c r="B30" s="1">
        <v>2.0</v>
      </c>
      <c r="C30" s="1" t="s">
        <v>291</v>
      </c>
      <c r="F30" s="1">
        <v>60.0</v>
      </c>
      <c r="H30" s="1">
        <v>35.0</v>
      </c>
      <c r="I30" s="1">
        <v>709.0</v>
      </c>
      <c r="J30" s="1">
        <v>2.0</v>
      </c>
      <c r="K30" s="1">
        <v>1.0</v>
      </c>
      <c r="L30" s="1">
        <v>1.5</v>
      </c>
      <c r="M30" s="1">
        <v>1.2</v>
      </c>
      <c r="N30" s="1">
        <v>1.0</v>
      </c>
      <c r="Q30" s="1">
        <v>1.0</v>
      </c>
      <c r="V30" s="1">
        <v>3.0</v>
      </c>
      <c r="AH30" s="1">
        <v>114.0</v>
      </c>
      <c r="AT30" s="1">
        <v>126.0</v>
      </c>
      <c r="AZ30" s="1" t="s">
        <v>294</v>
      </c>
    </row>
    <row r="31" ht="15.75" customHeight="1">
      <c r="A31" s="1">
        <v>30.0</v>
      </c>
      <c r="B31" s="1">
        <v>2.0</v>
      </c>
      <c r="C31" s="1" t="s">
        <v>291</v>
      </c>
      <c r="F31" s="1">
        <v>60.0</v>
      </c>
      <c r="H31" s="1">
        <v>35.0</v>
      </c>
      <c r="I31" s="1">
        <v>709.0</v>
      </c>
      <c r="J31" s="1">
        <v>2.0</v>
      </c>
      <c r="K31" s="1">
        <v>1.0</v>
      </c>
      <c r="L31" s="1">
        <v>1.5</v>
      </c>
      <c r="M31" s="1">
        <v>1.2</v>
      </c>
      <c r="Q31" s="1">
        <v>1.0</v>
      </c>
      <c r="V31" s="1">
        <v>3.0</v>
      </c>
      <c r="AH31" s="1">
        <v>114.0</v>
      </c>
      <c r="AT31" s="1">
        <v>126.0</v>
      </c>
      <c r="AZ31" s="1" t="s">
        <v>294</v>
      </c>
    </row>
    <row r="32" ht="15.75" customHeight="1">
      <c r="A32" s="1">
        <v>31.0</v>
      </c>
      <c r="B32" s="1">
        <v>2.0</v>
      </c>
      <c r="C32" s="1" t="s">
        <v>299</v>
      </c>
      <c r="F32" s="1">
        <v>60.0</v>
      </c>
      <c r="H32" s="1">
        <v>30.0</v>
      </c>
      <c r="I32" s="1">
        <v>609.0</v>
      </c>
      <c r="J32" s="1">
        <v>2.0</v>
      </c>
      <c r="K32" s="1">
        <v>1.0</v>
      </c>
      <c r="L32" s="1">
        <v>1.5</v>
      </c>
      <c r="M32" s="1">
        <v>1.4</v>
      </c>
      <c r="N32" s="1">
        <v>1.0</v>
      </c>
      <c r="Q32" s="1">
        <v>1.0</v>
      </c>
      <c r="V32" s="1">
        <v>3.0</v>
      </c>
      <c r="AH32" s="1">
        <v>114.0</v>
      </c>
      <c r="AT32" s="1">
        <v>111.0</v>
      </c>
      <c r="AZ32" s="1" t="s">
        <v>294</v>
      </c>
    </row>
    <row r="33" ht="15.75" customHeight="1">
      <c r="A33" s="1">
        <v>32.0</v>
      </c>
      <c r="B33" s="1">
        <v>2.0</v>
      </c>
      <c r="C33" s="1" t="s">
        <v>299</v>
      </c>
      <c r="F33" s="1">
        <v>60.0</v>
      </c>
      <c r="H33" s="1">
        <v>30.0</v>
      </c>
      <c r="I33" s="1">
        <v>609.0</v>
      </c>
      <c r="J33" s="1">
        <v>2.0</v>
      </c>
      <c r="K33" s="1">
        <v>1.0</v>
      </c>
      <c r="L33" s="1">
        <v>1.5</v>
      </c>
      <c r="M33" s="1">
        <v>1.3</v>
      </c>
      <c r="Q33" s="1">
        <v>1.0</v>
      </c>
      <c r="V33" s="1">
        <v>3.0</v>
      </c>
      <c r="AH33" s="1">
        <v>114.0</v>
      </c>
      <c r="AT33" s="1">
        <v>111.0</v>
      </c>
      <c r="AZ33" s="1" t="s">
        <v>294</v>
      </c>
    </row>
    <row r="34" ht="15.75" customHeight="1">
      <c r="A34" s="1">
        <v>33.0</v>
      </c>
      <c r="B34" s="1">
        <v>2.0</v>
      </c>
      <c r="C34" s="1" t="s">
        <v>303</v>
      </c>
      <c r="F34" s="1">
        <v>14400.0</v>
      </c>
      <c r="H34" s="1">
        <v>45.0</v>
      </c>
      <c r="I34" s="1">
        <v>2109.0</v>
      </c>
      <c r="J34" s="1">
        <v>6.0</v>
      </c>
      <c r="K34" s="1">
        <v>2.0</v>
      </c>
      <c r="L34" s="1">
        <v>1.0</v>
      </c>
      <c r="M34" s="1">
        <v>1.0</v>
      </c>
      <c r="N34" s="1">
        <v>1.0</v>
      </c>
      <c r="Q34" s="1">
        <v>1.0</v>
      </c>
      <c r="S34" s="1">
        <v>12000.0</v>
      </c>
      <c r="V34" s="1">
        <v>3.0</v>
      </c>
      <c r="AH34" s="1">
        <v>153.0</v>
      </c>
      <c r="AT34" s="1">
        <v>808.0</v>
      </c>
      <c r="AZ34" s="1" t="s">
        <v>294</v>
      </c>
    </row>
    <row r="35" ht="15.75" customHeight="1">
      <c r="A35" s="1">
        <v>34.0</v>
      </c>
      <c r="B35" s="1">
        <v>2.0</v>
      </c>
      <c r="C35" s="1" t="s">
        <v>305</v>
      </c>
      <c r="F35" s="1">
        <v>30.0</v>
      </c>
      <c r="H35" s="1">
        <v>35.0</v>
      </c>
      <c r="I35" s="1">
        <v>708.0</v>
      </c>
      <c r="J35" s="1">
        <v>1.0</v>
      </c>
      <c r="K35" s="1">
        <v>1.0</v>
      </c>
      <c r="L35" s="1">
        <v>1.4</v>
      </c>
      <c r="M35" s="1">
        <v>1.4</v>
      </c>
      <c r="O35" s="1">
        <v>1.0</v>
      </c>
      <c r="Q35" s="1">
        <v>1.0</v>
      </c>
      <c r="V35" s="1">
        <v>2.0</v>
      </c>
      <c r="AH35" s="1">
        <v>128.0</v>
      </c>
      <c r="AT35" s="1">
        <v>135.0</v>
      </c>
      <c r="AZ35" s="1" t="s">
        <v>309</v>
      </c>
    </row>
    <row r="36" ht="15.75" customHeight="1">
      <c r="A36" s="1">
        <v>35.0</v>
      </c>
      <c r="B36" s="1">
        <v>2.0</v>
      </c>
      <c r="C36" s="1" t="s">
        <v>311</v>
      </c>
      <c r="F36" s="1">
        <v>30.0</v>
      </c>
      <c r="H36" s="1">
        <v>40.0</v>
      </c>
      <c r="I36" s="1">
        <v>830.0</v>
      </c>
      <c r="J36" s="1">
        <v>3.0</v>
      </c>
      <c r="K36" s="1">
        <v>1.0</v>
      </c>
      <c r="L36" s="1">
        <v>1.4</v>
      </c>
      <c r="M36" s="1">
        <v>1.4</v>
      </c>
      <c r="O36" s="1">
        <v>1.0</v>
      </c>
      <c r="Q36" s="1">
        <v>1.0</v>
      </c>
      <c r="V36" s="1">
        <v>2.0</v>
      </c>
      <c r="AH36" s="1">
        <v>128.0</v>
      </c>
      <c r="AT36" s="1">
        <v>147.0</v>
      </c>
      <c r="AZ36" s="1" t="s">
        <v>309</v>
      </c>
    </row>
    <row r="37" ht="15.75" customHeight="1">
      <c r="A37" s="1">
        <v>36.0</v>
      </c>
      <c r="B37" s="1">
        <v>2.0</v>
      </c>
      <c r="C37" s="1" t="s">
        <v>315</v>
      </c>
      <c r="F37" s="1">
        <v>30.0</v>
      </c>
      <c r="H37" s="1">
        <v>40.0</v>
      </c>
      <c r="I37" s="1">
        <v>809.0</v>
      </c>
      <c r="J37" s="1">
        <v>2.0</v>
      </c>
      <c r="K37" s="1">
        <v>1.0</v>
      </c>
      <c r="L37" s="1">
        <v>1.4</v>
      </c>
      <c r="M37" s="1">
        <v>1.4</v>
      </c>
      <c r="N37" s="1">
        <v>1.0</v>
      </c>
      <c r="O37" s="1">
        <v>1.0</v>
      </c>
      <c r="Q37" s="1">
        <v>1.0</v>
      </c>
      <c r="V37" s="1">
        <v>4.0</v>
      </c>
      <c r="AH37" s="1">
        <v>128.0</v>
      </c>
      <c r="AT37" s="1">
        <v>141.0</v>
      </c>
      <c r="AZ37" s="1" t="s">
        <v>319</v>
      </c>
    </row>
    <row r="38" ht="15.75" customHeight="1">
      <c r="A38" s="1">
        <v>37.0</v>
      </c>
      <c r="B38" s="1">
        <v>2.0</v>
      </c>
      <c r="C38" s="1" t="s">
        <v>322</v>
      </c>
      <c r="F38" s="1">
        <v>3600.0</v>
      </c>
      <c r="H38" s="1">
        <v>45.0</v>
      </c>
      <c r="I38" s="1">
        <v>1309.0</v>
      </c>
      <c r="J38" s="1">
        <v>2.0</v>
      </c>
      <c r="K38" s="1">
        <v>3.0</v>
      </c>
      <c r="L38" s="1">
        <v>1.4</v>
      </c>
      <c r="M38" s="1">
        <v>1.4</v>
      </c>
      <c r="N38" s="1">
        <v>1.0</v>
      </c>
      <c r="Q38" s="1">
        <v>1.0</v>
      </c>
      <c r="V38" s="1">
        <v>3.0</v>
      </c>
      <c r="AH38" s="1">
        <v>128.0</v>
      </c>
      <c r="AT38" s="1">
        <v>665.0</v>
      </c>
      <c r="AZ38" s="1" t="s">
        <v>325</v>
      </c>
    </row>
    <row r="39" ht="15.75" customHeight="1">
      <c r="A39" s="1">
        <v>38.0</v>
      </c>
      <c r="B39" s="1">
        <v>2.0</v>
      </c>
      <c r="C39" s="1" t="s">
        <v>326</v>
      </c>
      <c r="F39" s="1">
        <v>30.0</v>
      </c>
      <c r="H39" s="1">
        <v>50.0</v>
      </c>
      <c r="I39" s="1">
        <v>1310.0</v>
      </c>
      <c r="J39" s="1">
        <v>3.0</v>
      </c>
      <c r="K39" s="1">
        <v>3.0</v>
      </c>
      <c r="L39" s="1">
        <v>1.3</v>
      </c>
      <c r="M39" s="1">
        <v>1.3</v>
      </c>
      <c r="N39" s="1">
        <v>1.0</v>
      </c>
      <c r="Q39" s="1">
        <v>1.0</v>
      </c>
      <c r="S39" s="1">
        <v>13362.0</v>
      </c>
      <c r="V39" s="1">
        <v>3.0</v>
      </c>
      <c r="AH39" s="1">
        <v>128.0</v>
      </c>
      <c r="AT39" s="1">
        <v>330.0</v>
      </c>
      <c r="AZ39" s="1" t="s">
        <v>330</v>
      </c>
    </row>
    <row r="40" ht="15.75" customHeight="1">
      <c r="A40" s="1">
        <v>39.0</v>
      </c>
      <c r="B40" s="1">
        <v>2.0</v>
      </c>
      <c r="C40" s="1" t="s">
        <v>331</v>
      </c>
      <c r="F40" s="1">
        <v>30.0</v>
      </c>
      <c r="H40" s="1">
        <v>50.0</v>
      </c>
      <c r="I40" s="1">
        <v>909.0</v>
      </c>
      <c r="J40" s="1">
        <v>2.0</v>
      </c>
      <c r="K40" s="1">
        <v>1.0</v>
      </c>
      <c r="L40" s="1">
        <v>1.4</v>
      </c>
      <c r="M40" s="1">
        <v>1.3</v>
      </c>
      <c r="Q40" s="1">
        <v>1.0</v>
      </c>
      <c r="V40" s="1">
        <v>3.0</v>
      </c>
      <c r="AH40" s="1">
        <v>128.0</v>
      </c>
      <c r="AT40" s="1">
        <v>165.0</v>
      </c>
      <c r="AZ40" s="1" t="s">
        <v>335</v>
      </c>
    </row>
    <row r="41" ht="15.75" customHeight="1">
      <c r="A41" s="1">
        <v>40.0</v>
      </c>
      <c r="B41" s="1">
        <v>2.0</v>
      </c>
      <c r="C41" s="1" t="s">
        <v>336</v>
      </c>
      <c r="F41" s="1">
        <v>30.0</v>
      </c>
      <c r="H41" s="1">
        <v>12.0</v>
      </c>
      <c r="I41" s="1">
        <v>246.0</v>
      </c>
      <c r="J41" s="1">
        <v>3.0</v>
      </c>
      <c r="K41" s="1">
        <v>1.0</v>
      </c>
      <c r="L41" s="1">
        <v>1.3</v>
      </c>
      <c r="M41" s="1">
        <v>1.3</v>
      </c>
      <c r="O41" s="1">
        <v>1.0</v>
      </c>
      <c r="P41" s="1">
        <v>1.0</v>
      </c>
      <c r="Q41" s="1">
        <v>1.0</v>
      </c>
      <c r="V41" s="1">
        <v>3.0</v>
      </c>
      <c r="AH41" s="1">
        <v>10110.0</v>
      </c>
      <c r="AT41" s="1">
        <v>48.0</v>
      </c>
      <c r="AZ41" s="1" t="s">
        <v>340</v>
      </c>
    </row>
    <row r="42" ht="15.75" customHeight="1">
      <c r="A42" s="1">
        <v>41.0</v>
      </c>
      <c r="B42" s="1">
        <v>2.0</v>
      </c>
      <c r="C42" s="1" t="s">
        <v>342</v>
      </c>
      <c r="F42" s="1">
        <v>30.0</v>
      </c>
      <c r="H42" s="1">
        <v>13.0</v>
      </c>
      <c r="I42" s="1">
        <v>266.0</v>
      </c>
      <c r="J42" s="1">
        <v>3.0</v>
      </c>
      <c r="K42" s="1">
        <v>1.0</v>
      </c>
      <c r="L42" s="1">
        <v>1.3</v>
      </c>
      <c r="M42" s="1">
        <v>1.3</v>
      </c>
      <c r="O42" s="1">
        <v>1.0</v>
      </c>
      <c r="P42" s="1">
        <v>1.0</v>
      </c>
      <c r="Q42" s="1">
        <v>1.0</v>
      </c>
      <c r="V42" s="1">
        <v>3.0</v>
      </c>
      <c r="AH42" s="1">
        <v>10109.0</v>
      </c>
      <c r="AT42" s="1">
        <v>54.0</v>
      </c>
      <c r="AZ42" s="1" t="s">
        <v>340</v>
      </c>
    </row>
    <row r="43" ht="15.75" customHeight="1">
      <c r="A43" s="1">
        <v>42.0</v>
      </c>
      <c r="B43" s="1">
        <v>2.0</v>
      </c>
      <c r="C43" s="1" t="s">
        <v>349</v>
      </c>
      <c r="F43" s="1">
        <v>30.0</v>
      </c>
      <c r="H43" s="1">
        <v>14.0</v>
      </c>
      <c r="I43" s="1">
        <v>286.0</v>
      </c>
      <c r="J43" s="1">
        <v>3.0</v>
      </c>
      <c r="K43" s="1">
        <v>1.0</v>
      </c>
      <c r="L43" s="1">
        <v>1.3</v>
      </c>
      <c r="M43" s="1">
        <v>1.3</v>
      </c>
      <c r="O43" s="1">
        <v>1.0</v>
      </c>
      <c r="P43" s="1">
        <v>1.0</v>
      </c>
      <c r="Q43" s="1">
        <v>1.0</v>
      </c>
      <c r="V43" s="1">
        <v>3.0</v>
      </c>
      <c r="AH43" s="1">
        <v>10111.0</v>
      </c>
      <c r="AT43" s="1">
        <v>57.0</v>
      </c>
      <c r="AZ43" s="1" t="s">
        <v>340</v>
      </c>
    </row>
    <row r="44" ht="15.75" customHeight="1">
      <c r="A44" s="1">
        <v>43.0</v>
      </c>
      <c r="B44" s="1">
        <v>2.0</v>
      </c>
      <c r="C44" s="1" t="s">
        <v>354</v>
      </c>
      <c r="F44" s="1">
        <v>30.0</v>
      </c>
      <c r="H44" s="1">
        <v>15.0</v>
      </c>
      <c r="I44" s="1">
        <v>308.0</v>
      </c>
      <c r="J44" s="1">
        <v>3.0</v>
      </c>
      <c r="K44" s="1">
        <v>1.0</v>
      </c>
      <c r="L44" s="1">
        <v>1.3</v>
      </c>
      <c r="M44" s="1">
        <v>1.3</v>
      </c>
      <c r="O44" s="1">
        <v>1.0</v>
      </c>
      <c r="P44" s="1">
        <v>1.0</v>
      </c>
      <c r="Q44" s="1">
        <v>1.0</v>
      </c>
      <c r="V44" s="1">
        <v>3.0</v>
      </c>
      <c r="AH44" s="1">
        <v>10108.0</v>
      </c>
      <c r="AT44" s="1">
        <v>63.0</v>
      </c>
      <c r="AZ44" s="1" t="s">
        <v>340</v>
      </c>
    </row>
    <row r="45" ht="15.75" customHeight="1">
      <c r="A45" s="1">
        <v>44.0</v>
      </c>
      <c r="B45" s="1">
        <v>2.0</v>
      </c>
      <c r="C45" s="1" t="s">
        <v>359</v>
      </c>
      <c r="F45" s="1">
        <v>30.0</v>
      </c>
      <c r="H45" s="1">
        <v>20.0</v>
      </c>
      <c r="I45" s="1">
        <v>408.0</v>
      </c>
      <c r="J45" s="1">
        <v>3.0</v>
      </c>
      <c r="K45" s="1">
        <v>1.0</v>
      </c>
      <c r="L45" s="1">
        <v>1.3</v>
      </c>
      <c r="M45" s="1">
        <v>1.3</v>
      </c>
      <c r="O45" s="1">
        <v>1.0</v>
      </c>
      <c r="P45" s="1">
        <v>1.0</v>
      </c>
      <c r="Q45" s="1">
        <v>1.0</v>
      </c>
      <c r="V45" s="1">
        <v>3.0</v>
      </c>
      <c r="AH45" s="1">
        <v>10120.0</v>
      </c>
      <c r="AT45" s="1">
        <v>81.0</v>
      </c>
      <c r="AZ45" s="1" t="s">
        <v>340</v>
      </c>
    </row>
    <row r="46" ht="15.75" customHeight="1">
      <c r="A46" s="1">
        <v>45.0</v>
      </c>
      <c r="B46" s="1">
        <v>2.0</v>
      </c>
      <c r="C46" s="1" t="s">
        <v>363</v>
      </c>
      <c r="F46" s="1">
        <v>30.0</v>
      </c>
      <c r="H46" s="1">
        <v>16.0</v>
      </c>
      <c r="I46" s="1">
        <v>338.0</v>
      </c>
      <c r="J46" s="1">
        <v>3.0</v>
      </c>
      <c r="K46" s="1">
        <v>1.0</v>
      </c>
      <c r="L46" s="1">
        <v>1.3</v>
      </c>
      <c r="M46" s="1">
        <v>1.3</v>
      </c>
      <c r="O46" s="1">
        <v>1.0</v>
      </c>
      <c r="P46" s="1">
        <v>1.0</v>
      </c>
      <c r="Q46" s="1">
        <v>1.0</v>
      </c>
      <c r="V46" s="1">
        <v>3.0</v>
      </c>
      <c r="AH46" s="1">
        <v>10107.0</v>
      </c>
      <c r="AT46" s="1">
        <v>66.0</v>
      </c>
      <c r="AZ46" s="1" t="s">
        <v>340</v>
      </c>
    </row>
    <row r="47" ht="15.75" customHeight="1">
      <c r="A47" s="1">
        <v>46.0</v>
      </c>
      <c r="B47" s="1">
        <v>2.0</v>
      </c>
      <c r="C47" s="1" t="s">
        <v>368</v>
      </c>
      <c r="F47" s="1">
        <v>3600.0</v>
      </c>
      <c r="H47" s="1">
        <v>20.0</v>
      </c>
      <c r="I47" s="1">
        <v>448.0</v>
      </c>
      <c r="J47" s="1">
        <v>2.0</v>
      </c>
      <c r="K47" s="1">
        <v>1.0</v>
      </c>
      <c r="L47" s="1">
        <v>1.3</v>
      </c>
      <c r="M47" s="1">
        <v>1.3</v>
      </c>
      <c r="N47" s="1">
        <v>1.0</v>
      </c>
      <c r="O47" s="1">
        <v>1.0</v>
      </c>
      <c r="Q47" s="1">
        <v>1.0</v>
      </c>
      <c r="V47" s="1">
        <v>3.0</v>
      </c>
      <c r="AH47" s="1">
        <v>10120.0</v>
      </c>
      <c r="AT47" s="1">
        <v>87.0</v>
      </c>
      <c r="AZ47" s="1" t="s">
        <v>340</v>
      </c>
    </row>
    <row r="48" ht="15.75" customHeight="1">
      <c r="A48" s="1">
        <v>47.0</v>
      </c>
      <c r="B48" s="1">
        <v>2.0</v>
      </c>
      <c r="C48" s="1" t="s">
        <v>373</v>
      </c>
      <c r="F48" s="1">
        <v>3600.0</v>
      </c>
      <c r="H48" s="1">
        <v>22.0</v>
      </c>
      <c r="I48" s="1">
        <v>448.0</v>
      </c>
      <c r="J48" s="1">
        <v>2.0</v>
      </c>
      <c r="K48" s="1">
        <v>1.0</v>
      </c>
      <c r="L48" s="1">
        <v>1.3</v>
      </c>
      <c r="M48" s="1">
        <v>1.3</v>
      </c>
      <c r="N48" s="1">
        <v>1.0</v>
      </c>
      <c r="Q48" s="1">
        <v>1.0</v>
      </c>
      <c r="V48" s="1">
        <v>3.0</v>
      </c>
      <c r="AH48" s="1">
        <v>10120.0</v>
      </c>
      <c r="AT48" s="1">
        <v>90.0</v>
      </c>
      <c r="AZ48" s="1" t="s">
        <v>340</v>
      </c>
    </row>
    <row r="49" ht="15.75" customHeight="1">
      <c r="A49" s="1">
        <v>48.0</v>
      </c>
      <c r="B49" s="1">
        <v>2.0</v>
      </c>
      <c r="C49" s="1" t="s">
        <v>377</v>
      </c>
      <c r="F49" s="1">
        <v>7200.0</v>
      </c>
      <c r="H49" s="1">
        <v>28.0</v>
      </c>
      <c r="I49" s="1">
        <v>600.0</v>
      </c>
      <c r="J49" s="1">
        <v>2.0</v>
      </c>
      <c r="K49" s="1">
        <v>1.0</v>
      </c>
      <c r="L49" s="1">
        <v>1.3</v>
      </c>
      <c r="M49" s="1">
        <v>1.3</v>
      </c>
      <c r="N49" s="1">
        <v>1.0</v>
      </c>
      <c r="Q49" s="1">
        <v>1.0</v>
      </c>
      <c r="V49" s="1">
        <v>3.0</v>
      </c>
      <c r="AH49" s="1">
        <v>117.0</v>
      </c>
      <c r="AT49" s="1">
        <v>114.0</v>
      </c>
      <c r="AZ49" s="1" t="s">
        <v>340</v>
      </c>
    </row>
    <row r="50" ht="15.75" customHeight="1">
      <c r="A50" s="1">
        <v>49.0</v>
      </c>
      <c r="B50" s="1">
        <v>2.0</v>
      </c>
      <c r="C50" s="1" t="s">
        <v>326</v>
      </c>
      <c r="F50" s="1">
        <v>30.0</v>
      </c>
      <c r="H50" s="1">
        <v>50.0</v>
      </c>
      <c r="I50" s="1">
        <v>1310.0</v>
      </c>
      <c r="J50" s="1">
        <v>3.0</v>
      </c>
      <c r="K50" s="1">
        <v>3.0</v>
      </c>
      <c r="L50" s="1">
        <v>1.3</v>
      </c>
      <c r="M50" s="1">
        <v>1.3</v>
      </c>
      <c r="Q50" s="1">
        <v>1.0</v>
      </c>
      <c r="S50" s="1">
        <v>13362.0</v>
      </c>
      <c r="V50" s="1">
        <v>3.0</v>
      </c>
      <c r="AH50" s="1">
        <v>128.0</v>
      </c>
      <c r="AT50" s="1">
        <v>330.0</v>
      </c>
      <c r="AZ50" s="1" t="s">
        <v>335</v>
      </c>
    </row>
    <row r="51" ht="15.75" customHeight="1">
      <c r="A51" s="1">
        <v>50.0</v>
      </c>
      <c r="B51" s="1">
        <v>2.0</v>
      </c>
      <c r="C51" s="1" t="s">
        <v>386</v>
      </c>
      <c r="F51" s="1">
        <v>60.0</v>
      </c>
      <c r="H51" s="1">
        <v>50.0</v>
      </c>
      <c r="I51" s="1">
        <v>1049.0</v>
      </c>
      <c r="J51" s="1">
        <v>2.0</v>
      </c>
      <c r="K51" s="1">
        <v>1.0</v>
      </c>
      <c r="L51" s="1">
        <v>1.0</v>
      </c>
      <c r="M51" s="1">
        <v>1.0</v>
      </c>
      <c r="N51" s="1">
        <v>1.0</v>
      </c>
      <c r="P51" s="1">
        <v>1.0</v>
      </c>
      <c r="Q51" s="1">
        <v>1.0</v>
      </c>
      <c r="S51" s="1">
        <v>9934.0</v>
      </c>
      <c r="V51" s="1">
        <v>3.0</v>
      </c>
      <c r="AH51" s="1">
        <v>1.0</v>
      </c>
      <c r="AM51" s="1">
        <v>1.0</v>
      </c>
      <c r="AS51" s="1" t="s">
        <v>390</v>
      </c>
      <c r="AT51" s="1">
        <v>1100.0</v>
      </c>
      <c r="AZ51" s="1" t="s">
        <v>391</v>
      </c>
    </row>
    <row r="52" ht="15.75" customHeight="1">
      <c r="A52" s="1">
        <v>51.0</v>
      </c>
      <c r="B52" s="1">
        <v>2.0</v>
      </c>
      <c r="C52" s="1" t="s">
        <v>392</v>
      </c>
      <c r="F52" s="1">
        <v>60.0</v>
      </c>
      <c r="H52" s="1">
        <v>50.0</v>
      </c>
      <c r="I52" s="1">
        <v>949.0</v>
      </c>
      <c r="J52" s="1">
        <v>3.0</v>
      </c>
      <c r="K52" s="1">
        <v>4.0</v>
      </c>
      <c r="L52" s="1">
        <v>1.0</v>
      </c>
      <c r="M52" s="1">
        <v>1.0</v>
      </c>
      <c r="N52" s="1">
        <v>1.0</v>
      </c>
      <c r="O52" s="1">
        <v>1.0</v>
      </c>
      <c r="P52" s="1">
        <v>1.0</v>
      </c>
      <c r="Q52" s="1">
        <v>1.0</v>
      </c>
      <c r="S52" s="1">
        <v>4948.0</v>
      </c>
      <c r="V52" s="1">
        <v>4.0</v>
      </c>
      <c r="AG52" s="1">
        <v>5.0</v>
      </c>
      <c r="AH52" s="1">
        <v>1.0</v>
      </c>
      <c r="AM52" s="1">
        <v>1.0</v>
      </c>
      <c r="AS52" s="1" t="s">
        <v>397</v>
      </c>
      <c r="AT52" s="1">
        <v>949.0</v>
      </c>
      <c r="AZ52" s="1" t="s">
        <v>391</v>
      </c>
    </row>
    <row r="53" ht="15.75" customHeight="1">
      <c r="A53" s="1">
        <v>52.0</v>
      </c>
      <c r="B53" s="1">
        <v>2.0</v>
      </c>
      <c r="C53" s="1" t="s">
        <v>400</v>
      </c>
      <c r="F53" s="1">
        <v>60.0</v>
      </c>
      <c r="H53" s="1">
        <v>50.0</v>
      </c>
      <c r="I53" s="1">
        <v>949.0</v>
      </c>
      <c r="J53" s="1">
        <v>3.0</v>
      </c>
      <c r="K53" s="1">
        <v>1.0</v>
      </c>
      <c r="L53" s="1">
        <v>1.0</v>
      </c>
      <c r="M53" s="1">
        <v>1.0</v>
      </c>
      <c r="N53" s="1">
        <v>1.0</v>
      </c>
      <c r="O53" s="1">
        <v>1.0</v>
      </c>
      <c r="P53" s="1">
        <v>1.0</v>
      </c>
      <c r="Q53" s="1">
        <v>1.0</v>
      </c>
      <c r="S53" s="1">
        <v>7142.0</v>
      </c>
      <c r="V53" s="1">
        <v>5.0</v>
      </c>
      <c r="AG53" s="1">
        <v>5.0</v>
      </c>
      <c r="AH53" s="1">
        <v>1.0</v>
      </c>
      <c r="AM53" s="1">
        <v>1.0</v>
      </c>
      <c r="AS53" s="1" t="s">
        <v>406</v>
      </c>
      <c r="AT53" s="1">
        <v>800.0</v>
      </c>
      <c r="AZ53" s="1" t="s">
        <v>391</v>
      </c>
    </row>
    <row r="54" ht="15.75" customHeight="1">
      <c r="A54" s="1">
        <v>53.0</v>
      </c>
      <c r="B54" s="1">
        <v>2.0</v>
      </c>
      <c r="C54" s="1" t="s">
        <v>407</v>
      </c>
      <c r="F54" s="1">
        <v>7200.0</v>
      </c>
      <c r="H54" s="1">
        <v>50.0</v>
      </c>
      <c r="I54" s="1">
        <v>6000.0</v>
      </c>
      <c r="J54" s="1">
        <v>4.0</v>
      </c>
      <c r="K54" s="1">
        <v>3.0</v>
      </c>
      <c r="L54" s="1">
        <v>1.0</v>
      </c>
      <c r="M54" s="1">
        <v>1.0</v>
      </c>
      <c r="P54" s="1">
        <v>1.0</v>
      </c>
      <c r="Q54" s="1">
        <v>1.0</v>
      </c>
      <c r="S54" s="1">
        <v>262366.0</v>
      </c>
      <c r="V54" s="1">
        <v>3.0</v>
      </c>
      <c r="AG54" s="1">
        <v>4.0</v>
      </c>
      <c r="AH54" s="1">
        <v>1.0</v>
      </c>
      <c r="AM54" s="1">
        <v>1.0</v>
      </c>
      <c r="AS54" s="1" t="s">
        <v>410</v>
      </c>
      <c r="AT54" s="1">
        <v>5000.0</v>
      </c>
      <c r="AZ54" s="1" t="s">
        <v>391</v>
      </c>
    </row>
    <row r="55" ht="15.75" customHeight="1">
      <c r="A55" s="1">
        <v>54.0</v>
      </c>
      <c r="B55" s="1">
        <v>2.0</v>
      </c>
      <c r="C55" s="1" t="s">
        <v>413</v>
      </c>
      <c r="F55" s="1">
        <v>7200.0</v>
      </c>
      <c r="H55" s="1">
        <v>50.0</v>
      </c>
      <c r="I55" s="1">
        <v>1210.0</v>
      </c>
      <c r="J55" s="1">
        <v>4.0</v>
      </c>
      <c r="K55" s="1">
        <v>2.0</v>
      </c>
      <c r="L55" s="1">
        <v>1.2</v>
      </c>
      <c r="M55" s="1">
        <v>1.2</v>
      </c>
      <c r="N55" s="1">
        <v>1.0</v>
      </c>
      <c r="Q55" s="1">
        <v>1.0</v>
      </c>
      <c r="S55" s="1">
        <v>73130.0</v>
      </c>
      <c r="V55" s="1">
        <v>3.0</v>
      </c>
      <c r="AH55" s="1">
        <v>128.0</v>
      </c>
      <c r="AT55" s="1">
        <v>1500.0</v>
      </c>
      <c r="AZ55" s="1" t="s">
        <v>416</v>
      </c>
    </row>
    <row r="56" ht="15.75" customHeight="1">
      <c r="A56" s="1">
        <v>55.0</v>
      </c>
      <c r="B56" s="1">
        <v>2.0</v>
      </c>
      <c r="C56" s="1" t="s">
        <v>419</v>
      </c>
      <c r="F56" s="1">
        <v>45.0</v>
      </c>
      <c r="H56" s="1">
        <v>50.0</v>
      </c>
      <c r="I56" s="1">
        <v>1009.0</v>
      </c>
      <c r="J56" s="1">
        <v>4.0</v>
      </c>
      <c r="K56" s="1">
        <v>1.0</v>
      </c>
      <c r="L56" s="1">
        <v>1.2</v>
      </c>
      <c r="M56" s="1">
        <v>1.2</v>
      </c>
      <c r="N56" s="1">
        <v>1.0</v>
      </c>
      <c r="Q56" s="1">
        <v>1.0</v>
      </c>
      <c r="S56" s="1">
        <v>15206.0</v>
      </c>
      <c r="V56" s="1">
        <v>3.0</v>
      </c>
      <c r="AH56" s="1">
        <v>128.0</v>
      </c>
      <c r="AT56" s="1">
        <v>1000.0</v>
      </c>
      <c r="AZ56" s="1" t="s">
        <v>416</v>
      </c>
    </row>
    <row r="57" ht="15.75" customHeight="1">
      <c r="A57" s="1">
        <v>56.0</v>
      </c>
      <c r="B57" s="1">
        <v>2.0</v>
      </c>
      <c r="C57" s="1" t="s">
        <v>421</v>
      </c>
      <c r="F57" s="1">
        <v>30.0</v>
      </c>
      <c r="H57" s="1">
        <v>50.0</v>
      </c>
      <c r="I57" s="1">
        <v>949.0</v>
      </c>
      <c r="J57" s="1">
        <v>3.0</v>
      </c>
      <c r="K57" s="1">
        <v>1.0</v>
      </c>
      <c r="L57" s="1">
        <v>1.1</v>
      </c>
      <c r="M57" s="1">
        <v>0.8</v>
      </c>
      <c r="N57" s="1">
        <v>1.0</v>
      </c>
      <c r="P57" s="1">
        <v>1.0</v>
      </c>
      <c r="Q57" s="1">
        <v>1.0</v>
      </c>
      <c r="S57" s="1">
        <v>7170.0</v>
      </c>
      <c r="V57" s="1">
        <v>3.0</v>
      </c>
      <c r="AH57" s="1">
        <v>10101.0</v>
      </c>
      <c r="AT57" s="1">
        <v>400.0</v>
      </c>
      <c r="AZ57" s="1" t="s">
        <v>425</v>
      </c>
    </row>
    <row r="58" ht="15.75" customHeight="1">
      <c r="A58" s="1">
        <v>57.0</v>
      </c>
      <c r="B58" s="1">
        <v>2.0</v>
      </c>
      <c r="C58" s="1" t="s">
        <v>426</v>
      </c>
      <c r="F58" s="1">
        <v>30.0</v>
      </c>
      <c r="H58" s="1">
        <v>50.0</v>
      </c>
      <c r="I58" s="1">
        <v>969.0</v>
      </c>
      <c r="J58" s="1">
        <v>3.0</v>
      </c>
      <c r="K58" s="1">
        <v>1.0</v>
      </c>
      <c r="L58" s="1">
        <v>1.1</v>
      </c>
      <c r="M58" s="1">
        <v>0.8</v>
      </c>
      <c r="N58" s="1">
        <v>1.0</v>
      </c>
      <c r="Q58" s="1">
        <v>1.0</v>
      </c>
      <c r="S58" s="1">
        <v>11508.0</v>
      </c>
      <c r="V58" s="1">
        <v>3.0</v>
      </c>
      <c r="AH58" s="1">
        <v>10102.0</v>
      </c>
      <c r="AT58" s="1">
        <v>500.0</v>
      </c>
      <c r="AZ58" s="1" t="s">
        <v>425</v>
      </c>
    </row>
    <row r="59" ht="15.75" customHeight="1">
      <c r="A59" s="1">
        <v>58.0</v>
      </c>
      <c r="B59" s="1">
        <v>2.0</v>
      </c>
      <c r="C59" s="1" t="s">
        <v>432</v>
      </c>
      <c r="F59" s="1">
        <v>7200.0</v>
      </c>
      <c r="H59" s="1">
        <v>50.0</v>
      </c>
      <c r="I59" s="1">
        <v>1210.0</v>
      </c>
      <c r="J59" s="1">
        <v>4.0</v>
      </c>
      <c r="K59" s="1">
        <v>1.0</v>
      </c>
      <c r="L59" s="1">
        <v>1.1</v>
      </c>
      <c r="M59" s="1">
        <v>0.8</v>
      </c>
      <c r="N59" s="1">
        <v>1.0</v>
      </c>
      <c r="Q59" s="1">
        <v>1.0</v>
      </c>
      <c r="S59" s="1">
        <v>60206.0</v>
      </c>
      <c r="V59" s="1">
        <v>3.0</v>
      </c>
      <c r="AH59" s="1">
        <v>10103.0</v>
      </c>
      <c r="AT59" s="1">
        <v>1600.0</v>
      </c>
      <c r="AZ59" s="1" t="s">
        <v>425</v>
      </c>
    </row>
    <row r="60" ht="15.75" customHeight="1">
      <c r="A60" s="1">
        <v>59.0</v>
      </c>
      <c r="B60" s="1">
        <v>2.0</v>
      </c>
      <c r="C60" s="1" t="s">
        <v>436</v>
      </c>
      <c r="F60" s="1">
        <v>7200.0</v>
      </c>
      <c r="H60" s="1">
        <v>50.0</v>
      </c>
      <c r="I60" s="1">
        <v>1820.0</v>
      </c>
      <c r="J60" s="1">
        <v>3.0</v>
      </c>
      <c r="K60" s="1">
        <v>1.0</v>
      </c>
      <c r="L60" s="1">
        <v>1.1</v>
      </c>
      <c r="M60" s="1">
        <v>0.8</v>
      </c>
      <c r="N60" s="1">
        <v>1.0</v>
      </c>
      <c r="Q60" s="1">
        <v>1.0</v>
      </c>
      <c r="S60" s="1">
        <v>38206.0</v>
      </c>
      <c r="V60" s="1">
        <v>3.0</v>
      </c>
      <c r="AH60" s="1">
        <v>10103.0</v>
      </c>
      <c r="AT60" s="1">
        <v>750.0</v>
      </c>
      <c r="AZ60" s="1" t="s">
        <v>425</v>
      </c>
    </row>
    <row r="61" ht="15.75" customHeight="1">
      <c r="A61" s="1">
        <v>60.0</v>
      </c>
      <c r="B61" s="1">
        <v>2.0</v>
      </c>
      <c r="C61" s="1" t="s">
        <v>441</v>
      </c>
      <c r="F61" s="1">
        <v>9600.0</v>
      </c>
      <c r="H61" s="1">
        <v>50.0</v>
      </c>
      <c r="I61" s="1">
        <v>2510.0</v>
      </c>
      <c r="J61" s="1">
        <v>4.0</v>
      </c>
      <c r="K61" s="1">
        <v>2.0</v>
      </c>
      <c r="L61" s="1">
        <v>1.1</v>
      </c>
      <c r="M61" s="1">
        <v>1.1</v>
      </c>
      <c r="N61" s="1">
        <v>1.0</v>
      </c>
      <c r="Q61" s="1">
        <v>1.0</v>
      </c>
      <c r="S61" s="1">
        <v>140774.0</v>
      </c>
      <c r="V61" s="1">
        <v>3.0</v>
      </c>
      <c r="AH61" s="1">
        <v>125.0</v>
      </c>
      <c r="AT61" s="1">
        <v>5000.0</v>
      </c>
      <c r="AZ61" s="1" t="s">
        <v>425</v>
      </c>
      <c r="BA61" s="1">
        <v>2.0</v>
      </c>
    </row>
    <row r="62" ht="15.75" customHeight="1">
      <c r="A62" s="1">
        <v>61.0</v>
      </c>
      <c r="B62" s="1">
        <v>2.0</v>
      </c>
      <c r="C62" s="1" t="s">
        <v>447</v>
      </c>
      <c r="F62" s="1">
        <v>30.0</v>
      </c>
      <c r="H62" s="1">
        <v>50.0</v>
      </c>
      <c r="I62" s="1">
        <v>1910.0</v>
      </c>
      <c r="J62" s="1">
        <v>3.0</v>
      </c>
      <c r="K62" s="1">
        <v>1.0</v>
      </c>
      <c r="L62" s="1">
        <v>1.0</v>
      </c>
      <c r="M62" s="1">
        <v>1.0</v>
      </c>
      <c r="N62" s="1">
        <v>1.0</v>
      </c>
      <c r="O62" s="1">
        <v>1.0</v>
      </c>
      <c r="Q62" s="1">
        <v>1.0</v>
      </c>
      <c r="S62" s="1">
        <v>17130.0</v>
      </c>
      <c r="V62" s="1">
        <v>3.0</v>
      </c>
      <c r="AG62" s="1">
        <v>4.0</v>
      </c>
      <c r="AM62" s="1">
        <v>3.0</v>
      </c>
      <c r="AS62" s="1" t="s">
        <v>450</v>
      </c>
      <c r="AT62" s="1">
        <v>1400.0</v>
      </c>
      <c r="AZ62" s="1" t="s">
        <v>451</v>
      </c>
    </row>
    <row r="63" ht="15.75" customHeight="1">
      <c r="A63" s="1">
        <v>62.0</v>
      </c>
      <c r="B63" s="1">
        <v>2.0</v>
      </c>
      <c r="C63" s="1" t="s">
        <v>453</v>
      </c>
      <c r="F63" s="1">
        <v>30.0</v>
      </c>
      <c r="H63" s="1">
        <v>50.0</v>
      </c>
      <c r="I63" s="1">
        <v>2410.0</v>
      </c>
      <c r="J63" s="1">
        <v>3.0</v>
      </c>
      <c r="K63" s="1">
        <v>1.0</v>
      </c>
      <c r="L63" s="1">
        <v>1.0</v>
      </c>
      <c r="M63" s="1">
        <v>1.0</v>
      </c>
      <c r="N63" s="1">
        <v>1.0</v>
      </c>
      <c r="O63" s="1">
        <v>1.0</v>
      </c>
      <c r="Q63" s="1">
        <v>1.0</v>
      </c>
      <c r="S63" s="1">
        <v>46774.0</v>
      </c>
      <c r="V63" s="1">
        <v>3.0</v>
      </c>
      <c r="AG63" s="1">
        <v>4.0</v>
      </c>
      <c r="AH63" s="1">
        <v>11.0</v>
      </c>
      <c r="AM63" s="1">
        <v>1.0</v>
      </c>
      <c r="AS63" s="1" t="s">
        <v>450</v>
      </c>
      <c r="AT63" s="1">
        <v>2300.0</v>
      </c>
      <c r="AZ63" s="1" t="s">
        <v>451</v>
      </c>
    </row>
    <row r="64" ht="15.75" customHeight="1">
      <c r="A64" s="1">
        <v>63.0</v>
      </c>
      <c r="B64" s="1">
        <v>2.0</v>
      </c>
      <c r="C64" s="1" t="s">
        <v>457</v>
      </c>
      <c r="F64" s="1">
        <v>30.0</v>
      </c>
      <c r="H64" s="1">
        <v>50.0</v>
      </c>
      <c r="I64" s="1">
        <v>1010.0</v>
      </c>
      <c r="J64" s="1">
        <v>3.0</v>
      </c>
      <c r="K64" s="1">
        <v>1.0</v>
      </c>
      <c r="L64" s="1">
        <v>1.0</v>
      </c>
      <c r="M64" s="1">
        <v>1.0</v>
      </c>
      <c r="N64" s="1">
        <v>1.0</v>
      </c>
      <c r="O64" s="1">
        <v>1.0</v>
      </c>
      <c r="Q64" s="1">
        <v>1.0</v>
      </c>
      <c r="S64" s="1">
        <v>3206.0</v>
      </c>
      <c r="V64" s="1">
        <v>3.0</v>
      </c>
      <c r="AG64" s="1">
        <v>4.0</v>
      </c>
      <c r="AM64" s="1">
        <v>2.0</v>
      </c>
      <c r="AS64" s="1" t="s">
        <v>450</v>
      </c>
      <c r="AT64" s="1">
        <v>1200.0</v>
      </c>
      <c r="AZ64" s="1" t="s">
        <v>451</v>
      </c>
    </row>
    <row r="65" ht="15.75" customHeight="1">
      <c r="A65" s="1">
        <v>64.0</v>
      </c>
      <c r="B65" s="1">
        <v>2.0</v>
      </c>
      <c r="C65" s="1" t="s">
        <v>461</v>
      </c>
      <c r="F65" s="1">
        <v>30.0</v>
      </c>
      <c r="H65" s="1">
        <v>50.0</v>
      </c>
      <c r="I65" s="1">
        <v>3510.0</v>
      </c>
      <c r="J65" s="1">
        <v>2.0</v>
      </c>
      <c r="K65" s="1">
        <v>1.0</v>
      </c>
      <c r="L65" s="1">
        <v>1.0</v>
      </c>
      <c r="M65" s="1">
        <v>1.0</v>
      </c>
      <c r="N65" s="1">
        <v>1.0</v>
      </c>
      <c r="O65" s="1">
        <v>1.0</v>
      </c>
      <c r="P65" s="1">
        <v>1.0</v>
      </c>
      <c r="Q65" s="1">
        <v>1.0</v>
      </c>
      <c r="S65" s="1">
        <v>79366.0</v>
      </c>
      <c r="V65" s="1">
        <v>3.0</v>
      </c>
      <c r="AG65" s="1">
        <v>4.0</v>
      </c>
      <c r="AM65" s="1">
        <v>3.0</v>
      </c>
      <c r="AS65" s="1" t="s">
        <v>465</v>
      </c>
      <c r="AT65" s="1">
        <v>3500.0</v>
      </c>
      <c r="AZ65" s="1" t="s">
        <v>451</v>
      </c>
    </row>
    <row r="66" ht="15.75" customHeight="1">
      <c r="A66" s="1">
        <v>65.0</v>
      </c>
      <c r="B66" s="1">
        <v>2.0</v>
      </c>
      <c r="C66" s="1" t="s">
        <v>467</v>
      </c>
      <c r="F66" s="1">
        <v>28800.0</v>
      </c>
      <c r="H66" s="1">
        <v>50.0</v>
      </c>
      <c r="I66" s="1">
        <v>6000.0</v>
      </c>
      <c r="J66" s="1">
        <v>4.0</v>
      </c>
      <c r="K66" s="1">
        <v>3.0</v>
      </c>
      <c r="L66" s="1">
        <v>1.0</v>
      </c>
      <c r="M66" s="1">
        <v>1.0</v>
      </c>
      <c r="N66" s="1">
        <v>1.0</v>
      </c>
      <c r="Q66" s="1">
        <v>1.0</v>
      </c>
      <c r="S66" s="1">
        <v>1021221.0</v>
      </c>
      <c r="V66" s="1">
        <v>3.0</v>
      </c>
      <c r="AH66" s="1">
        <v>129.0</v>
      </c>
      <c r="AT66" s="1">
        <v>20000.0</v>
      </c>
      <c r="AV66" s="1">
        <v>0.01</v>
      </c>
      <c r="AZ66" s="1" t="s">
        <v>451</v>
      </c>
      <c r="BA66" s="1">
        <v>2.0</v>
      </c>
    </row>
    <row r="67" ht="15.75" customHeight="1">
      <c r="A67" s="1">
        <v>66.0</v>
      </c>
      <c r="B67" s="1">
        <v>2.0</v>
      </c>
      <c r="C67" s="1" t="s">
        <v>472</v>
      </c>
      <c r="F67" s="1">
        <v>14400.0</v>
      </c>
      <c r="H67" s="1">
        <v>50.0</v>
      </c>
      <c r="I67" s="1">
        <v>1910.0</v>
      </c>
      <c r="J67" s="1">
        <v>3.0</v>
      </c>
      <c r="K67" s="1">
        <v>3.0</v>
      </c>
      <c r="L67" s="1">
        <v>1.0</v>
      </c>
      <c r="M67" s="1">
        <v>1.0</v>
      </c>
      <c r="N67" s="1">
        <v>1.0</v>
      </c>
      <c r="Q67" s="1">
        <v>1.0</v>
      </c>
      <c r="S67" s="1">
        <v>407690.0</v>
      </c>
      <c r="V67" s="1">
        <v>5.0</v>
      </c>
      <c r="AG67" s="1">
        <v>4.0</v>
      </c>
      <c r="AH67" s="1">
        <v>11.0</v>
      </c>
      <c r="AM67" s="1">
        <v>1.0</v>
      </c>
      <c r="AS67" s="1" t="s">
        <v>477</v>
      </c>
      <c r="AT67" s="1">
        <v>10000.0</v>
      </c>
      <c r="AZ67" s="1" t="s">
        <v>451</v>
      </c>
      <c r="BA67" s="1">
        <v>2.0</v>
      </c>
    </row>
    <row r="68" ht="15.75" customHeight="1">
      <c r="A68" s="1">
        <v>67.0</v>
      </c>
      <c r="B68" s="1">
        <v>2.0</v>
      </c>
      <c r="C68" s="1" t="s">
        <v>478</v>
      </c>
      <c r="F68" s="1">
        <v>14400.0</v>
      </c>
      <c r="H68" s="1">
        <v>50.0</v>
      </c>
      <c r="I68" s="1">
        <v>2610.0</v>
      </c>
      <c r="J68" s="1">
        <v>3.0</v>
      </c>
      <c r="K68" s="1">
        <v>3.0</v>
      </c>
      <c r="L68" s="1">
        <v>1.0</v>
      </c>
      <c r="M68" s="1">
        <v>1.0</v>
      </c>
      <c r="N68" s="1">
        <v>1.0</v>
      </c>
      <c r="Q68" s="1">
        <v>1.0</v>
      </c>
      <c r="S68" s="1">
        <v>666888.0</v>
      </c>
      <c r="V68" s="1">
        <v>3.0</v>
      </c>
      <c r="AG68" s="1">
        <v>4.0</v>
      </c>
      <c r="AM68" s="1">
        <v>3.0</v>
      </c>
      <c r="AS68" s="1" t="s">
        <v>482</v>
      </c>
      <c r="AT68" s="1">
        <v>11200.0</v>
      </c>
      <c r="AZ68" s="1" t="s">
        <v>451</v>
      </c>
      <c r="BA68" s="1">
        <v>2.0</v>
      </c>
    </row>
    <row r="69" ht="15.75" customHeight="1">
      <c r="A69" s="1">
        <v>68.0</v>
      </c>
      <c r="B69" s="1">
        <v>2.0</v>
      </c>
      <c r="C69" s="1" t="s">
        <v>485</v>
      </c>
      <c r="F69" s="1">
        <v>14400.0</v>
      </c>
      <c r="H69" s="1">
        <v>50.0</v>
      </c>
      <c r="I69" s="1">
        <v>2310.0</v>
      </c>
      <c r="J69" s="1">
        <v>3.0</v>
      </c>
      <c r="K69" s="1">
        <v>3.0</v>
      </c>
      <c r="L69" s="1">
        <v>1.0</v>
      </c>
      <c r="M69" s="1">
        <v>1.0</v>
      </c>
      <c r="N69" s="1">
        <v>1.0</v>
      </c>
      <c r="Q69" s="1">
        <v>1.0</v>
      </c>
      <c r="S69" s="1">
        <v>399502.0</v>
      </c>
      <c r="V69" s="1">
        <v>3.0</v>
      </c>
      <c r="AG69" s="1">
        <v>5.0</v>
      </c>
      <c r="AM69" s="1">
        <v>3.0</v>
      </c>
      <c r="AS69" s="1" t="s">
        <v>489</v>
      </c>
      <c r="AT69" s="1">
        <v>10800.0</v>
      </c>
      <c r="AZ69" s="1" t="s">
        <v>451</v>
      </c>
      <c r="BA69" s="1">
        <v>2.0</v>
      </c>
    </row>
    <row r="70" ht="15.75" customHeight="1">
      <c r="A70" s="1">
        <v>69.0</v>
      </c>
      <c r="B70" s="1">
        <v>2.0</v>
      </c>
      <c r="C70" s="1" t="s">
        <v>491</v>
      </c>
      <c r="F70" s="1">
        <v>30.0</v>
      </c>
      <c r="H70" s="1">
        <v>50.0</v>
      </c>
      <c r="I70" s="1">
        <v>1000.0</v>
      </c>
      <c r="J70" s="1">
        <v>3.0</v>
      </c>
      <c r="K70" s="1">
        <v>3.0</v>
      </c>
      <c r="L70" s="1">
        <v>1.0</v>
      </c>
      <c r="M70" s="1">
        <v>1.0</v>
      </c>
      <c r="N70" s="1">
        <v>1.0</v>
      </c>
      <c r="Q70" s="1">
        <v>1.0</v>
      </c>
      <c r="S70" s="1">
        <v>4206.0</v>
      </c>
      <c r="V70" s="1">
        <v>3.0</v>
      </c>
      <c r="AH70" s="1">
        <v>11.0</v>
      </c>
      <c r="AM70" s="1">
        <v>3.0</v>
      </c>
      <c r="AN70" s="1">
        <v>36.0</v>
      </c>
      <c r="AS70" s="1" t="s">
        <v>495</v>
      </c>
      <c r="AT70" s="1">
        <v>2000.0</v>
      </c>
      <c r="AZ70" s="1" t="s">
        <v>496</v>
      </c>
    </row>
    <row r="71" ht="15.75" customHeight="1">
      <c r="A71" s="1">
        <v>70.0</v>
      </c>
      <c r="B71" s="1">
        <v>2.0</v>
      </c>
      <c r="C71" s="1" t="s">
        <v>498</v>
      </c>
      <c r="F71" s="1">
        <v>40.0</v>
      </c>
      <c r="H71" s="1">
        <v>50.0</v>
      </c>
      <c r="I71" s="1">
        <v>1400.0</v>
      </c>
      <c r="J71" s="1">
        <v>4.0</v>
      </c>
      <c r="K71" s="1">
        <v>2.0</v>
      </c>
      <c r="L71" s="1">
        <v>1.0</v>
      </c>
      <c r="M71" s="1">
        <v>1.0</v>
      </c>
      <c r="N71" s="1">
        <v>1.0</v>
      </c>
      <c r="Q71" s="1">
        <v>1.0</v>
      </c>
      <c r="S71" s="1">
        <v>41206.0</v>
      </c>
      <c r="V71" s="1">
        <v>3.0</v>
      </c>
      <c r="AH71" s="1">
        <v>128.0</v>
      </c>
      <c r="AT71" s="1">
        <v>900.0</v>
      </c>
      <c r="AZ71" s="1" t="s">
        <v>502</v>
      </c>
    </row>
    <row r="72" ht="15.75" customHeight="1">
      <c r="A72" s="1">
        <v>71.0</v>
      </c>
      <c r="B72" s="1">
        <v>2.0</v>
      </c>
      <c r="C72" s="1" t="s">
        <v>503</v>
      </c>
      <c r="F72" s="1">
        <v>9000.0</v>
      </c>
      <c r="H72" s="1">
        <v>50.0</v>
      </c>
      <c r="I72" s="1">
        <v>1100.0</v>
      </c>
      <c r="J72" s="1">
        <v>3.0</v>
      </c>
      <c r="K72" s="1">
        <v>2.0</v>
      </c>
      <c r="L72" s="1">
        <v>1.3</v>
      </c>
      <c r="M72" s="1">
        <v>1.3</v>
      </c>
      <c r="N72" s="1">
        <v>1.0</v>
      </c>
      <c r="P72" s="1">
        <v>1.0</v>
      </c>
      <c r="Q72" s="1">
        <v>1.0</v>
      </c>
      <c r="S72" s="1">
        <v>1017188.0</v>
      </c>
      <c r="V72" s="1">
        <v>3.0</v>
      </c>
      <c r="AH72" s="1">
        <v>128.0</v>
      </c>
      <c r="AT72" s="1">
        <v>20100.0</v>
      </c>
      <c r="AZ72" s="1" t="s">
        <v>502</v>
      </c>
    </row>
    <row r="73" ht="15.75" customHeight="1">
      <c r="A73" s="1">
        <v>72.0</v>
      </c>
      <c r="B73" s="1">
        <v>2.0</v>
      </c>
      <c r="C73" s="1" t="s">
        <v>506</v>
      </c>
      <c r="F73" s="1">
        <v>10800.0</v>
      </c>
      <c r="H73" s="1">
        <v>50.0</v>
      </c>
      <c r="I73" s="1">
        <v>3000.0</v>
      </c>
      <c r="J73" s="1">
        <v>4.0</v>
      </c>
      <c r="K73" s="1">
        <v>3.0</v>
      </c>
      <c r="L73" s="1">
        <v>1.0</v>
      </c>
      <c r="M73" s="1">
        <v>1.0</v>
      </c>
      <c r="N73" s="1">
        <v>1.0</v>
      </c>
      <c r="Q73" s="1">
        <v>1.0</v>
      </c>
      <c r="S73" s="1">
        <v>215502.0</v>
      </c>
      <c r="V73" s="1">
        <v>3.0</v>
      </c>
      <c r="AS73" s="1" t="s">
        <v>511</v>
      </c>
      <c r="AT73" s="1">
        <v>4200.0</v>
      </c>
      <c r="AZ73" s="1" t="s">
        <v>502</v>
      </c>
      <c r="BA73" s="1">
        <v>2.0</v>
      </c>
    </row>
    <row r="74" ht="15.75" customHeight="1">
      <c r="A74" s="1">
        <v>73.0</v>
      </c>
      <c r="B74" s="1">
        <v>2.0</v>
      </c>
      <c r="C74" s="1" t="s">
        <v>512</v>
      </c>
      <c r="F74" s="1">
        <v>10800.0</v>
      </c>
      <c r="H74" s="1">
        <v>50.0</v>
      </c>
      <c r="I74" s="1">
        <v>2710.0</v>
      </c>
      <c r="J74" s="1">
        <v>4.0</v>
      </c>
      <c r="K74" s="1">
        <v>3.0</v>
      </c>
      <c r="L74" s="1">
        <v>1.0</v>
      </c>
      <c r="M74" s="1">
        <v>1.0</v>
      </c>
      <c r="N74" s="1">
        <v>1.0</v>
      </c>
      <c r="Q74" s="1">
        <v>1.0</v>
      </c>
      <c r="S74" s="1">
        <v>169502.0</v>
      </c>
      <c r="V74" s="1">
        <v>3.0</v>
      </c>
      <c r="AG74" s="1">
        <v>5.0</v>
      </c>
      <c r="AS74" s="1" t="s">
        <v>517</v>
      </c>
      <c r="AT74" s="1">
        <v>3800.0</v>
      </c>
      <c r="AZ74" s="1" t="s">
        <v>502</v>
      </c>
      <c r="BA74" s="1">
        <v>2.0</v>
      </c>
    </row>
    <row r="75" ht="15.75" customHeight="1">
      <c r="A75" s="1">
        <v>74.0</v>
      </c>
      <c r="B75" s="1">
        <v>2.0</v>
      </c>
      <c r="C75" s="1" t="s">
        <v>518</v>
      </c>
      <c r="F75" s="1">
        <v>50.0</v>
      </c>
      <c r="H75" s="1">
        <v>50.0</v>
      </c>
      <c r="I75" s="1">
        <v>1440.0</v>
      </c>
      <c r="J75" s="1">
        <v>4.0</v>
      </c>
      <c r="K75" s="1">
        <v>1.0</v>
      </c>
      <c r="L75" s="1">
        <v>1.2</v>
      </c>
      <c r="M75" s="1">
        <v>1.2</v>
      </c>
      <c r="N75" s="1">
        <v>1.0</v>
      </c>
      <c r="Q75" s="1">
        <v>1.0</v>
      </c>
      <c r="S75" s="1">
        <v>16188.0</v>
      </c>
      <c r="V75" s="1">
        <v>3.0</v>
      </c>
      <c r="AH75" s="1">
        <v>128.0</v>
      </c>
      <c r="AT75" s="1">
        <v>1100.0</v>
      </c>
      <c r="AZ75" s="1" t="s">
        <v>502</v>
      </c>
    </row>
    <row r="76" ht="15.75" customHeight="1">
      <c r="A76" s="1">
        <v>75.0</v>
      </c>
      <c r="B76" s="1">
        <v>2.0</v>
      </c>
      <c r="C76" s="1" t="s">
        <v>524</v>
      </c>
      <c r="F76" s="1">
        <v>1800.0</v>
      </c>
      <c r="H76" s="1">
        <v>50.0</v>
      </c>
      <c r="I76" s="1">
        <v>23000.0</v>
      </c>
      <c r="J76" s="1">
        <v>4.0</v>
      </c>
      <c r="K76" s="1">
        <v>1.0</v>
      </c>
      <c r="L76" s="1">
        <v>1.2</v>
      </c>
      <c r="M76" s="1">
        <v>1.3</v>
      </c>
      <c r="N76" s="1">
        <v>1.0</v>
      </c>
      <c r="Q76" s="1">
        <v>1.0</v>
      </c>
      <c r="S76" s="1">
        <v>460502.0</v>
      </c>
      <c r="V76" s="1">
        <v>3.0</v>
      </c>
      <c r="AG76" s="1">
        <v>4.0</v>
      </c>
      <c r="AH76" s="1">
        <v>1.0</v>
      </c>
      <c r="AN76" s="1">
        <v>14.0</v>
      </c>
      <c r="AS76" s="1" t="s">
        <v>528</v>
      </c>
      <c r="AT76" s="1">
        <v>20000.0</v>
      </c>
      <c r="AV76" s="1">
        <v>0.02</v>
      </c>
      <c r="AZ76" s="1" t="s">
        <v>529</v>
      </c>
      <c r="BA76" s="1">
        <v>1.0</v>
      </c>
    </row>
    <row r="77" ht="15.75" customHeight="1">
      <c r="A77" s="1">
        <v>76.0</v>
      </c>
      <c r="B77" s="1">
        <v>2.0</v>
      </c>
      <c r="C77" s="1" t="s">
        <v>531</v>
      </c>
      <c r="F77" s="1">
        <v>3600.0</v>
      </c>
      <c r="H77" s="1">
        <v>50.0</v>
      </c>
      <c r="I77" s="1">
        <v>50000.0</v>
      </c>
      <c r="J77" s="1">
        <v>7.0</v>
      </c>
      <c r="K77" s="1">
        <v>2.0</v>
      </c>
      <c r="L77" s="1">
        <v>1.0</v>
      </c>
      <c r="M77" s="1">
        <v>1.3</v>
      </c>
      <c r="Q77" s="1">
        <v>1.0</v>
      </c>
      <c r="S77" s="1">
        <v>890502.0</v>
      </c>
      <c r="V77" s="1">
        <v>3.0</v>
      </c>
      <c r="AG77" s="1">
        <v>4.0</v>
      </c>
      <c r="AH77" s="1">
        <v>1.0</v>
      </c>
      <c r="AS77" s="1" t="s">
        <v>535</v>
      </c>
      <c r="AT77" s="1">
        <v>40000.0</v>
      </c>
      <c r="AV77" s="1">
        <v>0.02</v>
      </c>
      <c r="AZ77" s="1" t="s">
        <v>536</v>
      </c>
      <c r="BA77" s="1">
        <v>2.0</v>
      </c>
    </row>
    <row r="78" ht="15.75" customHeight="1">
      <c r="A78" s="1">
        <v>77.0</v>
      </c>
      <c r="B78" s="1">
        <v>2.0</v>
      </c>
      <c r="C78" s="1" t="s">
        <v>538</v>
      </c>
      <c r="F78" s="1">
        <v>14400.0</v>
      </c>
      <c r="H78" s="1">
        <v>50.0</v>
      </c>
      <c r="I78" s="1">
        <v>75000.0</v>
      </c>
      <c r="J78" s="1">
        <v>1.0</v>
      </c>
      <c r="K78" s="1">
        <v>1.0</v>
      </c>
      <c r="N78" s="1">
        <v>1.0</v>
      </c>
      <c r="Q78" s="1">
        <v>1.0</v>
      </c>
      <c r="S78" s="1">
        <v>1000502.0</v>
      </c>
      <c r="V78" s="1">
        <v>3.0</v>
      </c>
      <c r="AH78" s="1">
        <v>10126.0</v>
      </c>
      <c r="AT78" s="1">
        <v>12000.0</v>
      </c>
      <c r="AV78" s="1">
        <v>0.02</v>
      </c>
      <c r="BA78" s="1">
        <v>1.0</v>
      </c>
    </row>
    <row r="79" ht="15.75" customHeight="1">
      <c r="A79" s="1">
        <v>78.0</v>
      </c>
      <c r="B79" s="1">
        <v>2.0</v>
      </c>
      <c r="C79" s="1" t="s">
        <v>543</v>
      </c>
      <c r="F79" s="1">
        <v>14400.0</v>
      </c>
      <c r="H79" s="1">
        <v>50.0</v>
      </c>
      <c r="I79" s="1">
        <v>75000.0</v>
      </c>
      <c r="J79" s="1">
        <v>1.0</v>
      </c>
      <c r="K79" s="1">
        <v>1.0</v>
      </c>
      <c r="N79" s="1">
        <v>1.0</v>
      </c>
      <c r="Q79" s="1">
        <v>1.0</v>
      </c>
      <c r="S79" s="1">
        <v>1000502.0</v>
      </c>
      <c r="V79" s="1">
        <v>3.0</v>
      </c>
      <c r="AH79" s="1">
        <v>10116.0</v>
      </c>
      <c r="AT79" s="1">
        <v>12000.0</v>
      </c>
      <c r="AV79" s="1">
        <v>0.02</v>
      </c>
      <c r="BA79" s="1">
        <v>1.0</v>
      </c>
    </row>
    <row r="80" ht="15.75" customHeight="1">
      <c r="A80" s="1">
        <v>79.0</v>
      </c>
      <c r="B80" s="1">
        <v>2.0</v>
      </c>
      <c r="C80" s="1" t="s">
        <v>547</v>
      </c>
      <c r="F80" s="1">
        <v>28800.0</v>
      </c>
      <c r="H80" s="1">
        <v>50.0</v>
      </c>
      <c r="I80" s="1">
        <v>100000.0</v>
      </c>
      <c r="J80" s="1">
        <v>4.0</v>
      </c>
      <c r="K80" s="1">
        <v>2.0</v>
      </c>
      <c r="L80" s="1">
        <v>1.0</v>
      </c>
      <c r="M80" s="1">
        <v>1.0</v>
      </c>
      <c r="N80" s="1">
        <v>1.0</v>
      </c>
      <c r="Q80" s="1">
        <v>1.0</v>
      </c>
      <c r="S80" s="1">
        <v>1000502.0</v>
      </c>
      <c r="V80" s="1">
        <v>3.0</v>
      </c>
      <c r="AG80" s="1">
        <v>5.0</v>
      </c>
      <c r="AM80" s="1">
        <v>1.0</v>
      </c>
      <c r="AS80" s="1" t="s">
        <v>552</v>
      </c>
      <c r="AT80" s="1">
        <v>90000.0</v>
      </c>
      <c r="AV80" s="1">
        <v>0.02</v>
      </c>
      <c r="AZ80" s="1" t="s">
        <v>553</v>
      </c>
      <c r="BA80" s="1">
        <v>1.0</v>
      </c>
    </row>
    <row r="81" ht="15.75" customHeight="1">
      <c r="A81" s="1">
        <v>80.0</v>
      </c>
      <c r="B81" s="1">
        <v>2.0</v>
      </c>
      <c r="C81" s="1" t="s">
        <v>554</v>
      </c>
      <c r="F81" s="1">
        <v>28800.0</v>
      </c>
      <c r="H81" s="1">
        <v>50.0</v>
      </c>
      <c r="I81" s="1">
        <v>100000.0</v>
      </c>
      <c r="J81" s="1">
        <v>4.0</v>
      </c>
      <c r="K81" s="1">
        <v>2.0</v>
      </c>
      <c r="L81" s="1">
        <v>1.0</v>
      </c>
      <c r="M81" s="1">
        <v>1.0</v>
      </c>
      <c r="N81" s="1">
        <v>1.0</v>
      </c>
      <c r="Q81" s="1">
        <v>1.0</v>
      </c>
      <c r="S81" s="1">
        <v>1000502.0</v>
      </c>
      <c r="V81" s="1">
        <v>3.0</v>
      </c>
      <c r="AG81" s="1">
        <v>4.0</v>
      </c>
      <c r="AS81" s="1" t="s">
        <v>558</v>
      </c>
      <c r="AT81" s="1">
        <v>80000.0</v>
      </c>
      <c r="AV81" s="1">
        <v>0.02</v>
      </c>
      <c r="AZ81" s="1" t="s">
        <v>553</v>
      </c>
      <c r="BA81" s="1">
        <v>1.0</v>
      </c>
    </row>
    <row r="82" ht="15.75" customHeight="1">
      <c r="A82" s="1">
        <v>81.0</v>
      </c>
      <c r="B82" s="1">
        <v>2.0</v>
      </c>
      <c r="C82" s="1" t="s">
        <v>559</v>
      </c>
      <c r="F82" s="1">
        <v>28800.0</v>
      </c>
      <c r="H82" s="1">
        <v>50.0</v>
      </c>
      <c r="I82" s="1">
        <v>100000.0</v>
      </c>
      <c r="J82" s="1">
        <v>5.0</v>
      </c>
      <c r="K82" s="1">
        <v>3.0</v>
      </c>
      <c r="L82" s="1">
        <v>1.0</v>
      </c>
      <c r="M82" s="1">
        <v>1.0</v>
      </c>
      <c r="N82" s="1">
        <v>1.0</v>
      </c>
      <c r="Q82" s="1">
        <v>1.0</v>
      </c>
      <c r="S82" s="1">
        <v>1000502.0</v>
      </c>
      <c r="V82" s="1">
        <v>3.0</v>
      </c>
      <c r="AH82" s="1">
        <v>11.0</v>
      </c>
      <c r="AS82" s="1" t="s">
        <v>561</v>
      </c>
      <c r="AT82" s="1">
        <v>70000.0</v>
      </c>
      <c r="AV82" s="1">
        <v>0.02</v>
      </c>
      <c r="AZ82" s="1" t="s">
        <v>553</v>
      </c>
      <c r="BA82" s="1">
        <v>1.0</v>
      </c>
    </row>
    <row r="83" ht="15.75" customHeight="1">
      <c r="A83" s="1">
        <v>82.0</v>
      </c>
      <c r="B83" s="1">
        <v>2.0</v>
      </c>
      <c r="C83" s="1" t="s">
        <v>565</v>
      </c>
      <c r="F83" s="1">
        <v>28800.0</v>
      </c>
      <c r="H83" s="1">
        <v>50.0</v>
      </c>
      <c r="I83" s="1">
        <v>100000.0</v>
      </c>
      <c r="J83" s="1">
        <v>5.0</v>
      </c>
      <c r="K83" s="1">
        <v>3.0</v>
      </c>
      <c r="L83" s="1">
        <v>1.0</v>
      </c>
      <c r="M83" s="1">
        <v>1.0</v>
      </c>
      <c r="N83" s="1">
        <v>1.0</v>
      </c>
      <c r="Q83" s="1">
        <v>1.0</v>
      </c>
      <c r="S83" s="1">
        <v>1000502.0</v>
      </c>
      <c r="V83" s="1">
        <v>3.0</v>
      </c>
      <c r="AH83" s="1">
        <v>1.0</v>
      </c>
      <c r="AS83" s="1" t="s">
        <v>569</v>
      </c>
      <c r="AT83" s="1">
        <v>70000.0</v>
      </c>
      <c r="AV83" s="1">
        <v>0.02</v>
      </c>
      <c r="AZ83" s="1" t="s">
        <v>553</v>
      </c>
      <c r="BA83" s="1">
        <v>1.0</v>
      </c>
    </row>
    <row r="84" ht="15.75" customHeight="1">
      <c r="A84" s="1">
        <v>83.0</v>
      </c>
      <c r="B84" s="1">
        <v>2.0</v>
      </c>
      <c r="C84" s="1" t="s">
        <v>573</v>
      </c>
      <c r="F84" s="1">
        <v>28800.0</v>
      </c>
      <c r="H84" s="1">
        <v>50.0</v>
      </c>
      <c r="I84" s="1">
        <v>100000.0</v>
      </c>
      <c r="J84" s="1">
        <v>3.0</v>
      </c>
      <c r="K84" s="1">
        <v>3.0</v>
      </c>
      <c r="L84" s="1">
        <v>1.0</v>
      </c>
      <c r="M84" s="1">
        <v>1.0</v>
      </c>
      <c r="N84" s="1">
        <v>1.0</v>
      </c>
      <c r="P84" s="1">
        <v>1.0</v>
      </c>
      <c r="Q84" s="1">
        <v>1.0</v>
      </c>
      <c r="S84" s="1">
        <v>1000502.0</v>
      </c>
      <c r="V84" s="1">
        <v>3.0</v>
      </c>
      <c r="AM84" s="1">
        <v>1.0</v>
      </c>
      <c r="AN84" s="1">
        <v>31.0</v>
      </c>
      <c r="AS84" s="1" t="s">
        <v>575</v>
      </c>
      <c r="AT84" s="1">
        <v>90000.0</v>
      </c>
      <c r="AV84" s="1">
        <v>0.02</v>
      </c>
      <c r="AZ84" s="1" t="s">
        <v>553</v>
      </c>
    </row>
    <row r="85" ht="15.75" customHeight="1">
      <c r="A85" s="1">
        <v>84.0</v>
      </c>
      <c r="B85" s="1">
        <v>13.0</v>
      </c>
      <c r="C85" s="1" t="s">
        <v>577</v>
      </c>
      <c r="F85" s="1">
        <v>30.0</v>
      </c>
      <c r="H85" s="1">
        <v>50.0</v>
      </c>
      <c r="L85" s="1">
        <v>0.0</v>
      </c>
      <c r="M85" s="1">
        <v>0.0</v>
      </c>
      <c r="N85" s="1">
        <v>1.0</v>
      </c>
      <c r="R85" s="1">
        <v>1.0</v>
      </c>
      <c r="V85" s="1">
        <v>3.0</v>
      </c>
      <c r="AM85" s="1">
        <v>1.0</v>
      </c>
      <c r="AN85" s="1">
        <v>31.0</v>
      </c>
      <c r="AS85" s="1" t="s">
        <v>579</v>
      </c>
      <c r="AT85" s="1">
        <v>70000.0</v>
      </c>
      <c r="AV85" s="1">
        <v>0.2</v>
      </c>
    </row>
    <row r="86" ht="15.75" customHeight="1">
      <c r="A86" s="1">
        <v>85.0</v>
      </c>
      <c r="B86" s="1">
        <v>13.0</v>
      </c>
      <c r="C86" s="1" t="s">
        <v>581</v>
      </c>
      <c r="F86" s="1">
        <v>30.0</v>
      </c>
      <c r="H86" s="1">
        <v>50.0</v>
      </c>
      <c r="L86" s="1">
        <v>0.0</v>
      </c>
      <c r="M86" s="1">
        <v>0.0</v>
      </c>
      <c r="N86" s="1">
        <v>1.0</v>
      </c>
      <c r="R86" s="1">
        <v>1.0</v>
      </c>
      <c r="V86" s="1">
        <v>3.0</v>
      </c>
      <c r="AN86" s="1">
        <v>31.0</v>
      </c>
      <c r="AT86" s="1">
        <v>70000.0</v>
      </c>
      <c r="AV86" s="1">
        <v>0.2</v>
      </c>
    </row>
    <row r="87" ht="15.75" customHeight="1">
      <c r="A87" s="1">
        <v>86.0</v>
      </c>
      <c r="B87" s="1">
        <v>13.0</v>
      </c>
      <c r="C87" s="1" t="s">
        <v>585</v>
      </c>
      <c r="F87" s="1">
        <v>30.0</v>
      </c>
      <c r="H87" s="1">
        <v>50.0</v>
      </c>
      <c r="L87" s="1">
        <v>0.0</v>
      </c>
      <c r="M87" s="1">
        <v>0.0</v>
      </c>
      <c r="N87" s="1">
        <v>1.0</v>
      </c>
      <c r="R87" s="1">
        <v>1.0</v>
      </c>
      <c r="V87" s="1">
        <v>3.0</v>
      </c>
      <c r="AN87" s="1">
        <v>32.0</v>
      </c>
      <c r="AT87" s="1">
        <v>70000.0</v>
      </c>
      <c r="AV87" s="1">
        <v>0.2</v>
      </c>
    </row>
    <row r="88" ht="15.75" customHeight="1">
      <c r="A88" s="1">
        <v>87.0</v>
      </c>
      <c r="B88" s="1">
        <v>13.0</v>
      </c>
      <c r="C88" s="1" t="s">
        <v>588</v>
      </c>
      <c r="F88" s="1">
        <v>30.0</v>
      </c>
      <c r="H88" s="1">
        <v>50.0</v>
      </c>
      <c r="L88" s="1">
        <v>0.0</v>
      </c>
      <c r="M88" s="1">
        <v>0.0</v>
      </c>
      <c r="N88" s="1">
        <v>1.0</v>
      </c>
      <c r="R88" s="1">
        <v>1.0</v>
      </c>
      <c r="V88" s="1">
        <v>3.0</v>
      </c>
      <c r="AN88" s="1">
        <v>33.0</v>
      </c>
      <c r="AT88" s="1">
        <v>70000.0</v>
      </c>
      <c r="AV88" s="1">
        <v>0.2</v>
      </c>
    </row>
    <row r="89" ht="15.75" customHeight="1">
      <c r="A89" s="1">
        <v>88.0</v>
      </c>
      <c r="B89" s="1">
        <v>13.0</v>
      </c>
      <c r="C89" s="1" t="s">
        <v>592</v>
      </c>
      <c r="F89" s="1">
        <v>30.0</v>
      </c>
      <c r="H89" s="1">
        <v>50.0</v>
      </c>
      <c r="L89" s="1">
        <v>0.0</v>
      </c>
      <c r="M89" s="1">
        <v>0.0</v>
      </c>
      <c r="N89" s="1">
        <v>1.0</v>
      </c>
      <c r="R89" s="1">
        <v>1.0</v>
      </c>
      <c r="V89" s="1">
        <v>3.0</v>
      </c>
      <c r="AN89" s="1">
        <v>34.0</v>
      </c>
      <c r="AT89" s="1">
        <v>70000.0</v>
      </c>
      <c r="AV89" s="1">
        <v>0.2</v>
      </c>
    </row>
    <row r="90" ht="15.75" customHeight="1">
      <c r="A90" s="1">
        <v>89.0</v>
      </c>
      <c r="B90" s="1">
        <v>13.0</v>
      </c>
      <c r="C90" s="1" t="s">
        <v>595</v>
      </c>
      <c r="F90" s="1">
        <v>30.0</v>
      </c>
      <c r="H90" s="1">
        <v>50.0</v>
      </c>
      <c r="L90" s="1">
        <v>0.0</v>
      </c>
      <c r="M90" s="1">
        <v>0.0</v>
      </c>
      <c r="N90" s="1">
        <v>1.0</v>
      </c>
      <c r="R90" s="1">
        <v>1.0</v>
      </c>
      <c r="V90" s="1">
        <v>3.0</v>
      </c>
      <c r="AN90" s="1">
        <v>35.0</v>
      </c>
      <c r="AT90" s="1">
        <v>70000.0</v>
      </c>
      <c r="AV90" s="1">
        <v>0.2</v>
      </c>
    </row>
    <row r="91" ht="15.75" customHeight="1">
      <c r="A91" s="1">
        <v>90.0</v>
      </c>
      <c r="B91" s="1">
        <v>13.0</v>
      </c>
      <c r="C91" s="1" t="s">
        <v>599</v>
      </c>
      <c r="F91" s="1">
        <v>30.0</v>
      </c>
      <c r="H91" s="1">
        <v>50.0</v>
      </c>
      <c r="L91" s="1">
        <v>0.0</v>
      </c>
      <c r="M91" s="1">
        <v>0.0</v>
      </c>
      <c r="N91" s="1">
        <v>1.0</v>
      </c>
      <c r="R91" s="1">
        <v>1.0</v>
      </c>
      <c r="V91" s="1">
        <v>3.0</v>
      </c>
      <c r="AN91" s="1">
        <v>36.0</v>
      </c>
      <c r="AT91" s="1">
        <v>70000.0</v>
      </c>
      <c r="AV91" s="1">
        <v>0.2</v>
      </c>
    </row>
    <row r="92" ht="15.75" customHeight="1">
      <c r="A92" s="1">
        <v>91.0</v>
      </c>
      <c r="B92" s="1">
        <v>13.0</v>
      </c>
      <c r="C92" s="1" t="s">
        <v>603</v>
      </c>
      <c r="F92" s="1">
        <v>30.0</v>
      </c>
      <c r="H92" s="1">
        <v>50.0</v>
      </c>
      <c r="L92" s="1">
        <v>0.0</v>
      </c>
      <c r="M92" s="1">
        <v>0.0</v>
      </c>
      <c r="N92" s="1">
        <v>1.0</v>
      </c>
      <c r="R92" s="1">
        <v>1.0</v>
      </c>
      <c r="V92" s="1">
        <v>3.0</v>
      </c>
      <c r="AT92" s="1">
        <v>70000.0</v>
      </c>
      <c r="AV92" s="1">
        <v>0.2</v>
      </c>
    </row>
    <row r="93" ht="15.75" customHeight="1">
      <c r="A93" s="1">
        <v>92.0</v>
      </c>
      <c r="B93" s="1">
        <v>13.0</v>
      </c>
      <c r="C93" s="1" t="s">
        <v>608</v>
      </c>
      <c r="F93" s="1">
        <v>30.0</v>
      </c>
      <c r="H93" s="1">
        <v>50.0</v>
      </c>
      <c r="L93" s="1">
        <v>0.0</v>
      </c>
      <c r="M93" s="1">
        <v>0.0</v>
      </c>
      <c r="N93" s="1">
        <v>1.0</v>
      </c>
      <c r="R93" s="1">
        <v>1.0</v>
      </c>
      <c r="V93" s="1">
        <v>3.0</v>
      </c>
      <c r="AM93" s="1">
        <v>1.0</v>
      </c>
      <c r="AT93" s="1">
        <v>70000.0</v>
      </c>
      <c r="AV93" s="1">
        <v>0.2</v>
      </c>
    </row>
    <row r="94" ht="15.75" customHeight="1">
      <c r="A94" s="1">
        <v>93.0</v>
      </c>
      <c r="B94" s="1">
        <v>13.0</v>
      </c>
      <c r="C94" s="1" t="s">
        <v>611</v>
      </c>
      <c r="F94" s="1">
        <v>30.0</v>
      </c>
      <c r="H94" s="1">
        <v>50.0</v>
      </c>
      <c r="L94" s="1">
        <v>0.0</v>
      </c>
      <c r="M94" s="1">
        <v>0.0</v>
      </c>
      <c r="N94" s="1">
        <v>1.0</v>
      </c>
      <c r="R94" s="1">
        <v>1.0</v>
      </c>
      <c r="V94" s="1">
        <v>3.0</v>
      </c>
      <c r="AM94" s="1">
        <v>1.0</v>
      </c>
      <c r="AT94" s="1">
        <v>70000.0</v>
      </c>
      <c r="AV94" s="1">
        <v>0.2</v>
      </c>
    </row>
    <row r="95" ht="15.75" customHeight="1">
      <c r="A95" s="1">
        <v>94.0</v>
      </c>
      <c r="B95" s="1">
        <v>13.0</v>
      </c>
      <c r="C95" s="1" t="s">
        <v>613</v>
      </c>
      <c r="F95" s="1">
        <v>30.0</v>
      </c>
      <c r="H95" s="1">
        <v>50.0</v>
      </c>
      <c r="L95" s="1">
        <v>0.0</v>
      </c>
      <c r="M95" s="1">
        <v>0.0</v>
      </c>
      <c r="N95" s="1">
        <v>1.0</v>
      </c>
      <c r="R95" s="1">
        <v>1.0</v>
      </c>
      <c r="V95" s="1">
        <v>3.0</v>
      </c>
      <c r="AM95" s="1">
        <v>3.0</v>
      </c>
      <c r="AT95" s="1">
        <v>70000.0</v>
      </c>
      <c r="AV95" s="1">
        <v>0.2</v>
      </c>
    </row>
    <row r="96" ht="15.75" customHeight="1">
      <c r="A96" s="1">
        <v>95.0</v>
      </c>
      <c r="B96" s="1">
        <v>13.0</v>
      </c>
      <c r="C96" s="1" t="s">
        <v>615</v>
      </c>
      <c r="F96" s="1">
        <v>30.0</v>
      </c>
      <c r="H96" s="1">
        <v>50.0</v>
      </c>
      <c r="L96" s="1">
        <v>0.0</v>
      </c>
      <c r="M96" s="1">
        <v>0.0</v>
      </c>
      <c r="N96" s="1">
        <v>1.0</v>
      </c>
      <c r="R96" s="1">
        <v>1.0</v>
      </c>
      <c r="V96" s="1">
        <v>3.0</v>
      </c>
      <c r="AM96" s="1">
        <v>2.0</v>
      </c>
      <c r="AT96" s="1">
        <v>70000.0</v>
      </c>
      <c r="AV96" s="1">
        <v>0.2</v>
      </c>
    </row>
    <row r="97" ht="15.75" customHeight="1">
      <c r="A97" s="1">
        <v>96.0</v>
      </c>
      <c r="B97" s="1">
        <v>13.0</v>
      </c>
      <c r="C97" s="1" t="s">
        <v>619</v>
      </c>
      <c r="F97" s="1">
        <v>30.0</v>
      </c>
      <c r="H97" s="1">
        <v>50.0</v>
      </c>
      <c r="L97" s="1">
        <v>0.0</v>
      </c>
      <c r="M97" s="1">
        <v>0.0</v>
      </c>
      <c r="N97" s="1">
        <v>1.0</v>
      </c>
      <c r="R97" s="1">
        <v>1.0</v>
      </c>
      <c r="V97" s="1">
        <v>3.0</v>
      </c>
      <c r="AT97" s="1">
        <v>70000.0</v>
      </c>
      <c r="AV97" s="1">
        <v>0.2</v>
      </c>
    </row>
    <row r="98" ht="15.75" customHeight="1">
      <c r="A98" s="1">
        <v>97.0</v>
      </c>
      <c r="B98" s="1">
        <v>13.0</v>
      </c>
      <c r="C98" s="1" t="s">
        <v>623</v>
      </c>
      <c r="F98" s="1">
        <v>30.0</v>
      </c>
      <c r="H98" s="1">
        <v>50.0</v>
      </c>
      <c r="L98" s="1">
        <v>0.0</v>
      </c>
      <c r="M98" s="1">
        <v>0.0</v>
      </c>
      <c r="N98" s="1">
        <v>1.0</v>
      </c>
      <c r="R98" s="1">
        <v>1.0</v>
      </c>
      <c r="V98" s="1">
        <v>3.0</v>
      </c>
      <c r="AH98" s="1">
        <v>11.0</v>
      </c>
      <c r="AT98" s="1">
        <v>70000.0</v>
      </c>
      <c r="AV98" s="1">
        <v>0.2</v>
      </c>
    </row>
    <row r="99" ht="15.75" customHeight="1">
      <c r="A99" s="1">
        <v>98.0</v>
      </c>
      <c r="B99" s="1">
        <v>13.0</v>
      </c>
      <c r="C99" s="1" t="s">
        <v>627</v>
      </c>
      <c r="F99" s="1">
        <v>30.0</v>
      </c>
      <c r="H99" s="1">
        <v>50.0</v>
      </c>
      <c r="L99" s="1">
        <v>0.0</v>
      </c>
      <c r="M99" s="1">
        <v>0.0</v>
      </c>
      <c r="N99" s="1">
        <v>1.0</v>
      </c>
      <c r="R99" s="1">
        <v>1.0</v>
      </c>
      <c r="V99" s="1">
        <v>3.0</v>
      </c>
      <c r="AG99" s="1">
        <v>5.0</v>
      </c>
      <c r="AM99" s="1">
        <v>1.0</v>
      </c>
      <c r="AN99" s="1">
        <v>34.0</v>
      </c>
      <c r="AS99" s="1" t="s">
        <v>631</v>
      </c>
      <c r="AT99" s="1">
        <v>70000.0</v>
      </c>
      <c r="AV99" s="1">
        <v>0.2</v>
      </c>
      <c r="BD99" s="1">
        <v>2.0</v>
      </c>
    </row>
    <row r="100" ht="15.75" customHeight="1">
      <c r="A100" s="1">
        <v>99.0</v>
      </c>
      <c r="B100" s="1">
        <v>13.0</v>
      </c>
      <c r="C100" s="1" t="s">
        <v>632</v>
      </c>
      <c r="F100" s="1">
        <v>30.0</v>
      </c>
      <c r="H100" s="1">
        <v>50.0</v>
      </c>
      <c r="L100" s="1">
        <v>0.0</v>
      </c>
      <c r="M100" s="1">
        <v>0.0</v>
      </c>
      <c r="N100" s="1">
        <v>1.0</v>
      </c>
      <c r="R100" s="1">
        <v>1.0</v>
      </c>
      <c r="V100" s="1">
        <v>3.0</v>
      </c>
      <c r="AG100" s="1">
        <v>4.0</v>
      </c>
      <c r="AM100" s="1">
        <v>1.0</v>
      </c>
      <c r="AN100" s="1">
        <v>33.0</v>
      </c>
      <c r="AS100" s="1" t="s">
        <v>637</v>
      </c>
      <c r="AT100" s="1">
        <v>70000.0</v>
      </c>
      <c r="AV100" s="1">
        <v>0.2</v>
      </c>
      <c r="BD100" s="1">
        <v>4.0</v>
      </c>
    </row>
    <row r="101" ht="15.75" customHeight="1">
      <c r="A101" s="1">
        <v>100.0</v>
      </c>
      <c r="B101" s="1">
        <v>13.0</v>
      </c>
      <c r="C101" s="1" t="s">
        <v>638</v>
      </c>
      <c r="F101" s="1">
        <v>30.0</v>
      </c>
      <c r="H101" s="1">
        <v>50.0</v>
      </c>
      <c r="L101" s="1">
        <v>0.0</v>
      </c>
      <c r="M101" s="1">
        <v>0.0</v>
      </c>
      <c r="N101" s="1">
        <v>1.0</v>
      </c>
      <c r="R101" s="1">
        <v>1.0</v>
      </c>
      <c r="V101" s="1">
        <v>3.0</v>
      </c>
      <c r="AM101" s="1">
        <v>1.0</v>
      </c>
      <c r="AN101" s="1">
        <v>34.0</v>
      </c>
      <c r="AS101" s="1" t="s">
        <v>579</v>
      </c>
      <c r="AT101" s="1">
        <v>70000.0</v>
      </c>
      <c r="AV101" s="1">
        <v>0.2</v>
      </c>
    </row>
    <row r="102" ht="15.75" customHeight="1">
      <c r="A102" s="1">
        <v>101.0</v>
      </c>
      <c r="B102" s="1">
        <v>13.0</v>
      </c>
      <c r="C102" s="1" t="s">
        <v>640</v>
      </c>
      <c r="F102" s="1">
        <v>30.0</v>
      </c>
      <c r="H102" s="1">
        <v>50.0</v>
      </c>
      <c r="L102" s="1">
        <v>0.0</v>
      </c>
      <c r="M102" s="1">
        <v>0.0</v>
      </c>
      <c r="N102" s="1">
        <v>1.0</v>
      </c>
      <c r="R102" s="1">
        <v>1.0</v>
      </c>
      <c r="V102" s="1">
        <v>3.0</v>
      </c>
      <c r="AM102" s="1">
        <v>1.0</v>
      </c>
      <c r="AN102" s="1">
        <v>34.0</v>
      </c>
      <c r="AS102" s="1" t="s">
        <v>643</v>
      </c>
      <c r="AT102" s="1">
        <v>70000.0</v>
      </c>
      <c r="AV102" s="1">
        <v>0.2</v>
      </c>
    </row>
    <row r="103" ht="15.75" customHeight="1">
      <c r="A103" s="1">
        <v>102.0</v>
      </c>
      <c r="B103" s="1">
        <v>13.0</v>
      </c>
      <c r="C103" s="1" t="s">
        <v>645</v>
      </c>
      <c r="F103" s="1">
        <v>30.0</v>
      </c>
      <c r="H103" s="1">
        <v>50.0</v>
      </c>
      <c r="L103" s="1">
        <v>0.0</v>
      </c>
      <c r="M103" s="1">
        <v>0.0</v>
      </c>
      <c r="N103" s="1">
        <v>1.0</v>
      </c>
      <c r="R103" s="1">
        <v>1.0</v>
      </c>
      <c r="V103" s="1">
        <v>3.0</v>
      </c>
      <c r="AM103" s="1">
        <v>1.0</v>
      </c>
      <c r="AN103" s="1">
        <v>34.0</v>
      </c>
      <c r="AS103" s="1" t="s">
        <v>648</v>
      </c>
      <c r="AT103" s="1">
        <v>70000.0</v>
      </c>
      <c r="AV103" s="1">
        <v>0.2</v>
      </c>
    </row>
    <row r="104" ht="15.75" customHeight="1">
      <c r="A104" s="1">
        <v>103.0</v>
      </c>
      <c r="B104" s="1">
        <v>13.0</v>
      </c>
      <c r="C104" s="1" t="s">
        <v>650</v>
      </c>
      <c r="F104" s="1">
        <v>30.0</v>
      </c>
      <c r="H104" s="1">
        <v>50.0</v>
      </c>
      <c r="L104" s="1">
        <v>0.0</v>
      </c>
      <c r="M104" s="1">
        <v>0.0</v>
      </c>
      <c r="N104" s="1">
        <v>1.0</v>
      </c>
      <c r="R104" s="1">
        <v>1.0</v>
      </c>
      <c r="V104" s="1">
        <v>3.0</v>
      </c>
      <c r="AM104" s="1">
        <v>1.0</v>
      </c>
      <c r="AN104" s="1">
        <v>34.0</v>
      </c>
      <c r="AS104" s="1" t="s">
        <v>653</v>
      </c>
      <c r="AT104" s="1">
        <v>70000.0</v>
      </c>
      <c r="AV104" s="1">
        <v>0.2</v>
      </c>
    </row>
    <row r="105" ht="15.75" customHeight="1">
      <c r="A105" s="1">
        <v>104.0</v>
      </c>
      <c r="B105" s="1">
        <v>13.0</v>
      </c>
      <c r="C105" s="1" t="s">
        <v>654</v>
      </c>
      <c r="F105" s="1">
        <v>30.0</v>
      </c>
      <c r="H105" s="1">
        <v>50.0</v>
      </c>
      <c r="L105" s="1">
        <v>0.0</v>
      </c>
      <c r="M105" s="1">
        <v>0.0</v>
      </c>
      <c r="N105" s="1">
        <v>1.0</v>
      </c>
      <c r="R105" s="1">
        <v>1.0</v>
      </c>
      <c r="V105" s="1">
        <v>3.0</v>
      </c>
      <c r="AM105" s="1">
        <v>1.0</v>
      </c>
      <c r="AN105" s="1">
        <v>34.0</v>
      </c>
      <c r="AS105" s="1" t="s">
        <v>658</v>
      </c>
      <c r="AT105" s="1">
        <v>70000.0</v>
      </c>
      <c r="AV105" s="1">
        <v>0.2</v>
      </c>
    </row>
    <row r="106" ht="15.75" customHeight="1">
      <c r="A106" s="1">
        <v>105.0</v>
      </c>
      <c r="B106" s="1">
        <v>13.0</v>
      </c>
      <c r="C106" s="1" t="s">
        <v>659</v>
      </c>
      <c r="F106" s="1">
        <v>30.0</v>
      </c>
      <c r="H106" s="1">
        <v>50.0</v>
      </c>
      <c r="L106" s="1">
        <v>0.0</v>
      </c>
      <c r="M106" s="1">
        <v>0.0</v>
      </c>
      <c r="N106" s="1">
        <v>1.0</v>
      </c>
      <c r="R106" s="1">
        <v>1.0</v>
      </c>
      <c r="V106" s="1">
        <v>3.0</v>
      </c>
      <c r="AG106" s="1">
        <v>4.0</v>
      </c>
      <c r="AM106" s="1">
        <v>1.0</v>
      </c>
      <c r="AN106" s="1">
        <v>34.0</v>
      </c>
      <c r="AS106" s="1" t="s">
        <v>662</v>
      </c>
      <c r="AT106" s="1">
        <v>70000.0</v>
      </c>
      <c r="AV106" s="1">
        <v>0.2</v>
      </c>
    </row>
    <row r="107" ht="15.75" customHeight="1">
      <c r="A107" s="1">
        <v>106.0</v>
      </c>
      <c r="B107" s="1">
        <v>13.0</v>
      </c>
      <c r="C107" s="1" t="s">
        <v>663</v>
      </c>
      <c r="F107" s="1">
        <v>30.0</v>
      </c>
      <c r="H107" s="1">
        <v>50.0</v>
      </c>
      <c r="L107" s="1">
        <v>0.0</v>
      </c>
      <c r="M107" s="1">
        <v>0.0</v>
      </c>
      <c r="N107" s="1">
        <v>1.0</v>
      </c>
      <c r="R107" s="1">
        <v>1.0</v>
      </c>
      <c r="V107" s="1">
        <v>3.0</v>
      </c>
      <c r="AM107" s="1">
        <v>1.0</v>
      </c>
      <c r="AN107" s="1">
        <v>34.0</v>
      </c>
      <c r="AS107" s="1" t="s">
        <v>665</v>
      </c>
      <c r="AT107" s="1">
        <v>70000.0</v>
      </c>
      <c r="AV107" s="1">
        <v>0.2</v>
      </c>
    </row>
    <row r="108" ht="15.75" customHeight="1">
      <c r="A108" s="1">
        <v>107.0</v>
      </c>
      <c r="B108" s="1">
        <v>13.0</v>
      </c>
      <c r="C108" s="1" t="s">
        <v>668</v>
      </c>
      <c r="F108" s="1">
        <v>30.0</v>
      </c>
      <c r="H108" s="1">
        <v>50.0</v>
      </c>
      <c r="L108" s="1">
        <v>0.0</v>
      </c>
      <c r="M108" s="1">
        <v>0.0</v>
      </c>
      <c r="N108" s="1">
        <v>1.0</v>
      </c>
      <c r="R108" s="1">
        <v>1.0</v>
      </c>
      <c r="V108" s="1">
        <v>3.0</v>
      </c>
      <c r="AM108" s="1">
        <v>1.0</v>
      </c>
      <c r="AN108" s="1">
        <v>34.0</v>
      </c>
      <c r="AS108" s="1" t="s">
        <v>665</v>
      </c>
      <c r="AT108" s="1">
        <v>70000.0</v>
      </c>
      <c r="AV108" s="1">
        <v>0.2</v>
      </c>
    </row>
    <row r="109" ht="15.75" customHeight="1">
      <c r="A109" s="1">
        <v>108.0</v>
      </c>
      <c r="B109" s="1">
        <v>13.0</v>
      </c>
      <c r="C109" s="1" t="s">
        <v>671</v>
      </c>
      <c r="F109" s="1">
        <v>30.0</v>
      </c>
      <c r="H109" s="1">
        <v>50.0</v>
      </c>
      <c r="L109" s="1">
        <v>0.0</v>
      </c>
      <c r="M109" s="1">
        <v>0.0</v>
      </c>
      <c r="N109" s="1">
        <v>1.0</v>
      </c>
      <c r="R109" s="1">
        <v>1.0</v>
      </c>
      <c r="V109" s="1">
        <v>3.0</v>
      </c>
      <c r="AM109" s="1">
        <v>1.0</v>
      </c>
      <c r="AN109" s="1">
        <v>34.0</v>
      </c>
      <c r="AS109" s="1" t="s">
        <v>675</v>
      </c>
      <c r="AT109" s="1">
        <v>70000.0</v>
      </c>
      <c r="AV109" s="1">
        <v>0.2</v>
      </c>
    </row>
    <row r="110" ht="15.75" customHeight="1">
      <c r="A110" s="1">
        <v>109.0</v>
      </c>
      <c r="B110" s="1">
        <v>2.0</v>
      </c>
      <c r="C110" s="1" t="s">
        <v>677</v>
      </c>
      <c r="F110" s="1">
        <v>1980.0</v>
      </c>
      <c r="H110" s="1">
        <v>50.0</v>
      </c>
      <c r="I110" s="1">
        <v>2829.0</v>
      </c>
      <c r="J110" s="1">
        <v>3.0</v>
      </c>
      <c r="K110" s="1">
        <v>1.0</v>
      </c>
      <c r="L110" s="1">
        <v>1.2</v>
      </c>
      <c r="M110" s="1">
        <v>1.2</v>
      </c>
      <c r="N110" s="1">
        <v>1.0</v>
      </c>
      <c r="Q110" s="1">
        <v>1.0</v>
      </c>
      <c r="S110" s="1">
        <v>1000.0</v>
      </c>
      <c r="V110" s="1">
        <v>3.0</v>
      </c>
      <c r="AG110" s="1">
        <v>4.0</v>
      </c>
      <c r="AH110" s="1">
        <v>1.0</v>
      </c>
      <c r="AM110" s="1">
        <v>1.0</v>
      </c>
      <c r="AS110" s="1" t="s">
        <v>681</v>
      </c>
      <c r="AT110" s="1">
        <v>400.0</v>
      </c>
      <c r="AZ110" s="1" t="s">
        <v>275</v>
      </c>
    </row>
    <row r="111" ht="15.75" customHeight="1">
      <c r="A111" s="1">
        <v>110.0</v>
      </c>
      <c r="B111" s="1">
        <v>2.0</v>
      </c>
      <c r="C111" s="1" t="s">
        <v>682</v>
      </c>
      <c r="F111" s="1">
        <v>7200.0</v>
      </c>
      <c r="H111" s="1">
        <v>33.0</v>
      </c>
      <c r="I111" s="1">
        <v>608.0</v>
      </c>
      <c r="J111" s="1">
        <v>4.0</v>
      </c>
      <c r="K111" s="1">
        <v>1.0</v>
      </c>
      <c r="L111" s="1">
        <v>1.2</v>
      </c>
      <c r="M111" s="1">
        <v>1.2</v>
      </c>
      <c r="N111" s="1">
        <v>1.0</v>
      </c>
      <c r="Q111" s="1">
        <v>1.0</v>
      </c>
      <c r="V111" s="1">
        <v>3.0</v>
      </c>
      <c r="AH111" s="1">
        <v>10137.0</v>
      </c>
      <c r="AT111" s="1">
        <v>135.0</v>
      </c>
      <c r="AZ111" s="1" t="s">
        <v>686</v>
      </c>
    </row>
    <row r="112" ht="15.75" customHeight="1">
      <c r="A112" s="1">
        <v>111.0</v>
      </c>
      <c r="B112" s="1">
        <v>2.0</v>
      </c>
      <c r="C112" s="1" t="s">
        <v>687</v>
      </c>
      <c r="F112" s="1">
        <v>7200.0</v>
      </c>
      <c r="H112" s="1">
        <v>32.0</v>
      </c>
      <c r="I112" s="1">
        <v>608.0</v>
      </c>
      <c r="J112" s="1">
        <v>4.0</v>
      </c>
      <c r="K112" s="1">
        <v>1.0</v>
      </c>
      <c r="L112" s="1">
        <v>1.2</v>
      </c>
      <c r="M112" s="1">
        <v>1.2</v>
      </c>
      <c r="N112" s="1">
        <v>1.0</v>
      </c>
      <c r="Q112" s="1">
        <v>1.0</v>
      </c>
      <c r="V112" s="1">
        <v>3.0</v>
      </c>
      <c r="AH112" s="1">
        <v>121.0</v>
      </c>
      <c r="AT112" s="1">
        <v>147.0</v>
      </c>
      <c r="AZ112" s="1" t="s">
        <v>691</v>
      </c>
    </row>
    <row r="113" ht="15.75" customHeight="1">
      <c r="A113" s="1">
        <v>112.0</v>
      </c>
      <c r="B113" s="1">
        <v>2.0</v>
      </c>
      <c r="C113" s="1" t="s">
        <v>692</v>
      </c>
      <c r="F113" s="1">
        <v>30.0</v>
      </c>
      <c r="H113" s="1">
        <v>24.0</v>
      </c>
      <c r="I113" s="1">
        <v>489.0</v>
      </c>
      <c r="J113" s="1">
        <v>2.0</v>
      </c>
      <c r="K113" s="1">
        <v>1.0</v>
      </c>
      <c r="L113" s="1">
        <v>1.2</v>
      </c>
      <c r="M113" s="1">
        <v>1.2</v>
      </c>
      <c r="N113" s="1">
        <v>1.0</v>
      </c>
      <c r="Q113" s="1">
        <v>1.0</v>
      </c>
      <c r="V113" s="1">
        <v>3.0</v>
      </c>
      <c r="AH113" s="1">
        <v>121.0</v>
      </c>
      <c r="AT113" s="1">
        <v>87.0</v>
      </c>
      <c r="AZ113" s="1" t="s">
        <v>696</v>
      </c>
    </row>
    <row r="114" ht="15.75" customHeight="1">
      <c r="A114" s="1">
        <v>113.0</v>
      </c>
      <c r="B114" s="1">
        <v>2.0</v>
      </c>
      <c r="C114" s="1" t="s">
        <v>698</v>
      </c>
      <c r="F114" s="1">
        <v>30.0</v>
      </c>
      <c r="H114" s="1">
        <v>21.0</v>
      </c>
      <c r="I114" s="1">
        <v>408.0</v>
      </c>
      <c r="J114" s="1">
        <v>2.0</v>
      </c>
      <c r="K114" s="1">
        <v>1.0</v>
      </c>
      <c r="L114" s="1">
        <v>1.2</v>
      </c>
      <c r="M114" s="1">
        <v>1.2</v>
      </c>
      <c r="N114" s="1">
        <v>1.0</v>
      </c>
      <c r="Q114" s="1">
        <v>1.0</v>
      </c>
      <c r="V114" s="1">
        <v>3.0</v>
      </c>
      <c r="AH114" s="1">
        <v>10138.0</v>
      </c>
      <c r="AT114" s="1">
        <v>78.0</v>
      </c>
      <c r="AZ114" s="1" t="s">
        <v>696</v>
      </c>
    </row>
    <row r="115" ht="15.75" customHeight="1">
      <c r="A115" s="1">
        <v>114.0</v>
      </c>
      <c r="B115" s="1">
        <v>2.0</v>
      </c>
      <c r="C115" s="1" t="s">
        <v>701</v>
      </c>
      <c r="F115" s="1">
        <v>30.0</v>
      </c>
      <c r="H115" s="1">
        <v>28.0</v>
      </c>
      <c r="I115" s="1">
        <v>548.0</v>
      </c>
      <c r="J115" s="1">
        <v>3.0</v>
      </c>
      <c r="K115" s="1">
        <v>1.0</v>
      </c>
      <c r="L115" s="1">
        <v>1.1</v>
      </c>
      <c r="M115" s="1">
        <v>1.1</v>
      </c>
      <c r="N115" s="1">
        <v>1.0</v>
      </c>
      <c r="Q115" s="1">
        <v>1.0</v>
      </c>
      <c r="V115" s="1">
        <v>3.0</v>
      </c>
      <c r="AH115" s="1">
        <v>114.0</v>
      </c>
      <c r="AT115" s="1">
        <v>102.0</v>
      </c>
      <c r="AZ115" s="1" t="s">
        <v>696</v>
      </c>
    </row>
    <row r="116" ht="15.75" customHeight="1">
      <c r="A116" s="1">
        <v>115.0</v>
      </c>
      <c r="B116" s="1">
        <v>2.0</v>
      </c>
      <c r="C116" s="1" t="s">
        <v>705</v>
      </c>
      <c r="F116" s="1">
        <v>30.0</v>
      </c>
      <c r="H116" s="1">
        <v>35.0</v>
      </c>
      <c r="I116" s="1">
        <v>909.0</v>
      </c>
      <c r="J116" s="1">
        <v>3.0</v>
      </c>
      <c r="K116" s="1">
        <v>1.0</v>
      </c>
      <c r="L116" s="1">
        <v>1.2</v>
      </c>
      <c r="M116" s="1">
        <v>1.2</v>
      </c>
      <c r="N116" s="1">
        <v>1.0</v>
      </c>
      <c r="O116" s="1">
        <v>1.0</v>
      </c>
      <c r="Q116" s="1">
        <v>1.0</v>
      </c>
      <c r="S116" s="1">
        <v>540.0</v>
      </c>
      <c r="V116" s="1">
        <v>2.0</v>
      </c>
      <c r="AH116" s="1">
        <v>169.0</v>
      </c>
      <c r="AT116" s="1">
        <v>132.0</v>
      </c>
      <c r="AZ116" s="1" t="s">
        <v>710</v>
      </c>
    </row>
    <row r="117" ht="15.75" customHeight="1">
      <c r="A117" s="1">
        <v>116.0</v>
      </c>
      <c r="B117" s="1">
        <v>2.0</v>
      </c>
      <c r="C117" s="1" t="s">
        <v>711</v>
      </c>
      <c r="F117" s="1">
        <v>9000.0</v>
      </c>
      <c r="H117" s="1">
        <v>45.0</v>
      </c>
      <c r="I117" s="1">
        <v>1200.0</v>
      </c>
      <c r="J117" s="1">
        <v>4.0</v>
      </c>
      <c r="K117" s="1">
        <v>2.0</v>
      </c>
      <c r="L117" s="1">
        <v>1.4</v>
      </c>
      <c r="M117" s="1">
        <v>1.4</v>
      </c>
      <c r="N117" s="1">
        <v>1.0</v>
      </c>
      <c r="Q117" s="1">
        <v>1.0</v>
      </c>
      <c r="S117" s="1">
        <v>3488.0</v>
      </c>
      <c r="V117" s="1">
        <v>3.0</v>
      </c>
      <c r="AH117" s="1">
        <v>10100.0</v>
      </c>
      <c r="AT117" s="1">
        <v>180.0</v>
      </c>
      <c r="AZ117" s="1" t="s">
        <v>716</v>
      </c>
    </row>
    <row r="118" ht="15.75" customHeight="1">
      <c r="A118" s="1">
        <v>117.0</v>
      </c>
      <c r="B118" s="1">
        <v>2.0</v>
      </c>
      <c r="C118" s="1" t="s">
        <v>717</v>
      </c>
      <c r="F118" s="1">
        <v>30.0</v>
      </c>
      <c r="H118" s="1">
        <v>50.0</v>
      </c>
      <c r="I118" s="1">
        <v>3000.0</v>
      </c>
      <c r="J118" s="1">
        <v>4.0</v>
      </c>
      <c r="K118" s="1">
        <v>2.0</v>
      </c>
      <c r="L118" s="1">
        <v>1.2</v>
      </c>
      <c r="M118" s="1">
        <v>1.2</v>
      </c>
      <c r="N118" s="1">
        <v>1.0</v>
      </c>
      <c r="Q118" s="1">
        <v>1.0</v>
      </c>
      <c r="S118" s="1">
        <v>50130.0</v>
      </c>
      <c r="V118" s="1">
        <v>3.0</v>
      </c>
      <c r="AH118" s="1">
        <v>10153.0</v>
      </c>
      <c r="AT118" s="1">
        <v>9000.0</v>
      </c>
      <c r="AZ118" s="1" t="s">
        <v>720</v>
      </c>
    </row>
    <row r="119" ht="15.75" customHeight="1">
      <c r="A119" s="1">
        <v>118.0</v>
      </c>
      <c r="B119" s="1">
        <v>2.0</v>
      </c>
      <c r="C119" s="1" t="s">
        <v>721</v>
      </c>
      <c r="F119" s="1">
        <v>14400.0</v>
      </c>
      <c r="H119" s="1">
        <v>50.0</v>
      </c>
      <c r="I119" s="1">
        <v>8000.0</v>
      </c>
      <c r="J119" s="1">
        <v>4.0</v>
      </c>
      <c r="K119" s="1">
        <v>2.0</v>
      </c>
      <c r="L119" s="1">
        <v>1.3</v>
      </c>
      <c r="M119" s="1">
        <v>1.3</v>
      </c>
      <c r="N119" s="1">
        <v>1.0</v>
      </c>
      <c r="Q119" s="1">
        <v>1.0</v>
      </c>
      <c r="S119" s="1">
        <v>353488.0</v>
      </c>
      <c r="V119" s="1">
        <v>3.0</v>
      </c>
      <c r="AH119" s="1">
        <v>10127.0</v>
      </c>
      <c r="AT119" s="1">
        <v>30000.0</v>
      </c>
      <c r="AZ119" s="1" t="s">
        <v>724</v>
      </c>
      <c r="BA119" s="1">
        <v>2.0</v>
      </c>
    </row>
    <row r="120" ht="15.75" customHeight="1">
      <c r="A120" s="1">
        <v>119.0</v>
      </c>
      <c r="B120" s="1">
        <v>13.0</v>
      </c>
      <c r="C120" s="1" t="s">
        <v>725</v>
      </c>
      <c r="F120" s="1">
        <v>30.0</v>
      </c>
      <c r="H120" s="1">
        <v>50.0</v>
      </c>
      <c r="L120" s="1">
        <v>0.0</v>
      </c>
      <c r="M120" s="1">
        <v>0.0</v>
      </c>
      <c r="N120" s="1">
        <v>1.0</v>
      </c>
      <c r="R120" s="1">
        <v>1.0</v>
      </c>
      <c r="V120" s="1">
        <v>3.0</v>
      </c>
      <c r="AM120" s="1">
        <v>1.0</v>
      </c>
      <c r="AN120" s="1">
        <v>31.0</v>
      </c>
      <c r="AS120" s="1" t="s">
        <v>579</v>
      </c>
      <c r="AT120" s="1">
        <v>70000.0</v>
      </c>
      <c r="AV120" s="1">
        <v>0.2</v>
      </c>
    </row>
    <row r="121" ht="15.75" customHeight="1">
      <c r="A121" s="1">
        <v>120.0</v>
      </c>
      <c r="B121" s="1">
        <v>13.0</v>
      </c>
      <c r="C121" s="1" t="s">
        <v>728</v>
      </c>
      <c r="F121" s="1">
        <v>30.0</v>
      </c>
      <c r="H121" s="1">
        <v>50.0</v>
      </c>
      <c r="L121" s="1">
        <v>0.0</v>
      </c>
      <c r="M121" s="1">
        <v>0.0</v>
      </c>
      <c r="N121" s="1">
        <v>1.0</v>
      </c>
      <c r="R121" s="1">
        <v>1.0</v>
      </c>
      <c r="V121" s="1">
        <v>3.0</v>
      </c>
      <c r="AM121" s="1">
        <v>1.0</v>
      </c>
      <c r="AN121" s="1">
        <v>31.0</v>
      </c>
      <c r="AS121" s="1" t="s">
        <v>730</v>
      </c>
      <c r="AT121" s="1">
        <v>70000.0</v>
      </c>
      <c r="AV121" s="1">
        <v>0.2</v>
      </c>
    </row>
    <row r="122" ht="15.75" customHeight="1">
      <c r="A122" s="1">
        <v>121.0</v>
      </c>
      <c r="B122" s="1">
        <v>13.0</v>
      </c>
      <c r="C122" s="1" t="s">
        <v>731</v>
      </c>
      <c r="F122" s="1">
        <v>30.0</v>
      </c>
      <c r="H122" s="1">
        <v>50.0</v>
      </c>
      <c r="K122" s="1">
        <v>1.0</v>
      </c>
      <c r="L122" s="1">
        <v>0.3</v>
      </c>
      <c r="M122" s="1">
        <v>0.0</v>
      </c>
      <c r="N122" s="1">
        <v>1.0</v>
      </c>
      <c r="S122" s="1">
        <v>100000.0</v>
      </c>
      <c r="V122" s="1">
        <v>3.0</v>
      </c>
      <c r="AM122" s="1">
        <v>1.0</v>
      </c>
      <c r="AN122" s="1">
        <v>31.0</v>
      </c>
      <c r="AS122" s="1" t="s">
        <v>579</v>
      </c>
      <c r="AT122" s="1">
        <v>7000.0</v>
      </c>
      <c r="AV122" s="1">
        <v>0.02</v>
      </c>
    </row>
    <row r="123" ht="15.75" customHeight="1">
      <c r="A123" s="1">
        <v>122.0</v>
      </c>
      <c r="B123" s="1">
        <v>13.0</v>
      </c>
      <c r="C123" s="1" t="s">
        <v>734</v>
      </c>
      <c r="F123" s="1">
        <v>30.0</v>
      </c>
      <c r="H123" s="1">
        <v>50.0</v>
      </c>
      <c r="L123" s="1">
        <v>0.0</v>
      </c>
      <c r="R123" s="1">
        <v>1.0</v>
      </c>
      <c r="V123" s="1">
        <v>3.0</v>
      </c>
      <c r="AM123" s="1">
        <v>1.0</v>
      </c>
      <c r="AN123" s="1">
        <v>31.0</v>
      </c>
      <c r="AS123" s="1" t="s">
        <v>730</v>
      </c>
      <c r="AT123" s="1">
        <v>70000.0</v>
      </c>
      <c r="AV123" s="1">
        <v>0.2</v>
      </c>
    </row>
    <row r="124" ht="15.75" customHeight="1">
      <c r="A124" s="1">
        <v>123.0</v>
      </c>
      <c r="B124" s="1">
        <v>2.0</v>
      </c>
      <c r="C124" s="1" t="s">
        <v>738</v>
      </c>
      <c r="F124" s="1">
        <v>2700.0</v>
      </c>
      <c r="H124" s="1">
        <v>50.0</v>
      </c>
      <c r="I124" s="1">
        <v>64000.0</v>
      </c>
      <c r="J124" s="1">
        <v>3.0</v>
      </c>
      <c r="K124" s="1">
        <v>1.0</v>
      </c>
      <c r="L124" s="1">
        <v>1.5</v>
      </c>
      <c r="M124" s="1">
        <v>1.3</v>
      </c>
      <c r="N124" s="1">
        <v>1.0</v>
      </c>
      <c r="P124" s="1">
        <v>1.0</v>
      </c>
      <c r="Q124" s="1">
        <v>1.0</v>
      </c>
      <c r="S124" s="1">
        <v>4135155.0</v>
      </c>
      <c r="V124" s="1">
        <v>3.0</v>
      </c>
      <c r="AG124" s="1">
        <v>3.0</v>
      </c>
      <c r="AH124" s="1">
        <v>129.0</v>
      </c>
      <c r="AS124" s="1" t="s">
        <v>741</v>
      </c>
      <c r="AT124" s="1">
        <v>80000.0</v>
      </c>
      <c r="AV124" s="1">
        <v>0.02</v>
      </c>
      <c r="AZ124" s="1" t="s">
        <v>743</v>
      </c>
      <c r="BA124" s="1">
        <v>1.0</v>
      </c>
    </row>
    <row r="125" ht="15.75" customHeight="1">
      <c r="A125" s="1">
        <v>124.0</v>
      </c>
      <c r="B125" s="1">
        <v>2.0</v>
      </c>
      <c r="C125" s="1" t="s">
        <v>744</v>
      </c>
      <c r="F125" s="1">
        <v>2700.0</v>
      </c>
      <c r="H125" s="1">
        <v>50.0</v>
      </c>
      <c r="I125" s="1">
        <v>72000.0</v>
      </c>
      <c r="J125" s="1">
        <v>3.0</v>
      </c>
      <c r="K125" s="1">
        <v>1.0</v>
      </c>
      <c r="L125" s="1">
        <v>1.5</v>
      </c>
      <c r="M125" s="1">
        <v>1.5</v>
      </c>
      <c r="N125" s="1">
        <v>1.0</v>
      </c>
      <c r="O125" s="1">
        <v>1.0</v>
      </c>
      <c r="Q125" s="1">
        <v>1.0</v>
      </c>
      <c r="S125" s="1">
        <v>5021222.0</v>
      </c>
      <c r="V125" s="1">
        <v>3.0</v>
      </c>
      <c r="AG125" s="1">
        <v>3.0</v>
      </c>
      <c r="AH125" s="1">
        <v>129.0</v>
      </c>
      <c r="AS125" s="1" t="s">
        <v>747</v>
      </c>
      <c r="AT125" s="1">
        <v>90000.0</v>
      </c>
      <c r="AV125" s="1">
        <v>0.02</v>
      </c>
      <c r="AZ125" s="1" t="s">
        <v>748</v>
      </c>
      <c r="BA125" s="1">
        <v>1.0</v>
      </c>
    </row>
    <row r="126" ht="15.75" customHeight="1">
      <c r="A126" s="1">
        <v>125.0</v>
      </c>
      <c r="B126" s="1">
        <v>2.0</v>
      </c>
      <c r="C126" s="1" t="s">
        <v>750</v>
      </c>
      <c r="F126" s="1">
        <v>300.0</v>
      </c>
      <c r="H126" s="1">
        <v>50.0</v>
      </c>
      <c r="I126" s="1">
        <v>80000.0</v>
      </c>
      <c r="J126" s="1">
        <v>3.0</v>
      </c>
      <c r="K126" s="1">
        <v>1.0</v>
      </c>
      <c r="L126" s="1">
        <v>1.5</v>
      </c>
      <c r="M126" s="1">
        <v>1.3</v>
      </c>
      <c r="N126" s="1">
        <v>1.0</v>
      </c>
      <c r="O126" s="1">
        <v>1.0</v>
      </c>
      <c r="Q126" s="1">
        <v>1.0</v>
      </c>
      <c r="S126" s="1">
        <v>4.0016888E7</v>
      </c>
      <c r="V126" s="1">
        <v>3.0</v>
      </c>
      <c r="AH126" s="1">
        <v>129.0</v>
      </c>
      <c r="AT126" s="1">
        <v>200000.0</v>
      </c>
      <c r="AV126" s="1">
        <v>0.02</v>
      </c>
      <c r="AZ126" s="1" t="s">
        <v>274</v>
      </c>
      <c r="BA126" s="1">
        <v>1.0</v>
      </c>
    </row>
    <row r="127" ht="15.75" customHeight="1">
      <c r="A127" s="1">
        <v>126.0</v>
      </c>
      <c r="B127" s="1">
        <v>2.0</v>
      </c>
      <c r="C127" s="1" t="s">
        <v>753</v>
      </c>
      <c r="F127" s="1">
        <v>28800.0</v>
      </c>
      <c r="H127" s="1">
        <v>50.0</v>
      </c>
      <c r="I127" s="1">
        <v>108000.0</v>
      </c>
      <c r="J127" s="1">
        <v>4.0</v>
      </c>
      <c r="K127" s="1">
        <v>3.0</v>
      </c>
      <c r="L127" s="1">
        <v>1.5</v>
      </c>
      <c r="M127" s="1">
        <v>1.5</v>
      </c>
      <c r="N127" s="1">
        <v>1.0</v>
      </c>
      <c r="Q127" s="1">
        <v>1.0</v>
      </c>
      <c r="S127" s="1">
        <v>2.0143269E7</v>
      </c>
      <c r="V127" s="1">
        <v>3.0</v>
      </c>
      <c r="AG127" s="1">
        <v>3.0</v>
      </c>
      <c r="AH127" s="1">
        <v>129.0</v>
      </c>
      <c r="AS127" s="1" t="s">
        <v>756</v>
      </c>
      <c r="AT127" s="1">
        <v>100000.0</v>
      </c>
      <c r="AV127" s="1">
        <v>0.02</v>
      </c>
      <c r="AZ127" s="1" t="s">
        <v>757</v>
      </c>
      <c r="BA127" s="1">
        <v>1.0</v>
      </c>
    </row>
    <row r="128" ht="15.75" customHeight="1">
      <c r="A128" s="1">
        <v>127.0</v>
      </c>
      <c r="B128" s="1">
        <v>2.0</v>
      </c>
      <c r="C128" s="1" t="s">
        <v>760</v>
      </c>
      <c r="F128" s="1">
        <v>3600.0</v>
      </c>
      <c r="H128" s="1">
        <v>50.0</v>
      </c>
      <c r="I128" s="1">
        <v>1400.0</v>
      </c>
      <c r="J128" s="1">
        <v>3.0</v>
      </c>
      <c r="K128" s="1">
        <v>1.0</v>
      </c>
      <c r="L128" s="1">
        <v>1.5</v>
      </c>
      <c r="M128" s="1">
        <v>1.3</v>
      </c>
      <c r="N128" s="1">
        <v>1.0</v>
      </c>
      <c r="O128" s="1">
        <v>1.0</v>
      </c>
      <c r="P128" s="1">
        <v>1.0</v>
      </c>
      <c r="Q128" s="1">
        <v>1.0</v>
      </c>
      <c r="S128" s="1">
        <v>6678.0</v>
      </c>
      <c r="V128" s="1">
        <v>3.0</v>
      </c>
      <c r="AH128" s="1">
        <v>10113.0</v>
      </c>
      <c r="AT128" s="1">
        <v>3000.0</v>
      </c>
      <c r="AV128" s="1">
        <v>0.02</v>
      </c>
      <c r="AZ128" s="1" t="s">
        <v>763</v>
      </c>
    </row>
    <row r="129" ht="15.75" customHeight="1">
      <c r="A129" s="1">
        <v>128.0</v>
      </c>
      <c r="B129" s="1">
        <v>2.0</v>
      </c>
      <c r="C129" s="1" t="s">
        <v>766</v>
      </c>
      <c r="F129" s="1">
        <v>600.0</v>
      </c>
      <c r="H129" s="1">
        <v>50.0</v>
      </c>
      <c r="I129" s="1">
        <v>10410.0</v>
      </c>
      <c r="J129" s="1">
        <v>3.0</v>
      </c>
      <c r="K129" s="1">
        <v>3.0</v>
      </c>
      <c r="L129" s="1">
        <v>1.5</v>
      </c>
      <c r="M129" s="1">
        <v>1.5</v>
      </c>
      <c r="N129" s="1">
        <v>1.0</v>
      </c>
      <c r="Q129" s="1">
        <v>1.0</v>
      </c>
      <c r="S129" s="1">
        <v>505138.0</v>
      </c>
      <c r="V129" s="1">
        <v>3.0</v>
      </c>
      <c r="AH129" s="1">
        <v>120.0</v>
      </c>
      <c r="AT129" s="1">
        <v>30000.0</v>
      </c>
      <c r="AV129" s="1">
        <v>0.35</v>
      </c>
      <c r="AZ129" s="1" t="s">
        <v>763</v>
      </c>
    </row>
    <row r="130" ht="15.75" customHeight="1">
      <c r="A130" s="1">
        <v>129.0</v>
      </c>
      <c r="B130" s="1">
        <v>2.0</v>
      </c>
      <c r="C130" s="1" t="s">
        <v>772</v>
      </c>
      <c r="F130" s="1">
        <v>3600.0</v>
      </c>
      <c r="H130" s="1">
        <v>50.0</v>
      </c>
      <c r="I130" s="1">
        <v>8310.0</v>
      </c>
      <c r="J130" s="1">
        <v>3.0</v>
      </c>
      <c r="K130" s="1">
        <v>3.0</v>
      </c>
      <c r="L130" s="1">
        <v>1.5</v>
      </c>
      <c r="M130" s="1">
        <v>1.5</v>
      </c>
      <c r="P130" s="1">
        <v>1.0</v>
      </c>
      <c r="Q130" s="1">
        <v>1.0</v>
      </c>
      <c r="S130" s="1">
        <v>1362366.0</v>
      </c>
      <c r="V130" s="1">
        <v>3.0</v>
      </c>
      <c r="AH130" s="1">
        <v>120.0</v>
      </c>
      <c r="AT130" s="1">
        <v>20000.0</v>
      </c>
      <c r="AV130" s="1">
        <v>0.25</v>
      </c>
      <c r="AZ130" s="1" t="s">
        <v>774</v>
      </c>
    </row>
    <row r="131" ht="15.75" customHeight="1">
      <c r="A131" s="1">
        <v>130.0</v>
      </c>
      <c r="B131" s="1">
        <v>2.0</v>
      </c>
      <c r="C131" s="1" t="s">
        <v>776</v>
      </c>
      <c r="F131" s="1">
        <v>40.0</v>
      </c>
      <c r="H131" s="1">
        <v>50.0</v>
      </c>
      <c r="I131" s="1">
        <v>6510.0</v>
      </c>
      <c r="J131" s="1">
        <v>3.0</v>
      </c>
      <c r="K131" s="1">
        <v>3.0</v>
      </c>
      <c r="L131" s="1">
        <v>1.5</v>
      </c>
      <c r="M131" s="1">
        <v>1.5</v>
      </c>
      <c r="P131" s="1">
        <v>1.0</v>
      </c>
      <c r="Q131" s="1">
        <v>1.0</v>
      </c>
      <c r="S131" s="1">
        <v>262366.0</v>
      </c>
      <c r="V131" s="1">
        <v>3.0</v>
      </c>
      <c r="AH131" s="1">
        <v>120.0</v>
      </c>
      <c r="AT131" s="1">
        <v>5500.0</v>
      </c>
      <c r="AV131" s="1">
        <v>0.02</v>
      </c>
      <c r="AZ131" s="1" t="s">
        <v>763</v>
      </c>
    </row>
    <row r="132" ht="15.75" customHeight="1">
      <c r="A132" s="1">
        <v>131.0</v>
      </c>
      <c r="B132" s="1">
        <v>2.0</v>
      </c>
      <c r="C132" s="1" t="s">
        <v>780</v>
      </c>
      <c r="F132" s="1">
        <v>3600.0</v>
      </c>
      <c r="H132" s="1">
        <v>50.0</v>
      </c>
      <c r="I132" s="1">
        <v>7210.0</v>
      </c>
      <c r="J132" s="1">
        <v>3.0</v>
      </c>
      <c r="K132" s="1">
        <v>1.0</v>
      </c>
      <c r="L132" s="1">
        <v>1.0</v>
      </c>
      <c r="M132" s="1">
        <v>1.4</v>
      </c>
      <c r="Q132" s="1">
        <v>1.0</v>
      </c>
      <c r="S132" s="1">
        <v>316298.0</v>
      </c>
      <c r="V132" s="1">
        <v>3.0</v>
      </c>
      <c r="AG132" s="1">
        <v>4.0</v>
      </c>
      <c r="AH132" s="1">
        <v>11.0</v>
      </c>
      <c r="AM132" s="1">
        <v>1.0</v>
      </c>
      <c r="AS132" s="1" t="s">
        <v>783</v>
      </c>
      <c r="AT132" s="1">
        <v>8000.0</v>
      </c>
      <c r="AV132" s="1">
        <v>0.02</v>
      </c>
      <c r="AZ132" s="1" t="s">
        <v>763</v>
      </c>
    </row>
    <row r="133" ht="15.75" customHeight="1">
      <c r="A133" s="1">
        <v>132.0</v>
      </c>
      <c r="B133" s="1">
        <v>2.0</v>
      </c>
      <c r="C133" s="1" t="s">
        <v>786</v>
      </c>
      <c r="F133" s="1">
        <v>14400.0</v>
      </c>
      <c r="H133" s="1">
        <v>50.0</v>
      </c>
      <c r="I133" s="1">
        <v>16000.0</v>
      </c>
      <c r="J133" s="1">
        <v>4.0</v>
      </c>
      <c r="K133" s="1">
        <v>2.0</v>
      </c>
      <c r="L133" s="1">
        <v>1.2</v>
      </c>
      <c r="M133" s="1">
        <v>1.2</v>
      </c>
      <c r="N133" s="1">
        <v>1.0</v>
      </c>
      <c r="Q133" s="1">
        <v>1.0</v>
      </c>
      <c r="S133" s="1">
        <v>909934.0</v>
      </c>
      <c r="V133" s="1">
        <v>3.0</v>
      </c>
      <c r="AG133" s="1">
        <v>3.0</v>
      </c>
      <c r="AH133" s="1">
        <v>129.0</v>
      </c>
      <c r="AS133" s="1" t="s">
        <v>789</v>
      </c>
      <c r="AT133" s="1">
        <v>15000.0</v>
      </c>
      <c r="AZ133" s="1" t="s">
        <v>790</v>
      </c>
      <c r="BA133" s="1">
        <v>1.0</v>
      </c>
    </row>
    <row r="134" ht="15.75" customHeight="1">
      <c r="A134" s="1">
        <v>133.0</v>
      </c>
      <c r="B134" s="1">
        <v>2.0</v>
      </c>
      <c r="C134" s="1" t="s">
        <v>791</v>
      </c>
      <c r="F134" s="1">
        <v>40.0</v>
      </c>
      <c r="H134" s="1">
        <v>50.0</v>
      </c>
      <c r="I134" s="1">
        <v>2210.0</v>
      </c>
      <c r="J134" s="1">
        <v>6.0</v>
      </c>
      <c r="K134" s="1">
        <v>2.0</v>
      </c>
      <c r="L134" s="1">
        <v>1.5</v>
      </c>
      <c r="M134" s="1">
        <v>1.5</v>
      </c>
      <c r="N134" s="1">
        <v>1.0</v>
      </c>
      <c r="Q134" s="1">
        <v>1.0</v>
      </c>
      <c r="S134" s="1">
        <v>50130.0</v>
      </c>
      <c r="V134" s="1">
        <v>3.0</v>
      </c>
      <c r="AH134" s="1">
        <v>117.0</v>
      </c>
      <c r="AT134" s="1">
        <v>3000.0</v>
      </c>
      <c r="AZ134" s="1" t="s">
        <v>795</v>
      </c>
    </row>
    <row r="135" ht="15.75" customHeight="1">
      <c r="A135" s="1">
        <v>134.0</v>
      </c>
      <c r="B135" s="1">
        <v>2.0</v>
      </c>
      <c r="C135" s="1" t="s">
        <v>796</v>
      </c>
      <c r="F135" s="1">
        <v>40.0</v>
      </c>
      <c r="H135" s="1">
        <v>50.0</v>
      </c>
      <c r="I135" s="1">
        <v>2810.0</v>
      </c>
      <c r="J135" s="1">
        <v>6.0</v>
      </c>
      <c r="K135" s="1">
        <v>2.0</v>
      </c>
      <c r="L135" s="1">
        <v>1.5</v>
      </c>
      <c r="M135" s="1">
        <v>1.5</v>
      </c>
      <c r="N135" s="1">
        <v>1.0</v>
      </c>
      <c r="Q135" s="1">
        <v>1.0</v>
      </c>
      <c r="S135" s="1">
        <v>67362.0</v>
      </c>
      <c r="V135" s="1">
        <v>3.0</v>
      </c>
      <c r="AH135" s="1">
        <v>117.0</v>
      </c>
      <c r="AT135" s="1">
        <v>4000.0</v>
      </c>
      <c r="AZ135" s="1" t="s">
        <v>795</v>
      </c>
    </row>
    <row r="136" ht="15.75" customHeight="1">
      <c r="A136" s="1">
        <v>135.0</v>
      </c>
      <c r="B136" s="1">
        <v>2.0</v>
      </c>
      <c r="C136" s="1" t="s">
        <v>800</v>
      </c>
      <c r="F136" s="1">
        <v>32400.0</v>
      </c>
      <c r="H136" s="1">
        <v>50.0</v>
      </c>
      <c r="I136" s="1">
        <v>2000.0</v>
      </c>
      <c r="K136" s="1">
        <v>2.0</v>
      </c>
      <c r="L136" s="1">
        <v>1.3</v>
      </c>
      <c r="M136" s="1">
        <v>1.3</v>
      </c>
      <c r="N136" s="1">
        <v>1.0</v>
      </c>
      <c r="P136" s="1">
        <v>1.0</v>
      </c>
      <c r="Q136" s="1">
        <v>1.0</v>
      </c>
      <c r="S136" s="1">
        <v>22326.0</v>
      </c>
      <c r="V136" s="1">
        <v>3.0</v>
      </c>
      <c r="AH136" s="1">
        <v>10114.0</v>
      </c>
      <c r="AT136" s="1">
        <v>2000.0</v>
      </c>
      <c r="AV136" s="1">
        <v>0.01</v>
      </c>
      <c r="BA136" s="1">
        <v>2.0</v>
      </c>
    </row>
    <row r="137" ht="15.75" customHeight="1">
      <c r="A137" s="1">
        <v>136.0</v>
      </c>
      <c r="B137" s="1">
        <v>2.0</v>
      </c>
      <c r="C137" s="1" t="s">
        <v>804</v>
      </c>
      <c r="F137" s="1">
        <v>32400.0</v>
      </c>
      <c r="H137" s="1">
        <v>35.0</v>
      </c>
      <c r="I137" s="1">
        <v>600.0</v>
      </c>
      <c r="J137" s="1">
        <v>3.0</v>
      </c>
      <c r="K137" s="1">
        <v>2.0</v>
      </c>
      <c r="L137" s="1">
        <v>1.3</v>
      </c>
      <c r="M137" s="1">
        <v>1.5</v>
      </c>
      <c r="Q137" s="1">
        <v>1.0</v>
      </c>
      <c r="V137" s="1">
        <v>3.0</v>
      </c>
      <c r="AH137" s="1">
        <v>115.0</v>
      </c>
      <c r="AT137" s="1">
        <v>300.0</v>
      </c>
      <c r="AV137" s="1">
        <v>0.01</v>
      </c>
      <c r="BA137" s="1">
        <v>1.0</v>
      </c>
    </row>
    <row r="138" ht="15.75" customHeight="1">
      <c r="A138" s="1">
        <v>137.0</v>
      </c>
      <c r="B138" s="1">
        <v>2.0</v>
      </c>
      <c r="C138" s="1" t="s">
        <v>806</v>
      </c>
      <c r="F138" s="1">
        <v>14400.0</v>
      </c>
      <c r="H138" s="1">
        <v>50.0</v>
      </c>
      <c r="I138" s="1">
        <v>8000.0</v>
      </c>
      <c r="J138" s="1">
        <v>4.0</v>
      </c>
      <c r="K138" s="1">
        <v>2.0</v>
      </c>
      <c r="L138" s="1">
        <v>1.2</v>
      </c>
      <c r="M138" s="1">
        <v>1.2</v>
      </c>
      <c r="N138" s="1">
        <v>1.0</v>
      </c>
      <c r="Q138" s="1">
        <v>1.0</v>
      </c>
      <c r="S138" s="1">
        <v>709934.0</v>
      </c>
      <c r="V138" s="1">
        <v>3.0</v>
      </c>
      <c r="AG138" s="1">
        <v>3.0</v>
      </c>
      <c r="AH138" s="1">
        <v>129.0</v>
      </c>
      <c r="AS138" s="1" t="s">
        <v>811</v>
      </c>
      <c r="AT138" s="1">
        <v>10000.0</v>
      </c>
      <c r="AZ138" s="1" t="s">
        <v>790</v>
      </c>
      <c r="BA138" s="1">
        <v>1.0</v>
      </c>
    </row>
    <row r="139" ht="15.75" customHeight="1">
      <c r="A139" s="1">
        <v>138.0</v>
      </c>
      <c r="B139" s="1">
        <v>2.0</v>
      </c>
      <c r="C139" s="1" t="s">
        <v>812</v>
      </c>
      <c r="F139" s="1">
        <v>14400.0</v>
      </c>
      <c r="H139" s="1">
        <v>50.0</v>
      </c>
      <c r="I139" s="1">
        <v>80000.0</v>
      </c>
      <c r="J139" s="1">
        <v>3.0</v>
      </c>
      <c r="K139" s="1">
        <v>1.0</v>
      </c>
      <c r="L139" s="1">
        <v>1.5</v>
      </c>
      <c r="M139" s="1">
        <v>1.3</v>
      </c>
      <c r="N139" s="1">
        <v>1.0</v>
      </c>
      <c r="Q139" s="1">
        <v>1.0</v>
      </c>
      <c r="S139" s="1">
        <v>1.0016888E7</v>
      </c>
      <c r="V139" s="1">
        <v>3.0</v>
      </c>
      <c r="AG139" s="1">
        <v>3.0</v>
      </c>
      <c r="AH139" s="1">
        <v>129.0</v>
      </c>
      <c r="AS139" s="1" t="s">
        <v>817</v>
      </c>
      <c r="AT139" s="1">
        <v>95000.0</v>
      </c>
      <c r="AV139" s="1">
        <v>0.02</v>
      </c>
      <c r="AZ139" s="1" t="s">
        <v>743</v>
      </c>
      <c r="BA139" s="1">
        <v>1.0</v>
      </c>
    </row>
    <row r="140" ht="15.75" customHeight="1">
      <c r="A140" s="1">
        <v>139.0</v>
      </c>
      <c r="B140" s="1">
        <v>2.0</v>
      </c>
      <c r="C140" s="1" t="s">
        <v>819</v>
      </c>
      <c r="F140" s="1">
        <v>28800.0</v>
      </c>
      <c r="H140" s="1">
        <v>50.0</v>
      </c>
      <c r="I140" s="1">
        <v>108000.0</v>
      </c>
      <c r="J140" s="1">
        <v>4.0</v>
      </c>
      <c r="K140" s="1">
        <v>3.0</v>
      </c>
      <c r="L140" s="1">
        <v>1.5</v>
      </c>
      <c r="M140" s="1">
        <v>1.5</v>
      </c>
      <c r="N140" s="1">
        <v>1.0</v>
      </c>
      <c r="Q140" s="1">
        <v>1.0</v>
      </c>
      <c r="S140" s="1">
        <v>2.0143269E7</v>
      </c>
      <c r="V140" s="1">
        <v>3.0</v>
      </c>
      <c r="AG140" s="1">
        <v>3.0</v>
      </c>
      <c r="AH140" s="1">
        <v>129.0</v>
      </c>
      <c r="AS140" s="1" t="s">
        <v>823</v>
      </c>
      <c r="AT140" s="1">
        <v>100000.0</v>
      </c>
      <c r="AV140" s="1">
        <v>0.02</v>
      </c>
      <c r="AZ140" s="1" t="s">
        <v>757</v>
      </c>
      <c r="BA140" s="1">
        <v>1.0</v>
      </c>
    </row>
    <row r="141" ht="15.75" customHeight="1">
      <c r="A141" s="1">
        <v>140.0</v>
      </c>
      <c r="B141" s="1">
        <v>2.0</v>
      </c>
      <c r="C141" s="1" t="s">
        <v>826</v>
      </c>
      <c r="F141" s="1">
        <v>43200.0</v>
      </c>
      <c r="H141" s="1">
        <v>50.0</v>
      </c>
      <c r="I141" s="1">
        <v>108000.0</v>
      </c>
      <c r="J141" s="1">
        <v>4.0</v>
      </c>
      <c r="K141" s="1">
        <v>3.0</v>
      </c>
      <c r="L141" s="1">
        <v>1.5</v>
      </c>
      <c r="M141" s="1">
        <v>1.5</v>
      </c>
      <c r="N141" s="1">
        <v>1.0</v>
      </c>
      <c r="Q141" s="1">
        <v>1.0</v>
      </c>
      <c r="S141" s="1">
        <v>3.0143269E7</v>
      </c>
      <c r="V141" s="1">
        <v>3.0</v>
      </c>
      <c r="AG141" s="1">
        <v>3.0</v>
      </c>
      <c r="AH141" s="1">
        <v>129.0</v>
      </c>
      <c r="AS141" s="1" t="s">
        <v>829</v>
      </c>
      <c r="AT141" s="1">
        <v>115000.0</v>
      </c>
      <c r="AV141" s="1">
        <v>0.02</v>
      </c>
      <c r="AZ141" s="1" t="s">
        <v>757</v>
      </c>
      <c r="BA141" s="1">
        <v>1.0</v>
      </c>
    </row>
    <row r="142" ht="15.75" customHeight="1">
      <c r="A142" s="1">
        <v>141.0</v>
      </c>
      <c r="B142" s="1">
        <v>2.0</v>
      </c>
      <c r="C142" s="1" t="s">
        <v>831</v>
      </c>
      <c r="F142" s="1">
        <v>14400.0</v>
      </c>
      <c r="H142" s="1">
        <v>50.0</v>
      </c>
      <c r="I142" s="1">
        <v>108000.0</v>
      </c>
      <c r="J142" s="1">
        <v>4.0</v>
      </c>
      <c r="K142" s="1">
        <v>3.0</v>
      </c>
      <c r="L142" s="1">
        <v>1.5</v>
      </c>
      <c r="M142" s="1">
        <v>1.5</v>
      </c>
      <c r="N142" s="1">
        <v>1.0</v>
      </c>
      <c r="Q142" s="1">
        <v>1.0</v>
      </c>
      <c r="S142" s="1">
        <v>8143269.0</v>
      </c>
      <c r="V142" s="1">
        <v>3.0</v>
      </c>
      <c r="AG142" s="1">
        <v>3.0</v>
      </c>
      <c r="AH142" s="1">
        <v>129.0</v>
      </c>
      <c r="AS142" s="1" t="s">
        <v>834</v>
      </c>
      <c r="AT142" s="1">
        <v>90000.0</v>
      </c>
      <c r="AV142" s="1">
        <v>0.02</v>
      </c>
      <c r="AZ142" s="1" t="s">
        <v>757</v>
      </c>
      <c r="BA142" s="1">
        <v>1.0</v>
      </c>
    </row>
    <row r="143" ht="15.75" customHeight="1">
      <c r="A143" s="1">
        <v>142.0</v>
      </c>
      <c r="B143" s="1">
        <v>2.0</v>
      </c>
      <c r="C143" s="1" t="s">
        <v>836</v>
      </c>
      <c r="F143" s="1">
        <v>14400.0</v>
      </c>
      <c r="H143" s="1">
        <v>50.0</v>
      </c>
      <c r="I143" s="1">
        <v>108000.0</v>
      </c>
      <c r="J143" s="1">
        <v>4.0</v>
      </c>
      <c r="K143" s="1">
        <v>3.0</v>
      </c>
      <c r="L143" s="1">
        <v>1.5</v>
      </c>
      <c r="M143" s="1">
        <v>1.5</v>
      </c>
      <c r="N143" s="1">
        <v>1.0</v>
      </c>
      <c r="Q143" s="1">
        <v>1.0</v>
      </c>
      <c r="S143" s="1">
        <v>8143269.0</v>
      </c>
      <c r="V143" s="1">
        <v>3.0</v>
      </c>
      <c r="AG143" s="1">
        <v>3.0</v>
      </c>
      <c r="AH143" s="1">
        <v>129.0</v>
      </c>
      <c r="AS143" s="1" t="s">
        <v>834</v>
      </c>
      <c r="AT143" s="1">
        <v>90000.0</v>
      </c>
      <c r="AV143" s="1">
        <v>0.02</v>
      </c>
      <c r="AZ143" s="1" t="s">
        <v>757</v>
      </c>
      <c r="BA143" s="1">
        <v>1.0</v>
      </c>
    </row>
    <row r="144" ht="15.75" customHeight="1">
      <c r="A144" s="1">
        <v>143.0</v>
      </c>
      <c r="B144" s="1">
        <v>2.0</v>
      </c>
      <c r="C144" s="1" t="s">
        <v>744</v>
      </c>
      <c r="F144" s="1">
        <v>2700.0</v>
      </c>
      <c r="H144" s="1">
        <v>50.0</v>
      </c>
      <c r="I144" s="1">
        <v>72000.0</v>
      </c>
      <c r="J144" s="1">
        <v>3.0</v>
      </c>
      <c r="K144" s="1">
        <v>1.0</v>
      </c>
      <c r="L144" s="1">
        <v>1.5</v>
      </c>
      <c r="M144" s="1">
        <v>1.5</v>
      </c>
      <c r="O144" s="1">
        <v>1.0</v>
      </c>
      <c r="Q144" s="1">
        <v>1.0</v>
      </c>
      <c r="S144" s="1">
        <v>5021222.0</v>
      </c>
      <c r="V144" s="1">
        <v>3.0</v>
      </c>
      <c r="AG144" s="1">
        <v>3.0</v>
      </c>
      <c r="AH144" s="1">
        <v>129.0</v>
      </c>
      <c r="AS144" s="1" t="s">
        <v>747</v>
      </c>
      <c r="AT144" s="1">
        <v>68000.0</v>
      </c>
      <c r="AV144" s="1">
        <v>0.005</v>
      </c>
      <c r="AZ144" s="1" t="s">
        <v>748</v>
      </c>
      <c r="BA144" s="1">
        <v>1.0</v>
      </c>
    </row>
    <row r="145" ht="15.75" customHeight="1">
      <c r="A145" s="1">
        <v>144.0</v>
      </c>
      <c r="B145" s="1">
        <v>2.0</v>
      </c>
      <c r="C145" s="1" t="s">
        <v>839</v>
      </c>
      <c r="F145" s="1">
        <v>14400.0</v>
      </c>
      <c r="H145" s="1">
        <v>50.0</v>
      </c>
      <c r="I145" s="1">
        <v>64000.0</v>
      </c>
      <c r="J145" s="1">
        <v>4.0</v>
      </c>
      <c r="K145" s="1">
        <v>2.0</v>
      </c>
      <c r="L145" s="1">
        <v>1.2</v>
      </c>
      <c r="M145" s="1">
        <v>1.2</v>
      </c>
      <c r="N145" s="1">
        <v>1.0</v>
      </c>
      <c r="Q145" s="1">
        <v>1.0</v>
      </c>
      <c r="S145" s="1">
        <v>2109934.0</v>
      </c>
      <c r="V145" s="1">
        <v>3.0</v>
      </c>
      <c r="AG145" s="1">
        <v>4.0</v>
      </c>
      <c r="AH145" s="1">
        <v>0.0</v>
      </c>
      <c r="AT145" s="1">
        <v>38000.0</v>
      </c>
      <c r="AZ145" s="1" t="s">
        <v>840</v>
      </c>
    </row>
    <row r="146" ht="15.75" customHeight="1">
      <c r="A146" s="1">
        <v>145.0</v>
      </c>
      <c r="B146" s="1">
        <v>2.0</v>
      </c>
      <c r="C146" s="1" t="s">
        <v>841</v>
      </c>
      <c r="F146" s="1">
        <v>60.0</v>
      </c>
      <c r="H146" s="1">
        <v>50.0</v>
      </c>
      <c r="I146" s="1">
        <v>5810.0</v>
      </c>
      <c r="J146" s="1">
        <v>10.0</v>
      </c>
      <c r="K146" s="1">
        <v>2.0</v>
      </c>
      <c r="L146" s="1">
        <v>1.5</v>
      </c>
      <c r="M146" s="1">
        <v>1.5</v>
      </c>
      <c r="N146" s="1">
        <v>1.0</v>
      </c>
      <c r="Q146" s="1">
        <v>1.0</v>
      </c>
      <c r="S146" s="1">
        <v>100130.0</v>
      </c>
      <c r="V146" s="1">
        <v>3.0</v>
      </c>
      <c r="AH146" s="1">
        <v>125.0</v>
      </c>
      <c r="AT146" s="1">
        <v>8000.0</v>
      </c>
      <c r="AZ146" s="1" t="s">
        <v>843</v>
      </c>
    </row>
    <row r="147" ht="15.75" customHeight="1">
      <c r="A147" s="1">
        <v>146.0</v>
      </c>
      <c r="B147" s="1">
        <v>2.0</v>
      </c>
      <c r="C147" s="1" t="s">
        <v>844</v>
      </c>
      <c r="F147" s="1">
        <v>60.0</v>
      </c>
      <c r="H147" s="1">
        <v>50.0</v>
      </c>
      <c r="I147" s="1">
        <v>7910.0</v>
      </c>
      <c r="J147" s="1">
        <v>6.0</v>
      </c>
      <c r="K147" s="1">
        <v>2.0</v>
      </c>
      <c r="L147" s="1">
        <v>1.5</v>
      </c>
      <c r="M147" s="1">
        <v>1.5</v>
      </c>
      <c r="N147" s="1">
        <v>1.0</v>
      </c>
      <c r="Q147" s="1">
        <v>1.0</v>
      </c>
      <c r="S147" s="1">
        <v>140362.0</v>
      </c>
      <c r="V147" s="1">
        <v>3.0</v>
      </c>
      <c r="AH147" s="1">
        <v>10125.0</v>
      </c>
      <c r="AT147" s="1">
        <v>12000.0</v>
      </c>
      <c r="AZ147" s="1" t="s">
        <v>840</v>
      </c>
    </row>
    <row r="148" ht="15.75" customHeight="1">
      <c r="A148" s="1">
        <v>147.0</v>
      </c>
      <c r="B148" s="1">
        <v>2.0</v>
      </c>
      <c r="C148" s="1" t="s">
        <v>847</v>
      </c>
      <c r="F148" s="1">
        <v>14400.0</v>
      </c>
      <c r="H148" s="1">
        <v>50.0</v>
      </c>
      <c r="I148" s="1">
        <v>32000.0</v>
      </c>
      <c r="J148" s="1">
        <v>4.0</v>
      </c>
      <c r="K148" s="1">
        <v>2.0</v>
      </c>
      <c r="L148" s="1">
        <v>1.2</v>
      </c>
      <c r="M148" s="1">
        <v>1.2</v>
      </c>
      <c r="N148" s="1">
        <v>1.0</v>
      </c>
      <c r="Q148" s="1">
        <v>1.0</v>
      </c>
      <c r="S148" s="1">
        <v>1409934.0</v>
      </c>
      <c r="V148" s="1">
        <v>3.0</v>
      </c>
      <c r="AG148" s="1">
        <v>4.0</v>
      </c>
      <c r="AH148" s="1">
        <v>0.0</v>
      </c>
      <c r="AT148" s="1">
        <v>28000.0</v>
      </c>
      <c r="AZ148" s="1" t="s">
        <v>843</v>
      </c>
    </row>
    <row r="149" ht="15.75" customHeight="1">
      <c r="A149" s="1">
        <v>148.0</v>
      </c>
      <c r="B149" s="1">
        <v>13.0</v>
      </c>
      <c r="C149" s="1" t="s">
        <v>850</v>
      </c>
      <c r="F149" s="1">
        <v>30.0</v>
      </c>
      <c r="H149" s="1">
        <v>50.0</v>
      </c>
      <c r="L149" s="1">
        <v>0.0</v>
      </c>
      <c r="M149" s="1">
        <v>0.0</v>
      </c>
      <c r="N149" s="1">
        <v>1.0</v>
      </c>
      <c r="R149" s="1">
        <v>1.0</v>
      </c>
      <c r="V149" s="1">
        <v>3.0</v>
      </c>
      <c r="AM149" s="1">
        <v>1.0</v>
      </c>
      <c r="AN149" s="1">
        <v>34.0</v>
      </c>
      <c r="AS149" s="1" t="s">
        <v>648</v>
      </c>
      <c r="AT149" s="1">
        <v>70000.0</v>
      </c>
      <c r="AV149" s="1">
        <v>0.2</v>
      </c>
    </row>
    <row r="150" ht="15.75" customHeight="1">
      <c r="A150" s="1">
        <v>149.0</v>
      </c>
      <c r="B150" s="1">
        <v>13.0</v>
      </c>
      <c r="C150" s="1" t="s">
        <v>853</v>
      </c>
      <c r="F150" s="1">
        <v>30.0</v>
      </c>
      <c r="H150" s="1">
        <v>50.0</v>
      </c>
      <c r="L150" s="1">
        <v>0.0</v>
      </c>
      <c r="M150" s="1">
        <v>0.0</v>
      </c>
      <c r="N150" s="1">
        <v>1.0</v>
      </c>
      <c r="R150" s="1">
        <v>1.0</v>
      </c>
      <c r="V150" s="1">
        <v>3.0</v>
      </c>
      <c r="AM150" s="1">
        <v>1.0</v>
      </c>
      <c r="AN150" s="1">
        <v>34.0</v>
      </c>
      <c r="AS150" s="1" t="s">
        <v>648</v>
      </c>
      <c r="AT150" s="1">
        <v>70000.0</v>
      </c>
      <c r="AV150" s="1">
        <v>0.2</v>
      </c>
    </row>
    <row r="151" ht="15.75" customHeight="1">
      <c r="A151" s="1">
        <v>150.0</v>
      </c>
      <c r="B151" s="1">
        <v>13.0</v>
      </c>
      <c r="C151" s="1" t="s">
        <v>856</v>
      </c>
      <c r="F151" s="1">
        <v>30.0</v>
      </c>
      <c r="H151" s="1">
        <v>50.0</v>
      </c>
      <c r="L151" s="1">
        <v>0.0</v>
      </c>
      <c r="M151" s="1">
        <v>0.0</v>
      </c>
      <c r="N151" s="1">
        <v>1.0</v>
      </c>
      <c r="R151" s="1">
        <v>1.0</v>
      </c>
      <c r="V151" s="1">
        <v>3.0</v>
      </c>
      <c r="AM151" s="1">
        <v>1.0</v>
      </c>
      <c r="AN151" s="1">
        <v>34.0</v>
      </c>
      <c r="AS151" s="1" t="s">
        <v>648</v>
      </c>
      <c r="AT151" s="1">
        <v>70000.0</v>
      </c>
      <c r="AV151" s="1">
        <v>0.2</v>
      </c>
    </row>
    <row r="152" ht="15.75" customHeight="1">
      <c r="A152" s="1">
        <v>151.0</v>
      </c>
      <c r="B152" s="1">
        <v>2.0</v>
      </c>
      <c r="C152" s="1" t="s">
        <v>859</v>
      </c>
      <c r="F152" s="1">
        <v>40.0</v>
      </c>
      <c r="H152" s="1">
        <v>50.0</v>
      </c>
      <c r="I152" s="1">
        <v>12410.0</v>
      </c>
      <c r="J152" s="1">
        <v>4.0</v>
      </c>
      <c r="K152" s="1">
        <v>2.0</v>
      </c>
      <c r="L152" s="1">
        <v>1.5</v>
      </c>
      <c r="M152" s="1">
        <v>1.5</v>
      </c>
      <c r="Q152" s="1">
        <v>1.0</v>
      </c>
      <c r="S152" s="1">
        <v>623138.0</v>
      </c>
      <c r="V152" s="1">
        <v>3.0</v>
      </c>
      <c r="AH152" s="1">
        <v>153.0</v>
      </c>
      <c r="AT152" s="1">
        <v>12000.0</v>
      </c>
      <c r="AV152" s="1">
        <v>0.02</v>
      </c>
      <c r="AZ152" s="1" t="s">
        <v>863</v>
      </c>
    </row>
    <row r="153" ht="15.75" customHeight="1">
      <c r="A153" s="1">
        <v>152.0</v>
      </c>
      <c r="B153" s="1">
        <v>2.0</v>
      </c>
      <c r="C153" s="1" t="s">
        <v>865</v>
      </c>
      <c r="F153" s="1">
        <v>14400.0</v>
      </c>
      <c r="H153" s="1">
        <v>50.0</v>
      </c>
      <c r="I153" s="1">
        <v>34010.0</v>
      </c>
      <c r="J153" s="1">
        <v>3.0</v>
      </c>
      <c r="K153" s="1">
        <v>2.0</v>
      </c>
      <c r="L153" s="1">
        <v>1.2</v>
      </c>
      <c r="M153" s="1">
        <v>1.5</v>
      </c>
      <c r="N153" s="1">
        <v>1.0</v>
      </c>
      <c r="Q153" s="1">
        <v>1.0</v>
      </c>
      <c r="S153" s="1">
        <v>3823138.0</v>
      </c>
      <c r="V153" s="1">
        <v>3.0</v>
      </c>
      <c r="AH153" s="1">
        <v>233.0</v>
      </c>
      <c r="AT153" s="1">
        <v>60000.0</v>
      </c>
      <c r="AV153" s="1">
        <v>0.015</v>
      </c>
      <c r="AZ153" s="1" t="s">
        <v>869</v>
      </c>
    </row>
    <row r="154" ht="15.75" customHeight="1">
      <c r="A154" s="1">
        <v>153.0</v>
      </c>
      <c r="B154" s="1">
        <v>2.0</v>
      </c>
      <c r="C154" s="1" t="s">
        <v>870</v>
      </c>
      <c r="F154" s="1">
        <v>40.0</v>
      </c>
      <c r="H154" s="1">
        <v>50.0</v>
      </c>
      <c r="I154" s="1">
        <v>16010.0</v>
      </c>
      <c r="J154" s="1">
        <v>4.0</v>
      </c>
      <c r="K154" s="1">
        <v>2.0</v>
      </c>
      <c r="L154" s="1">
        <v>1.5</v>
      </c>
      <c r="M154" s="1">
        <v>1.5</v>
      </c>
      <c r="Q154" s="1">
        <v>1.0</v>
      </c>
      <c r="S154" s="1">
        <v>853138.0</v>
      </c>
      <c r="V154" s="1">
        <v>3.0</v>
      </c>
      <c r="AH154" s="1">
        <v>153.0</v>
      </c>
      <c r="AT154" s="1">
        <v>15000.0</v>
      </c>
      <c r="AV154" s="1">
        <v>0.02</v>
      </c>
      <c r="AZ154" s="1" t="s">
        <v>873</v>
      </c>
    </row>
    <row r="155" ht="15.75" customHeight="1">
      <c r="A155" s="1">
        <v>154.0</v>
      </c>
      <c r="B155" s="1">
        <v>2.0</v>
      </c>
      <c r="C155" s="1" t="s">
        <v>876</v>
      </c>
      <c r="F155" s="1">
        <v>14400.0</v>
      </c>
      <c r="H155" s="1">
        <v>50.0</v>
      </c>
      <c r="I155" s="1">
        <v>54010.0</v>
      </c>
      <c r="J155" s="1">
        <v>3.0</v>
      </c>
      <c r="K155" s="1">
        <v>2.0</v>
      </c>
      <c r="L155" s="1">
        <v>1.2</v>
      </c>
      <c r="M155" s="1">
        <v>1.5</v>
      </c>
      <c r="N155" s="1">
        <v>1.0</v>
      </c>
      <c r="Q155" s="1">
        <v>1.0</v>
      </c>
      <c r="S155" s="1">
        <v>5823138.0</v>
      </c>
      <c r="V155" s="1">
        <v>3.0</v>
      </c>
      <c r="AH155" s="1">
        <v>160.0</v>
      </c>
      <c r="AT155" s="1">
        <v>80000.0</v>
      </c>
      <c r="AV155" s="1">
        <v>0.015</v>
      </c>
      <c r="AZ155" s="1" t="s">
        <v>884</v>
      </c>
    </row>
    <row r="156" ht="15.75" customHeight="1">
      <c r="A156" s="1">
        <v>155.0</v>
      </c>
      <c r="B156" s="1">
        <v>2.0</v>
      </c>
      <c r="C156" s="1" t="s">
        <v>886</v>
      </c>
      <c r="F156" s="1">
        <v>10800.0</v>
      </c>
      <c r="H156" s="1">
        <v>50.0</v>
      </c>
      <c r="I156" s="1">
        <v>15410.0</v>
      </c>
      <c r="J156" s="1">
        <v>2.0</v>
      </c>
      <c r="K156" s="1">
        <v>2.0</v>
      </c>
      <c r="L156" s="1">
        <v>1.5</v>
      </c>
      <c r="M156" s="1">
        <v>1.5</v>
      </c>
      <c r="Q156" s="1">
        <v>1.0</v>
      </c>
      <c r="S156" s="1">
        <v>1005138.0</v>
      </c>
      <c r="V156" s="1">
        <v>3.0</v>
      </c>
      <c r="AH156" s="1">
        <v>120.0</v>
      </c>
      <c r="AT156" s="1">
        <v>30000.0</v>
      </c>
      <c r="AV156" s="1">
        <v>0.5</v>
      </c>
      <c r="AZ156" s="1" t="s">
        <v>889</v>
      </c>
    </row>
    <row r="157" ht="15.75" customHeight="1">
      <c r="A157" s="1">
        <v>156.0</v>
      </c>
      <c r="B157" s="1">
        <v>2.0</v>
      </c>
      <c r="C157" s="1" t="s">
        <v>890</v>
      </c>
      <c r="F157" s="1">
        <v>14400.0</v>
      </c>
      <c r="H157" s="1">
        <v>50.0</v>
      </c>
      <c r="I157" s="1">
        <v>34410.0</v>
      </c>
      <c r="J157" s="1">
        <v>3.0</v>
      </c>
      <c r="K157" s="1">
        <v>5.0</v>
      </c>
      <c r="L157" s="1">
        <v>1.5</v>
      </c>
      <c r="M157" s="1">
        <v>1.5</v>
      </c>
      <c r="Q157" s="1">
        <v>1.0</v>
      </c>
      <c r="S157" s="1">
        <v>4105138.0</v>
      </c>
      <c r="V157" s="1">
        <v>3.0</v>
      </c>
      <c r="AH157" s="1">
        <v>120.0</v>
      </c>
      <c r="AT157" s="1">
        <v>150000.0</v>
      </c>
      <c r="AV157" s="1">
        <v>0.1</v>
      </c>
      <c r="AZ157" s="1" t="s">
        <v>895</v>
      </c>
      <c r="BA157" s="1">
        <v>1.0</v>
      </c>
    </row>
    <row r="158" ht="15.75" customHeight="1">
      <c r="A158" s="1">
        <v>157.0</v>
      </c>
      <c r="B158" s="1">
        <v>2.0</v>
      </c>
      <c r="C158" s="1" t="s">
        <v>896</v>
      </c>
      <c r="F158" s="1">
        <v>1800.0</v>
      </c>
      <c r="H158" s="1">
        <v>50.0</v>
      </c>
      <c r="I158" s="1">
        <v>16400.0</v>
      </c>
      <c r="J158" s="1">
        <v>3.0</v>
      </c>
      <c r="K158" s="1">
        <v>3.0</v>
      </c>
      <c r="L158" s="1">
        <v>1.5</v>
      </c>
      <c r="M158" s="1">
        <v>1.5</v>
      </c>
      <c r="Q158" s="1">
        <v>1.0</v>
      </c>
      <c r="S158" s="1">
        <v>1505138.0</v>
      </c>
      <c r="V158" s="1">
        <v>3.0</v>
      </c>
      <c r="AH158" s="1">
        <v>120.0</v>
      </c>
      <c r="AT158" s="1">
        <v>40000.0</v>
      </c>
      <c r="AV158" s="1">
        <v>0.06</v>
      </c>
      <c r="AZ158" s="1" t="s">
        <v>763</v>
      </c>
    </row>
    <row r="159" ht="15.75" customHeight="1">
      <c r="A159" s="1">
        <v>158.0</v>
      </c>
      <c r="B159" s="1">
        <v>2.0</v>
      </c>
      <c r="C159" s="1" t="s">
        <v>900</v>
      </c>
      <c r="F159" s="1">
        <v>600.0</v>
      </c>
      <c r="H159" s="1">
        <v>50.0</v>
      </c>
      <c r="I159" s="1">
        <v>20410.0</v>
      </c>
      <c r="J159" s="1">
        <v>3.0</v>
      </c>
      <c r="K159" s="1">
        <v>2.0</v>
      </c>
      <c r="M159" s="1">
        <v>1.0</v>
      </c>
      <c r="Q159" s="1">
        <v>1.0</v>
      </c>
      <c r="S159" s="1">
        <v>1005138.0</v>
      </c>
      <c r="V159" s="1">
        <v>3.0</v>
      </c>
      <c r="AH159" s="1">
        <v>120.0</v>
      </c>
      <c r="AT159" s="1">
        <v>20000.0</v>
      </c>
      <c r="AV159" s="1">
        <v>0.05</v>
      </c>
      <c r="AZ159" s="1" t="s">
        <v>903</v>
      </c>
    </row>
    <row r="160" ht="15.75" customHeight="1">
      <c r="A160" s="1">
        <v>159.0</v>
      </c>
      <c r="B160" s="1">
        <v>13.0</v>
      </c>
      <c r="C160" s="1" t="s">
        <v>904</v>
      </c>
      <c r="F160" s="1">
        <v>30.0</v>
      </c>
      <c r="H160" s="1">
        <v>50.0</v>
      </c>
      <c r="L160" s="1">
        <v>0.0</v>
      </c>
      <c r="R160" s="1">
        <v>1.0</v>
      </c>
      <c r="V160" s="1">
        <v>3.0</v>
      </c>
      <c r="AM160" s="1">
        <v>1.0</v>
      </c>
      <c r="AN160" s="1">
        <v>34.0</v>
      </c>
      <c r="AS160" s="1" t="s">
        <v>648</v>
      </c>
      <c r="AT160" s="1">
        <v>70000.0</v>
      </c>
      <c r="AV160" s="1">
        <v>0.2</v>
      </c>
    </row>
    <row r="161" ht="15.75" customHeight="1">
      <c r="A161" s="1">
        <v>160.0</v>
      </c>
      <c r="B161" s="1">
        <v>13.0</v>
      </c>
      <c r="C161" s="1" t="s">
        <v>904</v>
      </c>
      <c r="F161" s="1">
        <v>30.0</v>
      </c>
      <c r="H161" s="1">
        <v>50.0</v>
      </c>
      <c r="L161" s="1">
        <v>0.0</v>
      </c>
      <c r="R161" s="1">
        <v>1.0</v>
      </c>
      <c r="V161" s="1">
        <v>3.0</v>
      </c>
      <c r="AM161" s="1">
        <v>1.0</v>
      </c>
      <c r="AN161" s="1">
        <v>34.0</v>
      </c>
      <c r="AS161" s="1" t="s">
        <v>648</v>
      </c>
      <c r="AT161" s="1">
        <v>70000.0</v>
      </c>
      <c r="AV161" s="1">
        <v>0.2</v>
      </c>
    </row>
    <row r="162" ht="15.75" customHeight="1">
      <c r="A162" s="1">
        <v>161.0</v>
      </c>
      <c r="B162" s="1">
        <v>2.0</v>
      </c>
      <c r="C162" s="1" t="s">
        <v>910</v>
      </c>
      <c r="F162" s="1">
        <v>7200.0</v>
      </c>
      <c r="H162" s="1">
        <v>50.0</v>
      </c>
      <c r="I162" s="1">
        <v>88000.0</v>
      </c>
      <c r="J162" s="1">
        <v>4.0</v>
      </c>
      <c r="K162" s="1">
        <v>4.0</v>
      </c>
      <c r="L162" s="1">
        <v>1.4</v>
      </c>
      <c r="M162" s="1">
        <v>1.5</v>
      </c>
      <c r="N162" s="1">
        <v>1.0</v>
      </c>
      <c r="Q162" s="1">
        <v>1.0</v>
      </c>
      <c r="S162" s="1">
        <v>1.0143269E7</v>
      </c>
      <c r="V162" s="1">
        <v>3.0</v>
      </c>
      <c r="AH162" s="1">
        <v>129.0</v>
      </c>
      <c r="AT162" s="1">
        <v>75000.0</v>
      </c>
      <c r="AV162" s="1">
        <v>0.025</v>
      </c>
      <c r="AZ162" s="1" t="s">
        <v>913</v>
      </c>
      <c r="BA162" s="1">
        <v>1.0</v>
      </c>
      <c r="BB162" s="1">
        <v>5.0</v>
      </c>
    </row>
    <row r="163" ht="15.75" customHeight="1">
      <c r="A163" s="1">
        <v>162.0</v>
      </c>
      <c r="B163" s="1">
        <v>2.0</v>
      </c>
      <c r="C163" s="1" t="s">
        <v>914</v>
      </c>
      <c r="F163" s="1">
        <v>28800.0</v>
      </c>
      <c r="H163" s="1">
        <v>50.0</v>
      </c>
      <c r="I163" s="1">
        <v>120000.0</v>
      </c>
      <c r="J163" s="1">
        <v>4.0</v>
      </c>
      <c r="K163" s="1">
        <v>4.0</v>
      </c>
      <c r="L163" s="1">
        <v>1.8</v>
      </c>
      <c r="M163" s="1">
        <v>1.5</v>
      </c>
      <c r="N163" s="1">
        <v>1.0</v>
      </c>
      <c r="Q163" s="1">
        <v>1.0</v>
      </c>
      <c r="S163" s="1">
        <v>3.0143269E7</v>
      </c>
      <c r="V163" s="1">
        <v>3.0</v>
      </c>
      <c r="AH163" s="1">
        <v>129.0</v>
      </c>
      <c r="AS163" s="1" t="s">
        <v>917</v>
      </c>
      <c r="AT163" s="1">
        <v>200000.0</v>
      </c>
      <c r="AV163" s="1">
        <v>0.03</v>
      </c>
      <c r="AZ163" s="1" t="s">
        <v>913</v>
      </c>
      <c r="BA163" s="1">
        <v>1.0</v>
      </c>
      <c r="BB163" s="1">
        <v>5.0</v>
      </c>
    </row>
    <row r="164" ht="15.75" customHeight="1">
      <c r="A164" s="1">
        <v>163.0</v>
      </c>
      <c r="B164" s="1">
        <v>2.0</v>
      </c>
      <c r="C164" s="1" t="s">
        <v>918</v>
      </c>
      <c r="F164" s="1">
        <v>28800.0</v>
      </c>
      <c r="H164" s="1">
        <v>50.0</v>
      </c>
      <c r="I164" s="1">
        <v>120000.0</v>
      </c>
      <c r="J164" s="1">
        <v>4.0</v>
      </c>
      <c r="K164" s="1">
        <v>4.0</v>
      </c>
      <c r="L164" s="1">
        <v>1.5</v>
      </c>
      <c r="M164" s="1">
        <v>1.5</v>
      </c>
      <c r="N164" s="1">
        <v>1.0</v>
      </c>
      <c r="Q164" s="1">
        <v>1.0</v>
      </c>
      <c r="S164" s="1">
        <v>2.5143269E7</v>
      </c>
      <c r="V164" s="1">
        <v>3.0</v>
      </c>
      <c r="AG164" s="1">
        <v>3.0</v>
      </c>
      <c r="AH164" s="1">
        <v>129.0</v>
      </c>
      <c r="AS164" s="1" t="s">
        <v>921</v>
      </c>
      <c r="AT164" s="1">
        <v>150000.0</v>
      </c>
      <c r="AV164" s="1">
        <v>0.03</v>
      </c>
      <c r="AZ164" s="1" t="s">
        <v>913</v>
      </c>
      <c r="BA164" s="1">
        <v>1.0</v>
      </c>
      <c r="BB164" s="1">
        <v>5.0</v>
      </c>
    </row>
    <row r="165" ht="15.75" customHeight="1">
      <c r="A165" s="1">
        <v>164.0</v>
      </c>
      <c r="B165" s="1">
        <v>2.0</v>
      </c>
      <c r="C165" s="1" t="s">
        <v>922</v>
      </c>
      <c r="F165" s="1">
        <v>28800.0</v>
      </c>
      <c r="H165" s="1">
        <v>50.0</v>
      </c>
      <c r="I165" s="1">
        <v>120000.0</v>
      </c>
      <c r="J165" s="1">
        <v>3.0</v>
      </c>
      <c r="K165" s="1">
        <v>3.0</v>
      </c>
      <c r="L165" s="1">
        <v>1.1</v>
      </c>
      <c r="M165" s="1">
        <v>1.5</v>
      </c>
      <c r="N165" s="1">
        <v>1.0</v>
      </c>
      <c r="Q165" s="1">
        <v>1.0</v>
      </c>
      <c r="S165" s="1">
        <v>3.0143269E7</v>
      </c>
      <c r="V165" s="1">
        <v>3.0</v>
      </c>
      <c r="AG165" s="1">
        <v>3.0</v>
      </c>
      <c r="AH165" s="1">
        <v>129.0</v>
      </c>
      <c r="AS165" s="1" t="s">
        <v>925</v>
      </c>
      <c r="AT165" s="1">
        <v>100000.0</v>
      </c>
      <c r="AV165" s="1">
        <v>0.02</v>
      </c>
      <c r="AZ165" s="1" t="s">
        <v>913</v>
      </c>
      <c r="BA165" s="1">
        <v>1.0</v>
      </c>
      <c r="BB165" s="1">
        <v>5.0</v>
      </c>
    </row>
    <row r="166" ht="15.75" customHeight="1">
      <c r="A166" s="1">
        <v>165.0</v>
      </c>
      <c r="B166" s="1">
        <v>2.0</v>
      </c>
      <c r="C166" s="1" t="s">
        <v>930</v>
      </c>
      <c r="F166" s="1">
        <v>28800.0</v>
      </c>
      <c r="H166" s="1">
        <v>50.0</v>
      </c>
      <c r="I166" s="1">
        <v>120000.0</v>
      </c>
      <c r="J166" s="1">
        <v>3.0</v>
      </c>
      <c r="K166" s="1">
        <v>3.0</v>
      </c>
      <c r="L166" s="1">
        <v>1.5</v>
      </c>
      <c r="M166" s="1">
        <v>1.5</v>
      </c>
      <c r="N166" s="1">
        <v>1.0</v>
      </c>
      <c r="Q166" s="1">
        <v>1.0</v>
      </c>
      <c r="S166" s="1">
        <v>2.0143269E7</v>
      </c>
      <c r="V166" s="1">
        <v>3.0</v>
      </c>
      <c r="AH166" s="1">
        <v>129.0</v>
      </c>
      <c r="AS166" s="1" t="s">
        <v>933</v>
      </c>
      <c r="AT166" s="1">
        <v>100000.0</v>
      </c>
      <c r="AV166" s="1">
        <v>0.02</v>
      </c>
      <c r="AZ166" s="1" t="s">
        <v>913</v>
      </c>
      <c r="BA166" s="1">
        <v>1.0</v>
      </c>
      <c r="BB166" s="1">
        <v>5.0</v>
      </c>
    </row>
    <row r="167" ht="15.75" customHeight="1">
      <c r="A167" s="1">
        <v>166.0</v>
      </c>
      <c r="B167" s="1">
        <v>2.0</v>
      </c>
      <c r="C167" s="1" t="s">
        <v>936</v>
      </c>
      <c r="F167" s="1">
        <v>30.0</v>
      </c>
      <c r="H167" s="1">
        <v>20.0</v>
      </c>
      <c r="I167" s="1">
        <v>489.0</v>
      </c>
      <c r="J167" s="1">
        <v>1.0</v>
      </c>
      <c r="K167" s="1">
        <v>1.0</v>
      </c>
      <c r="L167" s="1">
        <v>1.5</v>
      </c>
      <c r="M167" s="1">
        <v>1.5</v>
      </c>
      <c r="N167" s="1">
        <v>1.0</v>
      </c>
      <c r="Q167" s="1">
        <v>1.0</v>
      </c>
      <c r="V167" s="1">
        <v>4.0</v>
      </c>
      <c r="AH167" s="1">
        <v>127.0</v>
      </c>
      <c r="AT167" s="1">
        <v>65.0</v>
      </c>
      <c r="AZ167" s="1" t="s">
        <v>939</v>
      </c>
    </row>
    <row r="168" ht="15.75" customHeight="1">
      <c r="A168" s="1">
        <v>167.0</v>
      </c>
      <c r="B168" s="1">
        <v>2.0</v>
      </c>
      <c r="C168" s="1" t="s">
        <v>941</v>
      </c>
      <c r="F168" s="1">
        <v>3600.0</v>
      </c>
      <c r="H168" s="1">
        <v>25.0</v>
      </c>
      <c r="I168" s="1">
        <v>1000.0</v>
      </c>
      <c r="J168" s="1">
        <v>1.0</v>
      </c>
      <c r="K168" s="1">
        <v>1.0</v>
      </c>
      <c r="L168" s="1">
        <v>1.3</v>
      </c>
      <c r="M168" s="1">
        <v>1.2</v>
      </c>
      <c r="N168" s="1">
        <v>1.0</v>
      </c>
      <c r="Q168" s="1">
        <v>1.0</v>
      </c>
      <c r="V168" s="1">
        <v>3.0</v>
      </c>
      <c r="AH168" s="1">
        <v>10147.0</v>
      </c>
      <c r="AT168" s="1">
        <v>90.0</v>
      </c>
      <c r="AZ168" s="1" t="s">
        <v>943</v>
      </c>
    </row>
    <row r="169" ht="15.75" customHeight="1">
      <c r="A169" s="1">
        <v>168.0</v>
      </c>
      <c r="B169" s="1">
        <v>2.0</v>
      </c>
      <c r="C169" s="1" t="s">
        <v>946</v>
      </c>
      <c r="F169" s="1">
        <v>30.0</v>
      </c>
      <c r="H169" s="1">
        <v>30.0</v>
      </c>
      <c r="I169" s="1">
        <v>600.0</v>
      </c>
      <c r="J169" s="1">
        <v>1.0</v>
      </c>
      <c r="K169" s="1">
        <v>1.0</v>
      </c>
      <c r="L169" s="1">
        <v>1.5</v>
      </c>
      <c r="M169" s="1">
        <v>1.5</v>
      </c>
      <c r="N169" s="1">
        <v>1.0</v>
      </c>
      <c r="Q169" s="1">
        <v>1.0</v>
      </c>
      <c r="V169" s="1">
        <v>4.0</v>
      </c>
      <c r="AH169" s="1">
        <v>10146.0</v>
      </c>
      <c r="AT169" s="1">
        <v>100.0</v>
      </c>
      <c r="AZ169" s="1" t="s">
        <v>950</v>
      </c>
    </row>
    <row r="170" ht="15.75" customHeight="1">
      <c r="A170" s="1">
        <v>169.0</v>
      </c>
      <c r="B170" s="1">
        <v>2.0</v>
      </c>
      <c r="C170" s="1" t="s">
        <v>952</v>
      </c>
      <c r="F170" s="1">
        <v>3600.0</v>
      </c>
      <c r="H170" s="1">
        <v>35.0</v>
      </c>
      <c r="I170" s="1">
        <v>2000.0</v>
      </c>
      <c r="J170" s="1">
        <v>1.0</v>
      </c>
      <c r="K170" s="1">
        <v>1.0</v>
      </c>
      <c r="L170" s="1">
        <v>1.3</v>
      </c>
      <c r="M170" s="1">
        <v>1.2</v>
      </c>
      <c r="N170" s="1">
        <v>1.0</v>
      </c>
      <c r="Q170" s="1">
        <v>1.0</v>
      </c>
      <c r="V170" s="1">
        <v>3.0</v>
      </c>
      <c r="AH170" s="1">
        <v>10147.0</v>
      </c>
      <c r="AT170" s="1">
        <v>140.0</v>
      </c>
      <c r="AZ170" s="1" t="s">
        <v>955</v>
      </c>
    </row>
    <row r="171" ht="15.75" customHeight="1">
      <c r="A171" s="1">
        <v>170.0</v>
      </c>
      <c r="B171" s="1">
        <v>13.0</v>
      </c>
      <c r="C171" s="1" t="s">
        <v>956</v>
      </c>
      <c r="F171" s="1">
        <v>30.0</v>
      </c>
      <c r="H171" s="1">
        <v>50.0</v>
      </c>
      <c r="L171" s="1">
        <v>0.0</v>
      </c>
      <c r="M171" s="1">
        <v>0.0</v>
      </c>
      <c r="N171" s="1">
        <v>1.0</v>
      </c>
      <c r="R171" s="1">
        <v>1.0</v>
      </c>
      <c r="V171" s="1">
        <v>3.0</v>
      </c>
      <c r="AG171" s="1">
        <v>5.0</v>
      </c>
      <c r="AM171" s="1">
        <v>1.0</v>
      </c>
      <c r="AN171" s="1">
        <v>34.0</v>
      </c>
      <c r="AS171" s="1" t="s">
        <v>960</v>
      </c>
      <c r="AT171" s="1">
        <v>70000.0</v>
      </c>
      <c r="AV171" s="1">
        <v>0.2</v>
      </c>
    </row>
    <row r="172" ht="15.75" customHeight="1">
      <c r="A172" s="1">
        <v>171.0</v>
      </c>
      <c r="B172" s="1">
        <v>2.0</v>
      </c>
      <c r="C172" s="1" t="s">
        <v>962</v>
      </c>
      <c r="F172" s="1">
        <v>7200.0</v>
      </c>
      <c r="H172" s="1">
        <v>50.0</v>
      </c>
      <c r="K172" s="1">
        <v>1.0</v>
      </c>
      <c r="L172" s="1">
        <v>1.0</v>
      </c>
      <c r="M172" s="1">
        <v>0.0</v>
      </c>
      <c r="N172" s="1">
        <v>1.0</v>
      </c>
      <c r="S172" s="1">
        <v>300000.0</v>
      </c>
      <c r="V172" s="1">
        <v>3.0</v>
      </c>
      <c r="AH172" s="1">
        <v>129.0</v>
      </c>
      <c r="AS172" s="1" t="s">
        <v>964</v>
      </c>
      <c r="AT172" s="1">
        <v>1000.0</v>
      </c>
      <c r="AZ172" s="1" t="s">
        <v>965</v>
      </c>
    </row>
    <row r="173" ht="15.75" customHeight="1">
      <c r="A173" s="1">
        <v>172.0</v>
      </c>
      <c r="B173" s="1">
        <v>2.0</v>
      </c>
      <c r="C173" s="1" t="s">
        <v>967</v>
      </c>
      <c r="F173" s="1">
        <v>7200.0</v>
      </c>
      <c r="H173" s="1">
        <v>50.0</v>
      </c>
      <c r="K173" s="1">
        <v>3.0</v>
      </c>
      <c r="L173" s="1">
        <v>1.0</v>
      </c>
      <c r="M173" s="1">
        <v>0.0</v>
      </c>
      <c r="N173" s="1">
        <v>1.0</v>
      </c>
      <c r="S173" s="1">
        <v>900000.0</v>
      </c>
      <c r="V173" s="1">
        <v>3.0</v>
      </c>
      <c r="AH173" s="1">
        <v>129.0</v>
      </c>
      <c r="AS173" s="1" t="s">
        <v>969</v>
      </c>
      <c r="AT173" s="1">
        <v>3000.0</v>
      </c>
      <c r="AZ173" s="1" t="s">
        <v>809</v>
      </c>
    </row>
    <row r="174" ht="15.75" customHeight="1">
      <c r="A174" s="1">
        <v>173.0</v>
      </c>
      <c r="B174" s="1">
        <v>2.0</v>
      </c>
      <c r="C174" s="1" t="s">
        <v>970</v>
      </c>
      <c r="F174" s="1">
        <v>7200.0</v>
      </c>
      <c r="H174" s="1">
        <v>50.0</v>
      </c>
      <c r="K174" s="1">
        <v>1.0</v>
      </c>
      <c r="L174" s="1">
        <v>1.0</v>
      </c>
      <c r="M174" s="1">
        <v>0.0</v>
      </c>
      <c r="N174" s="1">
        <v>1.0</v>
      </c>
      <c r="S174" s="1">
        <v>300000.0</v>
      </c>
      <c r="V174" s="1">
        <v>3.0</v>
      </c>
      <c r="AH174" s="1">
        <v>129.0</v>
      </c>
      <c r="AS174" s="1" t="s">
        <v>972</v>
      </c>
      <c r="AT174" s="1">
        <v>1000.0</v>
      </c>
      <c r="AZ174" s="1" t="s">
        <v>973</v>
      </c>
    </row>
    <row r="175" ht="15.75" customHeight="1">
      <c r="A175" s="1">
        <v>174.0</v>
      </c>
      <c r="B175" s="1">
        <v>2.0</v>
      </c>
      <c r="C175" s="1" t="s">
        <v>974</v>
      </c>
      <c r="F175" s="1">
        <v>7200.0</v>
      </c>
      <c r="H175" s="1">
        <v>50.0</v>
      </c>
      <c r="K175" s="1">
        <v>3.0</v>
      </c>
      <c r="L175" s="1">
        <v>1.0</v>
      </c>
      <c r="M175" s="1">
        <v>0.0</v>
      </c>
      <c r="N175" s="1">
        <v>1.0</v>
      </c>
      <c r="S175" s="1">
        <v>900000.0</v>
      </c>
      <c r="V175" s="1">
        <v>3.0</v>
      </c>
      <c r="AH175" s="1">
        <v>129.0</v>
      </c>
      <c r="AS175" s="1" t="s">
        <v>977</v>
      </c>
      <c r="AT175" s="1">
        <v>3000.0</v>
      </c>
      <c r="AZ175" s="1" t="s">
        <v>978</v>
      </c>
    </row>
    <row r="176" ht="15.75" customHeight="1">
      <c r="A176" s="1">
        <v>175.0</v>
      </c>
      <c r="B176" s="1">
        <v>2.0</v>
      </c>
      <c r="C176" s="1" t="s">
        <v>981</v>
      </c>
      <c r="F176" s="1">
        <v>7200.0</v>
      </c>
      <c r="H176" s="1">
        <v>50.0</v>
      </c>
      <c r="I176" s="1">
        <v>300000.0</v>
      </c>
      <c r="J176" s="1">
        <v>4.0</v>
      </c>
      <c r="K176" s="1">
        <v>4.0</v>
      </c>
      <c r="L176" s="1">
        <v>1.4</v>
      </c>
      <c r="M176" s="1">
        <v>1.0</v>
      </c>
      <c r="N176" s="1">
        <v>1.0</v>
      </c>
      <c r="Q176" s="1">
        <v>1.0</v>
      </c>
      <c r="S176" s="1">
        <v>3.0143269E7</v>
      </c>
      <c r="V176" s="1">
        <v>3.0</v>
      </c>
      <c r="AH176" s="1">
        <v>10128.0</v>
      </c>
      <c r="AT176" s="1">
        <v>2000000.0</v>
      </c>
      <c r="AV176" s="1">
        <v>0.05</v>
      </c>
      <c r="AZ176" s="1" t="s">
        <v>983</v>
      </c>
      <c r="BA176" s="1">
        <v>1.0</v>
      </c>
      <c r="BB176" s="1">
        <v>5.0</v>
      </c>
    </row>
    <row r="177" ht="15.75" customHeight="1">
      <c r="A177" s="1">
        <v>176.0</v>
      </c>
      <c r="B177" s="1">
        <v>2.0</v>
      </c>
      <c r="C177" s="1" t="s">
        <v>985</v>
      </c>
      <c r="F177" s="1">
        <v>7200.0</v>
      </c>
      <c r="H177" s="1">
        <v>50.0</v>
      </c>
      <c r="I177" s="1">
        <v>300000.0</v>
      </c>
      <c r="J177" s="1">
        <v>4.0</v>
      </c>
      <c r="K177" s="1">
        <v>4.0</v>
      </c>
      <c r="L177" s="1">
        <v>1.2</v>
      </c>
      <c r="M177" s="1">
        <v>1.0</v>
      </c>
      <c r="Q177" s="1">
        <v>1.0</v>
      </c>
      <c r="S177" s="1">
        <v>5.0143269E7</v>
      </c>
      <c r="V177" s="1">
        <v>3.0</v>
      </c>
      <c r="AH177" s="1">
        <v>10125.0</v>
      </c>
      <c r="AT177" s="1">
        <v>3400000.0</v>
      </c>
      <c r="AV177" s="1">
        <v>0.05</v>
      </c>
      <c r="AZ177" s="1" t="s">
        <v>986</v>
      </c>
      <c r="BA177" s="1">
        <v>1.0</v>
      </c>
      <c r="BB177" s="1">
        <v>5.0</v>
      </c>
    </row>
    <row r="178" ht="15.75" customHeight="1">
      <c r="A178" s="1">
        <v>177.0</v>
      </c>
      <c r="B178" s="1">
        <v>2.0</v>
      </c>
      <c r="C178" s="1" t="s">
        <v>988</v>
      </c>
      <c r="F178" s="1">
        <v>20800.0</v>
      </c>
      <c r="H178" s="1">
        <v>50.0</v>
      </c>
      <c r="I178" s="1">
        <v>300000.0</v>
      </c>
      <c r="J178" s="1">
        <v>4.0</v>
      </c>
      <c r="K178" s="1">
        <v>4.0</v>
      </c>
      <c r="L178" s="1">
        <v>1.2</v>
      </c>
      <c r="M178" s="1">
        <v>1.0</v>
      </c>
      <c r="N178" s="1">
        <v>1.0</v>
      </c>
      <c r="Q178" s="1">
        <v>1.0</v>
      </c>
      <c r="S178" s="1">
        <v>7.0143269E7</v>
      </c>
      <c r="V178" s="1">
        <v>3.0</v>
      </c>
      <c r="AH178" s="1">
        <v>10106.0</v>
      </c>
      <c r="AT178" s="1">
        <v>3600000.0</v>
      </c>
      <c r="AV178" s="1">
        <v>0.05</v>
      </c>
      <c r="AZ178" s="1" t="s">
        <v>986</v>
      </c>
      <c r="BA178" s="1">
        <v>1.0</v>
      </c>
      <c r="BB178" s="1">
        <v>5.0</v>
      </c>
    </row>
    <row r="179" ht="15.75" customHeight="1">
      <c r="A179" s="1">
        <v>178.0</v>
      </c>
      <c r="B179" s="1">
        <v>2.0</v>
      </c>
      <c r="C179" s="1" t="s">
        <v>990</v>
      </c>
      <c r="F179" s="1">
        <v>20800.0</v>
      </c>
      <c r="H179" s="1">
        <v>50.0</v>
      </c>
      <c r="I179" s="1">
        <v>300000.0</v>
      </c>
      <c r="J179" s="1">
        <v>4.0</v>
      </c>
      <c r="K179" s="1">
        <v>4.0</v>
      </c>
      <c r="L179" s="1">
        <v>1.2</v>
      </c>
      <c r="M179" s="1">
        <v>1.0</v>
      </c>
      <c r="N179" s="1">
        <v>1.0</v>
      </c>
      <c r="Q179" s="1">
        <v>1.0</v>
      </c>
      <c r="S179" s="1">
        <v>1.00143269E8</v>
      </c>
      <c r="V179" s="1">
        <v>3.0</v>
      </c>
      <c r="AH179" s="1">
        <v>10106.0</v>
      </c>
      <c r="AT179" s="1">
        <v>4000000.0</v>
      </c>
      <c r="AV179" s="1">
        <v>0.05</v>
      </c>
      <c r="AZ179" s="1" t="s">
        <v>986</v>
      </c>
      <c r="BA179" s="1">
        <v>1.0</v>
      </c>
      <c r="BB179" s="1">
        <v>5.0</v>
      </c>
    </row>
    <row r="180" ht="15.75" customHeight="1">
      <c r="A180" s="1">
        <v>179.0</v>
      </c>
      <c r="B180" s="1">
        <v>2.0</v>
      </c>
      <c r="C180" s="1" t="s">
        <v>992</v>
      </c>
      <c r="F180" s="1">
        <v>20800.0</v>
      </c>
      <c r="H180" s="1">
        <v>50.0</v>
      </c>
      <c r="I180" s="1">
        <v>300000.0</v>
      </c>
      <c r="J180" s="1">
        <v>4.0</v>
      </c>
      <c r="K180" s="1">
        <v>4.0</v>
      </c>
      <c r="L180" s="1">
        <v>1.2</v>
      </c>
      <c r="M180" s="1">
        <v>1.0</v>
      </c>
      <c r="N180" s="1">
        <v>1.0</v>
      </c>
      <c r="Q180" s="1">
        <v>1.0</v>
      </c>
      <c r="S180" s="1">
        <v>8.0143269E7</v>
      </c>
      <c r="V180" s="1">
        <v>3.0</v>
      </c>
      <c r="AH180" s="1">
        <v>10106.0</v>
      </c>
      <c r="AT180" s="1">
        <v>3800000.0</v>
      </c>
      <c r="AV180" s="1">
        <v>0.05</v>
      </c>
      <c r="AZ180" s="1" t="s">
        <v>986</v>
      </c>
      <c r="BA180" s="1">
        <v>1.0</v>
      </c>
      <c r="BB180" s="1">
        <v>5.0</v>
      </c>
    </row>
    <row r="181" ht="15.75" customHeight="1">
      <c r="A181" s="1">
        <v>180.0</v>
      </c>
      <c r="B181" s="1">
        <v>13.0</v>
      </c>
      <c r="C181" s="1" t="s">
        <v>994</v>
      </c>
      <c r="F181" s="1">
        <v>30.0</v>
      </c>
      <c r="H181" s="1">
        <v>50.0</v>
      </c>
      <c r="J181" s="1">
        <v>4.0</v>
      </c>
      <c r="L181" s="1">
        <v>0.0</v>
      </c>
      <c r="M181" s="1">
        <v>0.0</v>
      </c>
      <c r="N181" s="1">
        <v>1.0</v>
      </c>
      <c r="R181" s="1">
        <v>1.0</v>
      </c>
      <c r="V181" s="1">
        <v>3.0</v>
      </c>
      <c r="AG181" s="1">
        <v>5.0</v>
      </c>
      <c r="AM181" s="1">
        <v>1.0</v>
      </c>
      <c r="AS181" s="1" t="s">
        <v>552</v>
      </c>
      <c r="AT181" s="1">
        <v>70000.0</v>
      </c>
      <c r="AV181" s="1">
        <v>0.2</v>
      </c>
      <c r="BC181" s="1">
        <v>1.0</v>
      </c>
    </row>
    <row r="182" ht="15.75" customHeight="1">
      <c r="A182" s="1">
        <v>181.0</v>
      </c>
      <c r="B182" s="1">
        <v>13.0</v>
      </c>
      <c r="C182" s="1" t="s">
        <v>996</v>
      </c>
      <c r="F182" s="1">
        <v>30.0</v>
      </c>
      <c r="H182" s="1">
        <v>50.0</v>
      </c>
      <c r="J182" s="1">
        <v>3.0</v>
      </c>
      <c r="L182" s="1">
        <v>0.0</v>
      </c>
      <c r="M182" s="1">
        <v>0.0</v>
      </c>
      <c r="Q182" s="1">
        <v>1.0</v>
      </c>
      <c r="R182" s="1">
        <v>1.0</v>
      </c>
      <c r="S182" s="1">
        <v>316298.0</v>
      </c>
      <c r="V182" s="1">
        <v>3.0</v>
      </c>
      <c r="AG182" s="1">
        <v>4.0</v>
      </c>
      <c r="AH182" s="1">
        <v>11.0</v>
      </c>
      <c r="AM182" s="1">
        <v>1.0</v>
      </c>
      <c r="AS182" s="1" t="s">
        <v>783</v>
      </c>
      <c r="AT182" s="1">
        <v>70000.0</v>
      </c>
      <c r="AV182" s="1">
        <v>0.2</v>
      </c>
    </row>
    <row r="183" ht="15.75" customHeight="1">
      <c r="A183" s="1">
        <v>182.0</v>
      </c>
      <c r="B183" s="1">
        <v>13.0</v>
      </c>
      <c r="C183" s="1" t="s">
        <v>998</v>
      </c>
      <c r="F183" s="1">
        <v>30.0</v>
      </c>
      <c r="H183" s="1">
        <v>50.0</v>
      </c>
      <c r="L183" s="1">
        <v>0.0</v>
      </c>
      <c r="M183" s="1">
        <v>0.0</v>
      </c>
      <c r="N183" s="1">
        <v>1.0</v>
      </c>
      <c r="R183" s="1">
        <v>1.0</v>
      </c>
      <c r="V183" s="1">
        <v>3.0</v>
      </c>
      <c r="AM183" s="1">
        <v>1.0</v>
      </c>
      <c r="AN183" s="1">
        <v>34.0</v>
      </c>
      <c r="AS183" s="1" t="s">
        <v>579</v>
      </c>
      <c r="AT183" s="1">
        <v>70000.0</v>
      </c>
      <c r="AV183" s="1">
        <v>0.2</v>
      </c>
    </row>
    <row r="184" ht="15.75" customHeight="1">
      <c r="A184" s="1">
        <v>183.0</v>
      </c>
      <c r="B184" s="1" t="s">
        <v>1000</v>
      </c>
      <c r="C184" s="1" t="s">
        <v>1002</v>
      </c>
      <c r="F184" s="1">
        <v>30.0</v>
      </c>
      <c r="H184" s="1">
        <v>50.0</v>
      </c>
      <c r="L184" s="1">
        <v>0.0</v>
      </c>
      <c r="M184" s="1">
        <v>0.0</v>
      </c>
      <c r="N184" s="1">
        <v>1.0</v>
      </c>
      <c r="R184" s="1">
        <v>1.0</v>
      </c>
      <c r="V184" s="1">
        <v>3.0</v>
      </c>
      <c r="AG184" s="1">
        <v>4.0</v>
      </c>
      <c r="AH184" s="1">
        <v>1.0</v>
      </c>
      <c r="AM184" s="1">
        <v>1.0</v>
      </c>
      <c r="AN184" s="1">
        <v>34.0</v>
      </c>
      <c r="AS184" s="1" t="s">
        <v>1005</v>
      </c>
      <c r="AT184" s="1">
        <v>70000.0</v>
      </c>
      <c r="AV184" s="1">
        <v>0.2</v>
      </c>
      <c r="BD184" s="1">
        <v>1.0</v>
      </c>
    </row>
    <row r="185" ht="15.75" customHeight="1">
      <c r="A185" s="1">
        <v>184.0</v>
      </c>
      <c r="B185" s="1" t="s">
        <v>1000</v>
      </c>
      <c r="C185" s="1" t="s">
        <v>1006</v>
      </c>
      <c r="F185" s="1">
        <v>30.0</v>
      </c>
      <c r="H185" s="1">
        <v>50.0</v>
      </c>
      <c r="L185" s="1">
        <v>0.0</v>
      </c>
      <c r="M185" s="1">
        <v>0.0</v>
      </c>
      <c r="N185" s="1">
        <v>1.0</v>
      </c>
      <c r="R185" s="1">
        <v>1.0</v>
      </c>
      <c r="V185" s="1">
        <v>3.0</v>
      </c>
      <c r="AG185" s="1">
        <v>4.0</v>
      </c>
      <c r="AH185" s="1">
        <v>1.0</v>
      </c>
      <c r="AM185" s="1">
        <v>3.0</v>
      </c>
      <c r="AN185" s="1">
        <v>35.0</v>
      </c>
      <c r="AS185" s="1" t="s">
        <v>1009</v>
      </c>
      <c r="AT185" s="1">
        <v>70000.0</v>
      </c>
      <c r="AV185" s="1">
        <v>0.2</v>
      </c>
      <c r="BD185" s="1">
        <v>3.0</v>
      </c>
    </row>
    <row r="186" ht="15.75" customHeight="1">
      <c r="A186" s="1">
        <v>185.0</v>
      </c>
      <c r="B186" s="1" t="s">
        <v>1000</v>
      </c>
      <c r="C186" s="1" t="s">
        <v>1010</v>
      </c>
      <c r="F186" s="1">
        <v>30.0</v>
      </c>
      <c r="H186" s="1">
        <v>50.0</v>
      </c>
      <c r="L186" s="1">
        <v>0.0</v>
      </c>
      <c r="M186" s="1">
        <v>0.0</v>
      </c>
      <c r="N186" s="1">
        <v>1.0</v>
      </c>
      <c r="R186" s="1">
        <v>1.0</v>
      </c>
      <c r="V186" s="1">
        <v>3.0</v>
      </c>
      <c r="AH186" s="1">
        <v>1.0</v>
      </c>
      <c r="AM186" s="1">
        <v>1.0</v>
      </c>
      <c r="AN186" s="1">
        <v>31.0</v>
      </c>
      <c r="AS186" s="1" t="s">
        <v>579</v>
      </c>
      <c r="AT186" s="1">
        <v>70000.0</v>
      </c>
      <c r="AV186" s="1">
        <v>0.2</v>
      </c>
      <c r="BD186" s="1">
        <v>5.0</v>
      </c>
    </row>
    <row r="187" ht="15.75" customHeight="1">
      <c r="A187" s="1">
        <v>186.0</v>
      </c>
      <c r="B187" s="1" t="s">
        <v>1000</v>
      </c>
      <c r="C187" s="1" t="s">
        <v>1014</v>
      </c>
      <c r="F187" s="1">
        <v>30.0</v>
      </c>
      <c r="H187" s="1">
        <v>50.0</v>
      </c>
      <c r="L187" s="1">
        <v>0.0</v>
      </c>
      <c r="M187" s="1">
        <v>0.0</v>
      </c>
      <c r="N187" s="1">
        <v>1.0</v>
      </c>
      <c r="R187" s="1">
        <v>1.0</v>
      </c>
      <c r="V187" s="1">
        <v>3.0</v>
      </c>
      <c r="AH187" s="1">
        <v>1.0</v>
      </c>
      <c r="AM187" s="1">
        <v>1.0</v>
      </c>
      <c r="AN187" s="1">
        <v>31.0</v>
      </c>
      <c r="AS187" s="1" t="s">
        <v>579</v>
      </c>
      <c r="AT187" s="1">
        <v>70000.0</v>
      </c>
      <c r="AV187" s="1">
        <v>0.2</v>
      </c>
      <c r="BD187" s="1">
        <v>6.0</v>
      </c>
    </row>
    <row r="188" ht="15.75" customHeight="1">
      <c r="A188" s="1">
        <v>187.0</v>
      </c>
      <c r="B188" s="1" t="s">
        <v>1000</v>
      </c>
      <c r="C188" s="1" t="s">
        <v>1017</v>
      </c>
      <c r="F188" s="1">
        <v>30.0</v>
      </c>
      <c r="H188" s="1">
        <v>50.0</v>
      </c>
      <c r="L188" s="1">
        <v>0.0</v>
      </c>
      <c r="M188" s="1">
        <v>0.0</v>
      </c>
      <c r="N188" s="1">
        <v>1.0</v>
      </c>
      <c r="R188" s="1">
        <v>1.0</v>
      </c>
      <c r="V188" s="1">
        <v>3.0</v>
      </c>
      <c r="AH188" s="1">
        <v>1.0</v>
      </c>
      <c r="AM188" s="1">
        <v>1.0</v>
      </c>
      <c r="AN188" s="1">
        <v>31.0</v>
      </c>
      <c r="AS188" s="1" t="s">
        <v>579</v>
      </c>
      <c r="AT188" s="1">
        <v>70000.0</v>
      </c>
      <c r="AV188" s="1">
        <v>0.2</v>
      </c>
      <c r="BD188" s="1">
        <v>7.0</v>
      </c>
    </row>
    <row r="189" ht="15.75" customHeight="1">
      <c r="A189" s="1">
        <v>188.0</v>
      </c>
      <c r="B189" s="1" t="s">
        <v>1000</v>
      </c>
      <c r="C189" s="1" t="s">
        <v>1019</v>
      </c>
      <c r="F189" s="1">
        <v>30.0</v>
      </c>
      <c r="H189" s="1">
        <v>50.0</v>
      </c>
      <c r="L189" s="1">
        <v>0.0</v>
      </c>
      <c r="M189" s="1">
        <v>0.0</v>
      </c>
      <c r="N189" s="1">
        <v>1.0</v>
      </c>
      <c r="R189" s="1">
        <v>1.0</v>
      </c>
      <c r="V189" s="1">
        <v>3.0</v>
      </c>
      <c r="AH189" s="1">
        <v>1.0</v>
      </c>
      <c r="AM189" s="1">
        <v>1.0</v>
      </c>
      <c r="AN189" s="1">
        <v>31.0</v>
      </c>
      <c r="AS189" s="1" t="s">
        <v>579</v>
      </c>
      <c r="AT189" s="1">
        <v>70000.0</v>
      </c>
      <c r="AV189" s="1">
        <v>0.2</v>
      </c>
      <c r="BD189" s="1">
        <v>8.0</v>
      </c>
    </row>
    <row r="190" ht="15.75" customHeight="1">
      <c r="A190" s="1">
        <v>189.0</v>
      </c>
      <c r="B190" s="1" t="s">
        <v>1000</v>
      </c>
      <c r="C190" s="1" t="s">
        <v>1022</v>
      </c>
      <c r="F190" s="1">
        <v>30.0</v>
      </c>
      <c r="H190" s="1">
        <v>50.0</v>
      </c>
      <c r="L190" s="1">
        <v>0.0</v>
      </c>
      <c r="M190" s="1">
        <v>0.0</v>
      </c>
      <c r="N190" s="1">
        <v>1.0</v>
      </c>
      <c r="R190" s="1">
        <v>1.0</v>
      </c>
      <c r="V190" s="1">
        <v>3.0</v>
      </c>
      <c r="AH190" s="1">
        <v>1.0</v>
      </c>
      <c r="AM190" s="1">
        <v>1.0</v>
      </c>
      <c r="AN190" s="1">
        <v>31.0</v>
      </c>
      <c r="AS190" s="1" t="s">
        <v>579</v>
      </c>
      <c r="AT190" s="1">
        <v>70000.0</v>
      </c>
      <c r="AV190" s="1">
        <v>0.2</v>
      </c>
      <c r="BD190" s="1">
        <v>9.0</v>
      </c>
    </row>
    <row r="191" ht="15.75" customHeight="1">
      <c r="A191" s="1">
        <v>190.0</v>
      </c>
      <c r="B191" s="1" t="s">
        <v>1000</v>
      </c>
      <c r="C191" s="1" t="s">
        <v>1025</v>
      </c>
      <c r="F191" s="1">
        <v>30.0</v>
      </c>
      <c r="H191" s="1">
        <v>50.0</v>
      </c>
      <c r="L191" s="1">
        <v>0.0</v>
      </c>
      <c r="M191" s="1">
        <v>0.0</v>
      </c>
      <c r="N191" s="1">
        <v>1.0</v>
      </c>
      <c r="R191" s="1">
        <v>1.0</v>
      </c>
      <c r="V191" s="1">
        <v>3.0</v>
      </c>
      <c r="AH191" s="1">
        <v>1.0</v>
      </c>
      <c r="AM191" s="1">
        <v>1.0</v>
      </c>
      <c r="AN191" s="1">
        <v>31.0</v>
      </c>
      <c r="AS191" s="1" t="s">
        <v>579</v>
      </c>
      <c r="AT191" s="1">
        <v>70000.0</v>
      </c>
      <c r="AV191" s="1">
        <v>0.2</v>
      </c>
      <c r="BD191" s="1">
        <v>10.0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1043</v>
      </c>
      <c r="B1" s="1" t="s">
        <v>1044</v>
      </c>
      <c r="C1" s="1" t="s">
        <v>1045</v>
      </c>
      <c r="D1" s="1" t="s">
        <v>1046</v>
      </c>
      <c r="F1" s="1" t="s">
        <v>1047</v>
      </c>
      <c r="G1" s="1" t="s">
        <v>1048</v>
      </c>
    </row>
    <row r="2">
      <c r="A2" s="1">
        <v>1.0</v>
      </c>
      <c r="B2" s="1">
        <v>1.0</v>
      </c>
      <c r="C2" s="1">
        <v>80.0</v>
      </c>
      <c r="D2" s="1">
        <v>35.0</v>
      </c>
      <c r="F2" s="1" t="str">
        <f>LOOKUP(A2, NPCs!A:A, NPCs!C:C)</f>
        <v>Mouse</v>
      </c>
      <c r="G2" s="1" t="str">
        <f>LOOKUP(B2, Maps!A:A, Maps!B:B)</f>
        <v>Minita</v>
      </c>
    </row>
    <row r="3">
      <c r="A3" s="1">
        <v>1.0</v>
      </c>
      <c r="B3" s="1">
        <v>1.0</v>
      </c>
      <c r="C3" s="1">
        <v>85.0</v>
      </c>
      <c r="D3" s="1">
        <v>35.0</v>
      </c>
      <c r="F3" s="1" t="str">
        <f>LOOKUP(A3, NPCs!A:A, NPCs!C:C)</f>
        <v>Mouse</v>
      </c>
      <c r="G3" s="1" t="str">
        <f>LOOKUP(B3, Maps!A:A, Maps!B:B)</f>
        <v>Minita</v>
      </c>
    </row>
    <row r="4">
      <c r="A4" s="1">
        <v>1.0</v>
      </c>
      <c r="B4" s="1">
        <v>1.0</v>
      </c>
      <c r="C4" s="1">
        <v>90.0</v>
      </c>
      <c r="D4" s="1">
        <v>35.0</v>
      </c>
      <c r="F4" s="1" t="str">
        <f>LOOKUP(A4, NPCs!A:A, NPCs!C:C)</f>
        <v>Mouse</v>
      </c>
      <c r="G4" s="1" t="str">
        <f>LOOKUP(B4, Maps!A:A, Maps!B:B)</f>
        <v>Minita</v>
      </c>
    </row>
    <row r="5">
      <c r="A5" s="1">
        <v>1.0</v>
      </c>
      <c r="B5" s="1">
        <v>1.0</v>
      </c>
      <c r="C5" s="1">
        <v>80.0</v>
      </c>
      <c r="D5" s="1">
        <v>40.0</v>
      </c>
      <c r="F5" s="1" t="str">
        <f>LOOKUP(A5, NPCs!A:A, NPCs!C:C)</f>
        <v>Mouse</v>
      </c>
      <c r="G5" s="1" t="str">
        <f>LOOKUP(B5, Maps!A:A, Maps!B:B)</f>
        <v>Minita</v>
      </c>
    </row>
    <row r="6">
      <c r="A6" s="1">
        <v>1.0</v>
      </c>
      <c r="B6" s="1">
        <v>1.0</v>
      </c>
      <c r="C6" s="1">
        <v>85.0</v>
      </c>
      <c r="D6" s="1">
        <v>40.0</v>
      </c>
      <c r="F6" s="1" t="str">
        <f>LOOKUP(A6, NPCs!A:A, NPCs!C:C)</f>
        <v>Mouse</v>
      </c>
      <c r="G6" s="1" t="str">
        <f>LOOKUP(B6, Maps!A:A, Maps!B:B)</f>
        <v>Minita</v>
      </c>
    </row>
    <row r="7">
      <c r="A7" s="1">
        <v>1.0</v>
      </c>
      <c r="B7" s="1">
        <v>1.0</v>
      </c>
      <c r="C7" s="1">
        <v>90.0</v>
      </c>
      <c r="D7" s="1">
        <v>40.0</v>
      </c>
      <c r="F7" s="1" t="str">
        <f>LOOKUP(A7, NPCs!A:A, NPCs!C:C)</f>
        <v>Mouse</v>
      </c>
      <c r="G7" s="1" t="str">
        <f>LOOKUP(B7, Maps!A:A, Maps!B:B)</f>
        <v>Minita</v>
      </c>
    </row>
    <row r="8">
      <c r="A8" s="1">
        <v>1.0</v>
      </c>
      <c r="B8" s="1">
        <v>1.0</v>
      </c>
      <c r="C8" s="1">
        <v>80.0</v>
      </c>
      <c r="D8" s="1">
        <v>50.0</v>
      </c>
      <c r="F8" s="1" t="str">
        <f>LOOKUP(A8, NPCs!A:A, NPCs!C:C)</f>
        <v>Mouse</v>
      </c>
      <c r="G8" s="1" t="str">
        <f>LOOKUP(B8, Maps!A:A, Maps!B:B)</f>
        <v>Minita</v>
      </c>
    </row>
    <row r="9">
      <c r="A9" s="1">
        <v>1.0</v>
      </c>
      <c r="B9" s="1">
        <v>1.0</v>
      </c>
      <c r="C9" s="1">
        <v>85.0</v>
      </c>
      <c r="D9" s="1">
        <v>50.0</v>
      </c>
      <c r="F9" s="1" t="str">
        <f>LOOKUP(A9, NPCs!A:A, NPCs!C:C)</f>
        <v>Mouse</v>
      </c>
      <c r="G9" s="1" t="str">
        <f>LOOKUP(B9, Maps!A:A, Maps!B:B)</f>
        <v>Minita</v>
      </c>
    </row>
    <row r="10">
      <c r="A10" s="1">
        <v>1.0</v>
      </c>
      <c r="B10" s="1">
        <v>1.0</v>
      </c>
      <c r="C10" s="1">
        <v>90.0</v>
      </c>
      <c r="D10" s="1">
        <v>50.0</v>
      </c>
      <c r="F10" s="1" t="str">
        <f>LOOKUP(A10, NPCs!A:A, NPCs!C:C)</f>
        <v>Mouse</v>
      </c>
      <c r="G10" s="1" t="str">
        <f>LOOKUP(B10, Maps!A:A, Maps!B:B)</f>
        <v>Minita</v>
      </c>
    </row>
    <row r="11">
      <c r="A11" s="1">
        <v>1.0</v>
      </c>
      <c r="B11" s="1">
        <v>1.0</v>
      </c>
      <c r="C11" s="1">
        <v>80.0</v>
      </c>
      <c r="D11" s="1">
        <v>53.0</v>
      </c>
      <c r="F11" s="1" t="str">
        <f>LOOKUP(A11, NPCs!A:A, NPCs!C:C)</f>
        <v>Mouse</v>
      </c>
      <c r="G11" s="1" t="str">
        <f>LOOKUP(B11, Maps!A:A, Maps!B:B)</f>
        <v>Minita</v>
      </c>
    </row>
    <row r="12">
      <c r="A12" s="1">
        <v>1.0</v>
      </c>
      <c r="B12" s="1">
        <v>1.0</v>
      </c>
      <c r="C12" s="1">
        <v>85.0</v>
      </c>
      <c r="D12" s="1">
        <v>53.0</v>
      </c>
      <c r="F12" s="1" t="str">
        <f>LOOKUP(A12, NPCs!A:A, NPCs!C:C)</f>
        <v>Mouse</v>
      </c>
      <c r="G12" s="1" t="str">
        <f>LOOKUP(B12, Maps!A:A, Maps!B:B)</f>
        <v>Minita</v>
      </c>
    </row>
    <row r="13">
      <c r="A13" s="1">
        <v>1.0</v>
      </c>
      <c r="B13" s="1">
        <v>1.0</v>
      </c>
      <c r="C13" s="1">
        <v>90.0</v>
      </c>
      <c r="D13" s="1">
        <v>53.0</v>
      </c>
      <c r="F13" s="1" t="str">
        <f>LOOKUP(A13, NPCs!A:A, NPCs!C:C)</f>
        <v>Mouse</v>
      </c>
      <c r="G13" s="1" t="str">
        <f>LOOKUP(B13, Maps!A:A, Maps!B:B)</f>
        <v>Minita</v>
      </c>
    </row>
    <row r="14">
      <c r="A14" s="1">
        <v>1.0</v>
      </c>
      <c r="B14" s="1">
        <v>1.0</v>
      </c>
      <c r="C14" s="1">
        <v>80.0</v>
      </c>
      <c r="D14" s="1">
        <v>60.0</v>
      </c>
      <c r="F14" s="1" t="str">
        <f>LOOKUP(A14, NPCs!A:A, NPCs!C:C)</f>
        <v>Mouse</v>
      </c>
      <c r="G14" s="1" t="str">
        <f>LOOKUP(B14, Maps!A:A, Maps!B:B)</f>
        <v>Minita</v>
      </c>
    </row>
    <row r="15">
      <c r="A15" s="1">
        <v>1.0</v>
      </c>
      <c r="B15" s="1">
        <v>1.0</v>
      </c>
      <c r="C15" s="1">
        <v>85.0</v>
      </c>
      <c r="D15" s="1">
        <v>60.0</v>
      </c>
      <c r="F15" s="1" t="str">
        <f>LOOKUP(A15, NPCs!A:A, NPCs!C:C)</f>
        <v>Mouse</v>
      </c>
      <c r="G15" s="1" t="str">
        <f>LOOKUP(B15, Maps!A:A, Maps!B:B)</f>
        <v>Minita</v>
      </c>
    </row>
    <row r="16">
      <c r="A16" s="1">
        <v>1.0</v>
      </c>
      <c r="B16" s="1">
        <v>1.0</v>
      </c>
      <c r="C16" s="1">
        <v>90.0</v>
      </c>
      <c r="D16" s="1">
        <v>60.0</v>
      </c>
      <c r="F16" s="1" t="str">
        <f>LOOKUP(A16, NPCs!A:A, NPCs!C:C)</f>
        <v>Mouse</v>
      </c>
      <c r="G16" s="1" t="str">
        <f>LOOKUP(B16, Maps!A:A, Maps!B:B)</f>
        <v>Minita</v>
      </c>
    </row>
    <row r="17">
      <c r="A17" s="1">
        <v>1.0</v>
      </c>
      <c r="B17" s="1">
        <v>1.0</v>
      </c>
      <c r="C17" s="1">
        <v>80.0</v>
      </c>
      <c r="D17" s="1">
        <v>65.0</v>
      </c>
      <c r="F17" s="1" t="str">
        <f>LOOKUP(A17, NPCs!A:A, NPCs!C:C)</f>
        <v>Mouse</v>
      </c>
      <c r="G17" s="1" t="str">
        <f>LOOKUP(B17, Maps!A:A, Maps!B:B)</f>
        <v>Minita</v>
      </c>
    </row>
    <row r="18">
      <c r="A18" s="1">
        <v>1.0</v>
      </c>
      <c r="B18" s="1">
        <v>1.0</v>
      </c>
      <c r="C18" s="1">
        <v>85.0</v>
      </c>
      <c r="D18" s="1">
        <v>65.0</v>
      </c>
      <c r="F18" s="1" t="str">
        <f>LOOKUP(A18, NPCs!A:A, NPCs!C:C)</f>
        <v>Mouse</v>
      </c>
      <c r="G18" s="1" t="str">
        <f>LOOKUP(B18, Maps!A:A, Maps!B:B)</f>
        <v>Minita</v>
      </c>
    </row>
    <row r="19">
      <c r="A19" s="1">
        <v>1.0</v>
      </c>
      <c r="B19" s="1">
        <v>1.0</v>
      </c>
      <c r="C19" s="1">
        <v>90.0</v>
      </c>
      <c r="D19" s="1">
        <v>65.0</v>
      </c>
      <c r="F19" s="1" t="str">
        <f>LOOKUP(A19, NPCs!A:A, NPCs!C:C)</f>
        <v>Mouse</v>
      </c>
      <c r="G19" s="1" t="str">
        <f>LOOKUP(B19, Maps!A:A, Maps!B:B)</f>
        <v>Minita</v>
      </c>
    </row>
    <row r="20">
      <c r="A20" s="1">
        <v>1.0</v>
      </c>
      <c r="B20" s="1">
        <v>1.0</v>
      </c>
      <c r="C20" s="1">
        <v>80.0</v>
      </c>
      <c r="D20" s="1">
        <v>70.0</v>
      </c>
      <c r="F20" s="1" t="str">
        <f>LOOKUP(A20, NPCs!A:A, NPCs!C:C)</f>
        <v>Mouse</v>
      </c>
      <c r="G20" s="1" t="str">
        <f>LOOKUP(B20, Maps!A:A, Maps!B:B)</f>
        <v>Minita</v>
      </c>
    </row>
    <row r="21" ht="15.75" customHeight="1">
      <c r="A21" s="1">
        <v>1.0</v>
      </c>
      <c r="B21" s="1">
        <v>1.0</v>
      </c>
      <c r="C21" s="1">
        <v>85.0</v>
      </c>
      <c r="D21" s="1">
        <v>70.0</v>
      </c>
      <c r="F21" s="1" t="str">
        <f>LOOKUP(A21, NPCs!A:A, NPCs!C:C)</f>
        <v>Mouse</v>
      </c>
      <c r="G21" s="1" t="str">
        <f>LOOKUP(B21, Maps!A:A, Maps!B:B)</f>
        <v>Minita</v>
      </c>
    </row>
    <row r="22" ht="15.75" customHeight="1">
      <c r="A22" s="1">
        <v>1.0</v>
      </c>
      <c r="B22" s="1">
        <v>1.0</v>
      </c>
      <c r="C22" s="1">
        <v>90.0</v>
      </c>
      <c r="D22" s="1">
        <v>70.0</v>
      </c>
      <c r="F22" s="1" t="str">
        <f>LOOKUP(A22, NPCs!A:A, NPCs!C:C)</f>
        <v>Mouse</v>
      </c>
      <c r="G22" s="1" t="str">
        <f>LOOKUP(B22, Maps!A:A, Maps!B:B)</f>
        <v>Minita</v>
      </c>
    </row>
    <row r="23" ht="15.75" customHeight="1">
      <c r="A23" s="1">
        <v>1.0</v>
      </c>
      <c r="B23" s="1">
        <v>1.0</v>
      </c>
      <c r="C23" s="1">
        <v>80.0</v>
      </c>
      <c r="D23" s="1">
        <v>80.0</v>
      </c>
      <c r="F23" s="1" t="str">
        <f>LOOKUP(A23, NPCs!A:A, NPCs!C:C)</f>
        <v>Mouse</v>
      </c>
      <c r="G23" s="1" t="str">
        <f>LOOKUP(B23, Maps!A:A, Maps!B:B)</f>
        <v>Minita</v>
      </c>
    </row>
    <row r="24" ht="15.75" customHeight="1">
      <c r="A24" s="1">
        <v>1.0</v>
      </c>
      <c r="B24" s="1">
        <v>1.0</v>
      </c>
      <c r="C24" s="1">
        <v>85.0</v>
      </c>
      <c r="D24" s="1">
        <v>80.0</v>
      </c>
      <c r="F24" s="1" t="str">
        <f>LOOKUP(A24, NPCs!A:A, NPCs!C:C)</f>
        <v>Mouse</v>
      </c>
      <c r="G24" s="1" t="str">
        <f>LOOKUP(B24, Maps!A:A, Maps!B:B)</f>
        <v>Minita</v>
      </c>
    </row>
    <row r="25" ht="15.75" customHeight="1">
      <c r="A25" s="1">
        <v>1.0</v>
      </c>
      <c r="B25" s="1">
        <v>1.0</v>
      </c>
      <c r="C25" s="1">
        <v>90.0</v>
      </c>
      <c r="D25" s="1">
        <v>80.0</v>
      </c>
      <c r="F25" s="1" t="str">
        <f>LOOKUP(A25, NPCs!A:A, NPCs!C:C)</f>
        <v>Mouse</v>
      </c>
      <c r="G25" s="1" t="str">
        <f>LOOKUP(B25, Maps!A:A, Maps!B:B)</f>
        <v>Minita</v>
      </c>
    </row>
    <row r="26" ht="15.75" customHeight="1">
      <c r="A26" s="1">
        <v>1.0</v>
      </c>
      <c r="B26" s="1">
        <v>1.0</v>
      </c>
      <c r="C26" s="1">
        <v>80.0</v>
      </c>
      <c r="D26" s="1">
        <v>90.0</v>
      </c>
      <c r="F26" s="1" t="str">
        <f>LOOKUP(A26, NPCs!A:A, NPCs!C:C)</f>
        <v>Mouse</v>
      </c>
      <c r="G26" s="1" t="str">
        <f>LOOKUP(B26, Maps!A:A, Maps!B:B)</f>
        <v>Minita</v>
      </c>
    </row>
    <row r="27" ht="15.75" customHeight="1">
      <c r="A27" s="1">
        <v>1.0</v>
      </c>
      <c r="B27" s="1">
        <v>1.0</v>
      </c>
      <c r="C27" s="1">
        <v>85.0</v>
      </c>
      <c r="D27" s="1">
        <v>90.0</v>
      </c>
      <c r="F27" s="1" t="str">
        <f>LOOKUP(A27, NPCs!A:A, NPCs!C:C)</f>
        <v>Mouse</v>
      </c>
      <c r="G27" s="1" t="str">
        <f>LOOKUP(B27, Maps!A:A, Maps!B:B)</f>
        <v>Minita</v>
      </c>
    </row>
    <row r="28" ht="15.75" customHeight="1">
      <c r="A28" s="1">
        <v>1.0</v>
      </c>
      <c r="B28" s="1">
        <v>1.0</v>
      </c>
      <c r="C28" s="1">
        <v>90.0</v>
      </c>
      <c r="D28" s="1">
        <v>90.0</v>
      </c>
      <c r="F28" s="1" t="str">
        <f>LOOKUP(A28, NPCs!A:A, NPCs!C:C)</f>
        <v>Mouse</v>
      </c>
      <c r="G28" s="1" t="str">
        <f>LOOKUP(B28, Maps!A:A, Maps!B:B)</f>
        <v>Minita</v>
      </c>
    </row>
    <row r="29" ht="15.75" customHeight="1">
      <c r="A29" s="1">
        <v>1.0</v>
      </c>
      <c r="B29" s="1">
        <v>1.0</v>
      </c>
      <c r="C29" s="1">
        <v>90.0</v>
      </c>
      <c r="D29" s="1">
        <v>100.0</v>
      </c>
      <c r="F29" s="1" t="str">
        <f>LOOKUP(A29, NPCs!A:A, NPCs!C:C)</f>
        <v>Mouse</v>
      </c>
      <c r="G29" s="1" t="str">
        <f>LOOKUP(B29, Maps!A:A, Maps!B:B)</f>
        <v>Minita</v>
      </c>
    </row>
    <row r="30" ht="15.75" customHeight="1">
      <c r="A30" s="1">
        <v>2.0</v>
      </c>
      <c r="B30" s="1">
        <v>1.0</v>
      </c>
      <c r="C30" s="1">
        <v>75.0</v>
      </c>
      <c r="D30" s="1">
        <v>10.0</v>
      </c>
      <c r="F30" s="1" t="str">
        <f>LOOKUP(A30, NPCs!A:A, NPCs!C:C)</f>
        <v>Lamb</v>
      </c>
      <c r="G30" s="1" t="str">
        <f>LOOKUP(B30, Maps!A:A, Maps!B:B)</f>
        <v>Minita</v>
      </c>
    </row>
    <row r="31" ht="15.75" customHeight="1">
      <c r="A31" s="1">
        <v>2.0</v>
      </c>
      <c r="B31" s="1">
        <v>1.0</v>
      </c>
      <c r="C31" s="1">
        <v>78.0</v>
      </c>
      <c r="D31" s="1">
        <v>10.0</v>
      </c>
      <c r="F31" s="1" t="str">
        <f>LOOKUP(A31, NPCs!A:A, NPCs!C:C)</f>
        <v>Lamb</v>
      </c>
      <c r="G31" s="1" t="str">
        <f>LOOKUP(B31, Maps!A:A, Maps!B:B)</f>
        <v>Minita</v>
      </c>
    </row>
    <row r="32" ht="15.75" customHeight="1">
      <c r="A32" s="1">
        <v>2.0</v>
      </c>
      <c r="B32" s="1">
        <v>1.0</v>
      </c>
      <c r="C32" s="1">
        <v>81.0</v>
      </c>
      <c r="D32" s="1">
        <v>10.0</v>
      </c>
      <c r="F32" s="1" t="str">
        <f>LOOKUP(A32, NPCs!A:A, NPCs!C:C)</f>
        <v>Lamb</v>
      </c>
      <c r="G32" s="1" t="str">
        <f>LOOKUP(B32, Maps!A:A, Maps!B:B)</f>
        <v>Minita</v>
      </c>
    </row>
    <row r="33" ht="15.75" customHeight="1">
      <c r="A33" s="1">
        <v>2.0</v>
      </c>
      <c r="B33" s="1">
        <v>1.0</v>
      </c>
      <c r="C33" s="1">
        <v>84.0</v>
      </c>
      <c r="D33" s="1">
        <v>10.0</v>
      </c>
      <c r="F33" s="1" t="str">
        <f>LOOKUP(A33, NPCs!A:A, NPCs!C:C)</f>
        <v>Lamb</v>
      </c>
      <c r="G33" s="1" t="str">
        <f>LOOKUP(B33, Maps!A:A, Maps!B:B)</f>
        <v>Minita</v>
      </c>
    </row>
    <row r="34" ht="15.75" customHeight="1">
      <c r="A34" s="1">
        <v>2.0</v>
      </c>
      <c r="B34" s="1">
        <v>1.0</v>
      </c>
      <c r="C34" s="1">
        <v>87.0</v>
      </c>
      <c r="D34" s="1">
        <v>10.0</v>
      </c>
      <c r="F34" s="1" t="str">
        <f>LOOKUP(A34, NPCs!A:A, NPCs!C:C)</f>
        <v>Lamb</v>
      </c>
      <c r="G34" s="1" t="str">
        <f>LOOKUP(B34, Maps!A:A, Maps!B:B)</f>
        <v>Minita</v>
      </c>
    </row>
    <row r="35" ht="15.75" customHeight="1">
      <c r="A35" s="1">
        <v>2.0</v>
      </c>
      <c r="B35" s="1">
        <v>1.0</v>
      </c>
      <c r="C35" s="1">
        <v>90.0</v>
      </c>
      <c r="D35" s="1">
        <v>10.0</v>
      </c>
      <c r="F35" s="1" t="str">
        <f>LOOKUP(A35, NPCs!A:A, NPCs!C:C)</f>
        <v>Lamb</v>
      </c>
      <c r="G35" s="1" t="str">
        <f>LOOKUP(B35, Maps!A:A, Maps!B:B)</f>
        <v>Minita</v>
      </c>
    </row>
    <row r="36" ht="15.75" customHeight="1">
      <c r="A36" s="1">
        <v>2.0</v>
      </c>
      <c r="B36" s="1">
        <v>1.0</v>
      </c>
      <c r="C36" s="1">
        <v>77.0</v>
      </c>
      <c r="D36" s="1">
        <v>13.0</v>
      </c>
      <c r="F36" s="1" t="str">
        <f>LOOKUP(A36, NPCs!A:A, NPCs!C:C)</f>
        <v>Lamb</v>
      </c>
      <c r="G36" s="1" t="str">
        <f>LOOKUP(B36, Maps!A:A, Maps!B:B)</f>
        <v>Minita</v>
      </c>
    </row>
    <row r="37" ht="15.75" customHeight="1">
      <c r="A37" s="1">
        <v>2.0</v>
      </c>
      <c r="B37" s="1">
        <v>1.0</v>
      </c>
      <c r="C37" s="1">
        <v>80.0</v>
      </c>
      <c r="D37" s="1">
        <v>13.0</v>
      </c>
      <c r="F37" s="1" t="str">
        <f>LOOKUP(A37, NPCs!A:A, NPCs!C:C)</f>
        <v>Lamb</v>
      </c>
      <c r="G37" s="1" t="str">
        <f>LOOKUP(B37, Maps!A:A, Maps!B:B)</f>
        <v>Minita</v>
      </c>
    </row>
    <row r="38" ht="15.75" customHeight="1">
      <c r="A38" s="1">
        <v>2.0</v>
      </c>
      <c r="B38" s="1">
        <v>1.0</v>
      </c>
      <c r="C38" s="1">
        <v>85.0</v>
      </c>
      <c r="D38" s="1">
        <v>13.0</v>
      </c>
      <c r="F38" s="1" t="str">
        <f>LOOKUP(A38, NPCs!A:A, NPCs!C:C)</f>
        <v>Lamb</v>
      </c>
      <c r="G38" s="1" t="str">
        <f>LOOKUP(B38, Maps!A:A, Maps!B:B)</f>
        <v>Minita</v>
      </c>
    </row>
    <row r="39" ht="15.75" customHeight="1">
      <c r="A39" s="1">
        <v>2.0</v>
      </c>
      <c r="B39" s="1">
        <v>1.0</v>
      </c>
      <c r="C39" s="1">
        <v>90.0</v>
      </c>
      <c r="D39" s="1">
        <v>13.0</v>
      </c>
      <c r="F39" s="1" t="str">
        <f>LOOKUP(A39, NPCs!A:A, NPCs!C:C)</f>
        <v>Lamb</v>
      </c>
      <c r="G39" s="1" t="str">
        <f>LOOKUP(B39, Maps!A:A, Maps!B:B)</f>
        <v>Minita</v>
      </c>
    </row>
    <row r="40" ht="15.75" customHeight="1">
      <c r="A40" s="1">
        <v>2.0</v>
      </c>
      <c r="B40" s="1">
        <v>1.0</v>
      </c>
      <c r="C40" s="1">
        <v>75.0</v>
      </c>
      <c r="D40" s="1">
        <v>16.0</v>
      </c>
      <c r="F40" s="1" t="str">
        <f>LOOKUP(A40, NPCs!A:A, NPCs!C:C)</f>
        <v>Lamb</v>
      </c>
      <c r="G40" s="1" t="str">
        <f>LOOKUP(B40, Maps!A:A, Maps!B:B)</f>
        <v>Minita</v>
      </c>
    </row>
    <row r="41" ht="15.75" customHeight="1">
      <c r="A41" s="1">
        <v>2.0</v>
      </c>
      <c r="B41" s="1">
        <v>1.0</v>
      </c>
      <c r="C41" s="1">
        <v>78.0</v>
      </c>
      <c r="D41" s="1">
        <v>16.0</v>
      </c>
      <c r="F41" s="1" t="str">
        <f>LOOKUP(A41, NPCs!A:A, NPCs!C:C)</f>
        <v>Lamb</v>
      </c>
      <c r="G41" s="1" t="str">
        <f>LOOKUP(B41, Maps!A:A, Maps!B:B)</f>
        <v>Minita</v>
      </c>
    </row>
    <row r="42" ht="15.75" customHeight="1">
      <c r="A42" s="1">
        <v>2.0</v>
      </c>
      <c r="B42" s="1">
        <v>1.0</v>
      </c>
      <c r="C42" s="1">
        <v>81.0</v>
      </c>
      <c r="D42" s="1">
        <v>16.0</v>
      </c>
      <c r="F42" s="1" t="str">
        <f>LOOKUP(A42, NPCs!A:A, NPCs!C:C)</f>
        <v>Lamb</v>
      </c>
      <c r="G42" s="1" t="str">
        <f>LOOKUP(B42, Maps!A:A, Maps!B:B)</f>
        <v>Minita</v>
      </c>
    </row>
    <row r="43" ht="15.75" customHeight="1">
      <c r="A43" s="1">
        <v>2.0</v>
      </c>
      <c r="B43" s="1">
        <v>1.0</v>
      </c>
      <c r="C43" s="1">
        <v>84.0</v>
      </c>
      <c r="D43" s="1">
        <v>16.0</v>
      </c>
      <c r="F43" s="1" t="str">
        <f>LOOKUP(A43, NPCs!A:A, NPCs!C:C)</f>
        <v>Lamb</v>
      </c>
      <c r="G43" s="1" t="str">
        <f>LOOKUP(B43, Maps!A:A, Maps!B:B)</f>
        <v>Minita</v>
      </c>
    </row>
    <row r="44" ht="15.75" customHeight="1">
      <c r="A44" s="1">
        <v>2.0</v>
      </c>
      <c r="B44" s="1">
        <v>1.0</v>
      </c>
      <c r="C44" s="1">
        <v>87.0</v>
      </c>
      <c r="D44" s="1">
        <v>16.0</v>
      </c>
      <c r="F44" s="1" t="str">
        <f>LOOKUP(A44, NPCs!A:A, NPCs!C:C)</f>
        <v>Lamb</v>
      </c>
      <c r="G44" s="1" t="str">
        <f>LOOKUP(B44, Maps!A:A, Maps!B:B)</f>
        <v>Minita</v>
      </c>
    </row>
    <row r="45" ht="15.75" customHeight="1">
      <c r="A45" s="1">
        <v>2.0</v>
      </c>
      <c r="B45" s="1">
        <v>1.0</v>
      </c>
      <c r="C45" s="1">
        <v>90.0</v>
      </c>
      <c r="D45" s="1">
        <v>16.0</v>
      </c>
      <c r="F45" s="1" t="str">
        <f>LOOKUP(A45, NPCs!A:A, NPCs!C:C)</f>
        <v>Lamb</v>
      </c>
      <c r="G45" s="1" t="str">
        <f>LOOKUP(B45, Maps!A:A, Maps!B:B)</f>
        <v>Minita</v>
      </c>
    </row>
    <row r="46" ht="15.75" customHeight="1">
      <c r="A46" s="1">
        <v>2.0</v>
      </c>
      <c r="B46" s="1">
        <v>1.0</v>
      </c>
      <c r="C46" s="1">
        <v>77.0</v>
      </c>
      <c r="D46" s="1">
        <v>19.0</v>
      </c>
      <c r="F46" s="1" t="str">
        <f>LOOKUP(A46, NPCs!A:A, NPCs!C:C)</f>
        <v>Lamb</v>
      </c>
      <c r="G46" s="1" t="str">
        <f>LOOKUP(B46, Maps!A:A, Maps!B:B)</f>
        <v>Minita</v>
      </c>
    </row>
    <row r="47" ht="15.75" customHeight="1">
      <c r="A47" s="1">
        <v>2.0</v>
      </c>
      <c r="B47" s="1">
        <v>1.0</v>
      </c>
      <c r="C47" s="1">
        <v>80.0</v>
      </c>
      <c r="D47" s="1">
        <v>19.0</v>
      </c>
      <c r="F47" s="1" t="str">
        <f>LOOKUP(A47, NPCs!A:A, NPCs!C:C)</f>
        <v>Lamb</v>
      </c>
      <c r="G47" s="1" t="str">
        <f>LOOKUP(B47, Maps!A:A, Maps!B:B)</f>
        <v>Minita</v>
      </c>
    </row>
    <row r="48" ht="15.75" customHeight="1">
      <c r="A48" s="1">
        <v>2.0</v>
      </c>
      <c r="B48" s="1">
        <v>1.0</v>
      </c>
      <c r="C48" s="1">
        <v>85.0</v>
      </c>
      <c r="D48" s="1">
        <v>19.0</v>
      </c>
      <c r="F48" s="1" t="str">
        <f>LOOKUP(A48, NPCs!A:A, NPCs!C:C)</f>
        <v>Lamb</v>
      </c>
      <c r="G48" s="1" t="str">
        <f>LOOKUP(B48, Maps!A:A, Maps!B:B)</f>
        <v>Minita</v>
      </c>
    </row>
    <row r="49" ht="15.75" customHeight="1">
      <c r="A49" s="1">
        <v>2.0</v>
      </c>
      <c r="B49" s="1">
        <v>1.0</v>
      </c>
      <c r="C49" s="1">
        <v>90.0</v>
      </c>
      <c r="D49" s="1">
        <v>19.0</v>
      </c>
      <c r="F49" s="1" t="str">
        <f>LOOKUP(A49, NPCs!A:A, NPCs!C:C)</f>
        <v>Lamb</v>
      </c>
      <c r="G49" s="1" t="str">
        <f>LOOKUP(B49, Maps!A:A, Maps!B:B)</f>
        <v>Minita</v>
      </c>
    </row>
    <row r="50" ht="15.75" customHeight="1">
      <c r="A50" s="1">
        <v>2.0</v>
      </c>
      <c r="B50" s="1">
        <v>1.0</v>
      </c>
      <c r="C50" s="1">
        <v>75.0</v>
      </c>
      <c r="D50" s="1">
        <v>22.0</v>
      </c>
      <c r="F50" s="1" t="str">
        <f>LOOKUP(A50, NPCs!A:A, NPCs!C:C)</f>
        <v>Lamb</v>
      </c>
      <c r="G50" s="1" t="str">
        <f>LOOKUP(B50, Maps!A:A, Maps!B:B)</f>
        <v>Minita</v>
      </c>
    </row>
    <row r="51" ht="15.75" customHeight="1">
      <c r="A51" s="1">
        <v>2.0</v>
      </c>
      <c r="B51" s="1">
        <v>1.0</v>
      </c>
      <c r="C51" s="1">
        <v>78.0</v>
      </c>
      <c r="D51" s="1">
        <v>22.0</v>
      </c>
      <c r="F51" s="1" t="str">
        <f>LOOKUP(A51, NPCs!A:A, NPCs!C:C)</f>
        <v>Lamb</v>
      </c>
      <c r="G51" s="1" t="str">
        <f>LOOKUP(B51, Maps!A:A, Maps!B:B)</f>
        <v>Minita</v>
      </c>
    </row>
    <row r="52" ht="15.75" customHeight="1">
      <c r="A52" s="1">
        <v>2.0</v>
      </c>
      <c r="B52" s="1">
        <v>1.0</v>
      </c>
      <c r="C52" s="1">
        <v>81.0</v>
      </c>
      <c r="D52" s="1">
        <v>22.0</v>
      </c>
      <c r="F52" s="1" t="str">
        <f>LOOKUP(A52, NPCs!A:A, NPCs!C:C)</f>
        <v>Lamb</v>
      </c>
      <c r="G52" s="1" t="str">
        <f>LOOKUP(B52, Maps!A:A, Maps!B:B)</f>
        <v>Minita</v>
      </c>
    </row>
    <row r="53" ht="15.75" customHeight="1">
      <c r="A53" s="1">
        <v>2.0</v>
      </c>
      <c r="B53" s="1">
        <v>1.0</v>
      </c>
      <c r="C53" s="1">
        <v>84.0</v>
      </c>
      <c r="D53" s="1">
        <v>22.0</v>
      </c>
      <c r="F53" s="1" t="str">
        <f>LOOKUP(A53, NPCs!A:A, NPCs!C:C)</f>
        <v>Lamb</v>
      </c>
      <c r="G53" s="1" t="str">
        <f>LOOKUP(B53, Maps!A:A, Maps!B:B)</f>
        <v>Minita</v>
      </c>
    </row>
    <row r="54" ht="15.75" customHeight="1">
      <c r="A54" s="1">
        <v>2.0</v>
      </c>
      <c r="B54" s="1">
        <v>1.0</v>
      </c>
      <c r="C54" s="1">
        <v>87.0</v>
      </c>
      <c r="D54" s="1">
        <v>22.0</v>
      </c>
      <c r="F54" s="1" t="str">
        <f>LOOKUP(A54, NPCs!A:A, NPCs!C:C)</f>
        <v>Lamb</v>
      </c>
      <c r="G54" s="1" t="str">
        <f>LOOKUP(B54, Maps!A:A, Maps!B:B)</f>
        <v>Minita</v>
      </c>
    </row>
    <row r="55" ht="15.75" customHeight="1">
      <c r="A55" s="1">
        <v>2.0</v>
      </c>
      <c r="B55" s="1">
        <v>1.0</v>
      </c>
      <c r="C55" s="1">
        <v>90.0</v>
      </c>
      <c r="D55" s="1">
        <v>22.0</v>
      </c>
      <c r="F55" s="1" t="str">
        <f>LOOKUP(A55, NPCs!A:A, NPCs!C:C)</f>
        <v>Lamb</v>
      </c>
      <c r="G55" s="1" t="str">
        <f>LOOKUP(B55, Maps!A:A, Maps!B:B)</f>
        <v>Minita</v>
      </c>
    </row>
    <row r="56" ht="15.75" customHeight="1">
      <c r="A56" s="1">
        <v>2.0</v>
      </c>
      <c r="B56" s="1">
        <v>1.0</v>
      </c>
      <c r="C56" s="1">
        <v>91.0</v>
      </c>
      <c r="D56" s="1">
        <v>22.0</v>
      </c>
      <c r="F56" s="1" t="str">
        <f>LOOKUP(A56, NPCs!A:A, NPCs!C:C)</f>
        <v>Lamb</v>
      </c>
      <c r="G56" s="1" t="str">
        <f>LOOKUP(B56, Maps!A:A, Maps!B:B)</f>
        <v>Minita</v>
      </c>
    </row>
    <row r="57" ht="15.75" customHeight="1">
      <c r="A57" s="1">
        <v>3.0</v>
      </c>
      <c r="B57" s="1">
        <v>16.0</v>
      </c>
      <c r="C57" s="1">
        <v>43.0</v>
      </c>
      <c r="D57" s="1">
        <v>93.0</v>
      </c>
      <c r="F57" s="1" t="str">
        <f>LOOKUP(A57, NPCs!A:A, NPCs!C:C)</f>
        <v>Fluffy Little Bunny</v>
      </c>
      <c r="G57" s="1" t="str">
        <f>LOOKUP(B57, Maps!A:A, Maps!B:B)</f>
        <v>Arctic Lands</v>
      </c>
    </row>
    <row r="58" ht="15.75" customHeight="1">
      <c r="A58" s="1">
        <v>3.0</v>
      </c>
      <c r="B58" s="1">
        <v>16.0</v>
      </c>
      <c r="C58" s="1">
        <v>37.0</v>
      </c>
      <c r="D58" s="1">
        <v>97.0</v>
      </c>
      <c r="F58" s="1" t="str">
        <f>LOOKUP(A58, NPCs!A:A, NPCs!C:C)</f>
        <v>Fluffy Little Bunny</v>
      </c>
      <c r="G58" s="1" t="str">
        <f>LOOKUP(B58, Maps!A:A, Maps!B:B)</f>
        <v>Arctic Lands</v>
      </c>
    </row>
    <row r="59" ht="15.75" customHeight="1">
      <c r="A59" s="1">
        <v>3.0</v>
      </c>
      <c r="B59" s="1">
        <v>16.0</v>
      </c>
      <c r="C59" s="1">
        <v>32.0</v>
      </c>
      <c r="D59" s="1">
        <v>90.0</v>
      </c>
      <c r="F59" s="1" t="str">
        <f>LOOKUP(A59, NPCs!A:A, NPCs!C:C)</f>
        <v>Fluffy Little Bunny</v>
      </c>
      <c r="G59" s="1" t="str">
        <f>LOOKUP(B59, Maps!A:A, Maps!B:B)</f>
        <v>Arctic Lands</v>
      </c>
    </row>
    <row r="60" ht="15.75" customHeight="1">
      <c r="A60" s="1">
        <v>3.0</v>
      </c>
      <c r="B60" s="1">
        <v>16.0</v>
      </c>
      <c r="C60" s="1">
        <v>24.0</v>
      </c>
      <c r="D60" s="1">
        <v>98.0</v>
      </c>
      <c r="F60" s="1" t="str">
        <f>LOOKUP(A60, NPCs!A:A, NPCs!C:C)</f>
        <v>Fluffy Little Bunny</v>
      </c>
      <c r="G60" s="1" t="str">
        <f>LOOKUP(B60, Maps!A:A, Maps!B:B)</f>
        <v>Arctic Lands</v>
      </c>
    </row>
    <row r="61" ht="15.75" customHeight="1">
      <c r="A61" s="1">
        <v>3.0</v>
      </c>
      <c r="B61" s="1">
        <v>16.0</v>
      </c>
      <c r="C61" s="1">
        <v>19.0</v>
      </c>
      <c r="D61" s="1">
        <v>89.0</v>
      </c>
      <c r="F61" s="1" t="str">
        <f>LOOKUP(A61, NPCs!A:A, NPCs!C:C)</f>
        <v>Fluffy Little Bunny</v>
      </c>
      <c r="G61" s="1" t="str">
        <f>LOOKUP(B61, Maps!A:A, Maps!B:B)</f>
        <v>Arctic Lands</v>
      </c>
    </row>
    <row r="62" ht="15.75" customHeight="1">
      <c r="A62" s="1">
        <v>3.0</v>
      </c>
      <c r="B62" s="1">
        <v>16.0</v>
      </c>
      <c r="C62" s="1">
        <v>12.0</v>
      </c>
      <c r="D62" s="1">
        <v>80.0</v>
      </c>
      <c r="F62" s="1" t="str">
        <f>LOOKUP(A62, NPCs!A:A, NPCs!C:C)</f>
        <v>Fluffy Little Bunny</v>
      </c>
      <c r="G62" s="1" t="str">
        <f>LOOKUP(B62, Maps!A:A, Maps!B:B)</f>
        <v>Arctic Lands</v>
      </c>
    </row>
    <row r="63" ht="15.75" customHeight="1">
      <c r="A63" s="1">
        <v>3.0</v>
      </c>
      <c r="B63" s="1">
        <v>16.0</v>
      </c>
      <c r="C63" s="1">
        <v>23.0</v>
      </c>
      <c r="D63" s="1">
        <v>60.0</v>
      </c>
      <c r="F63" s="1" t="str">
        <f>LOOKUP(A63, NPCs!A:A, NPCs!C:C)</f>
        <v>Fluffy Little Bunny</v>
      </c>
      <c r="G63" s="1" t="str">
        <f>LOOKUP(B63, Maps!A:A, Maps!B:B)</f>
        <v>Arctic Lands</v>
      </c>
    </row>
    <row r="64" ht="15.75" customHeight="1">
      <c r="A64" s="1">
        <v>3.0</v>
      </c>
      <c r="B64" s="1">
        <v>16.0</v>
      </c>
      <c r="C64" s="1">
        <v>20.0</v>
      </c>
      <c r="D64" s="1">
        <v>55.0</v>
      </c>
      <c r="F64" s="1" t="str">
        <f>LOOKUP(A64, NPCs!A:A, NPCs!C:C)</f>
        <v>Fluffy Little Bunny</v>
      </c>
      <c r="G64" s="1" t="str">
        <f>LOOKUP(B64, Maps!A:A, Maps!B:B)</f>
        <v>Arctic Lands</v>
      </c>
    </row>
    <row r="65" ht="15.75" customHeight="1">
      <c r="A65" s="1">
        <v>3.0</v>
      </c>
      <c r="B65" s="1">
        <v>16.0</v>
      </c>
      <c r="C65" s="1">
        <v>29.0</v>
      </c>
      <c r="D65" s="1">
        <v>56.0</v>
      </c>
      <c r="F65" s="1" t="str">
        <f>LOOKUP(A65, NPCs!A:A, NPCs!C:C)</f>
        <v>Fluffy Little Bunny</v>
      </c>
      <c r="G65" s="1" t="str">
        <f>LOOKUP(B65, Maps!A:A, Maps!B:B)</f>
        <v>Arctic Lands</v>
      </c>
    </row>
    <row r="66" ht="15.75" customHeight="1">
      <c r="A66" s="1">
        <v>3.0</v>
      </c>
      <c r="B66" s="1">
        <v>16.0</v>
      </c>
      <c r="C66" s="1">
        <v>45.0</v>
      </c>
      <c r="D66" s="1">
        <v>48.0</v>
      </c>
      <c r="F66" s="1" t="str">
        <f>LOOKUP(A66, NPCs!A:A, NPCs!C:C)</f>
        <v>Fluffy Little Bunny</v>
      </c>
      <c r="G66" s="1" t="str">
        <f>LOOKUP(B66, Maps!A:A, Maps!B:B)</f>
        <v>Arctic Lands</v>
      </c>
    </row>
    <row r="67" ht="15.75" customHeight="1">
      <c r="A67" s="1">
        <v>3.0</v>
      </c>
      <c r="B67" s="1">
        <v>16.0</v>
      </c>
      <c r="C67" s="1">
        <v>53.0</v>
      </c>
      <c r="D67" s="1">
        <v>55.0</v>
      </c>
      <c r="F67" s="1" t="str">
        <f>LOOKUP(A67, NPCs!A:A, NPCs!C:C)</f>
        <v>Fluffy Little Bunny</v>
      </c>
      <c r="G67" s="1" t="str">
        <f>LOOKUP(B67, Maps!A:A, Maps!B:B)</f>
        <v>Arctic Lands</v>
      </c>
    </row>
    <row r="68" ht="15.75" customHeight="1">
      <c r="A68" s="1">
        <v>3.0</v>
      </c>
      <c r="B68" s="1">
        <v>16.0</v>
      </c>
      <c r="C68" s="1">
        <v>47.0</v>
      </c>
      <c r="D68" s="1">
        <v>67.0</v>
      </c>
      <c r="F68" s="1" t="str">
        <f>LOOKUP(A68, NPCs!A:A, NPCs!C:C)</f>
        <v>Fluffy Little Bunny</v>
      </c>
      <c r="G68" s="1" t="str">
        <f>LOOKUP(B68, Maps!A:A, Maps!B:B)</f>
        <v>Arctic Lands</v>
      </c>
    </row>
    <row r="69" ht="15.75" customHeight="1">
      <c r="A69" s="1">
        <v>3.0</v>
      </c>
      <c r="B69" s="1">
        <v>16.0</v>
      </c>
      <c r="C69" s="1">
        <v>41.0</v>
      </c>
      <c r="D69" s="1">
        <v>71.0</v>
      </c>
      <c r="F69" s="1" t="str">
        <f>LOOKUP(A69, NPCs!A:A, NPCs!C:C)</f>
        <v>Fluffy Little Bunny</v>
      </c>
      <c r="G69" s="1" t="str">
        <f>LOOKUP(B69, Maps!A:A, Maps!B:B)</f>
        <v>Arctic Lands</v>
      </c>
    </row>
    <row r="70" ht="15.75" customHeight="1">
      <c r="A70" s="1">
        <v>3.0</v>
      </c>
      <c r="B70" s="1">
        <v>16.0</v>
      </c>
      <c r="C70" s="1">
        <v>38.0</v>
      </c>
      <c r="D70" s="1">
        <v>79.0</v>
      </c>
      <c r="F70" s="1" t="str">
        <f>LOOKUP(A70, NPCs!A:A, NPCs!C:C)</f>
        <v>Fluffy Little Bunny</v>
      </c>
      <c r="G70" s="1" t="str">
        <f>LOOKUP(B70, Maps!A:A, Maps!B:B)</f>
        <v>Arctic Lands</v>
      </c>
    </row>
    <row r="71" ht="15.75" customHeight="1">
      <c r="A71" s="1">
        <v>3.0</v>
      </c>
      <c r="B71" s="1">
        <v>16.0</v>
      </c>
      <c r="C71" s="1">
        <v>56.0</v>
      </c>
      <c r="D71" s="1">
        <v>91.0</v>
      </c>
      <c r="F71" s="1" t="str">
        <f>LOOKUP(A71, NPCs!A:A, NPCs!C:C)</f>
        <v>Fluffy Little Bunny</v>
      </c>
      <c r="G71" s="1" t="str">
        <f>LOOKUP(B71, Maps!A:A, Maps!B:B)</f>
        <v>Arctic Lands</v>
      </c>
    </row>
    <row r="72" ht="15.75" customHeight="1">
      <c r="A72" s="1">
        <v>3.0</v>
      </c>
      <c r="B72" s="1">
        <v>16.0</v>
      </c>
      <c r="C72" s="1">
        <v>62.0</v>
      </c>
      <c r="D72" s="1">
        <v>96.0</v>
      </c>
      <c r="F72" s="1" t="str">
        <f>LOOKUP(A72, NPCs!A:A, NPCs!C:C)</f>
        <v>Fluffy Little Bunny</v>
      </c>
      <c r="G72" s="1" t="str">
        <f>LOOKUP(B72, Maps!A:A, Maps!B:B)</f>
        <v>Arctic Lands</v>
      </c>
    </row>
    <row r="73" ht="15.75" customHeight="1">
      <c r="A73" s="1">
        <v>3.0</v>
      </c>
      <c r="B73" s="1">
        <v>16.0</v>
      </c>
      <c r="C73" s="1">
        <v>69.0</v>
      </c>
      <c r="D73" s="1">
        <v>93.0</v>
      </c>
      <c r="F73" s="1" t="str">
        <f>LOOKUP(A73, NPCs!A:A, NPCs!C:C)</f>
        <v>Fluffy Little Bunny</v>
      </c>
      <c r="G73" s="1" t="str">
        <f>LOOKUP(B73, Maps!A:A, Maps!B:B)</f>
        <v>Arctic Lands</v>
      </c>
    </row>
    <row r="74" ht="15.75" customHeight="1">
      <c r="A74" s="1">
        <v>3.0</v>
      </c>
      <c r="B74" s="1">
        <v>16.0</v>
      </c>
      <c r="C74" s="1">
        <v>76.0</v>
      </c>
      <c r="D74" s="1">
        <v>97.0</v>
      </c>
      <c r="F74" s="1" t="str">
        <f>LOOKUP(A74, NPCs!A:A, NPCs!C:C)</f>
        <v>Fluffy Little Bunny</v>
      </c>
      <c r="G74" s="1" t="str">
        <f>LOOKUP(B74, Maps!A:A, Maps!B:B)</f>
        <v>Arctic Lands</v>
      </c>
    </row>
    <row r="75" ht="15.75" customHeight="1">
      <c r="A75" s="1">
        <v>3.0</v>
      </c>
      <c r="B75" s="1">
        <v>16.0</v>
      </c>
      <c r="C75" s="1">
        <v>78.0</v>
      </c>
      <c r="D75" s="1">
        <v>89.0</v>
      </c>
      <c r="F75" s="1" t="str">
        <f>LOOKUP(A75, NPCs!A:A, NPCs!C:C)</f>
        <v>Fluffy Little Bunny</v>
      </c>
      <c r="G75" s="1" t="str">
        <f>LOOKUP(B75, Maps!A:A, Maps!B:B)</f>
        <v>Arctic Lands</v>
      </c>
    </row>
    <row r="76" ht="15.75" customHeight="1">
      <c r="A76" s="1">
        <v>3.0</v>
      </c>
      <c r="B76" s="1">
        <v>16.0</v>
      </c>
      <c r="C76" s="1">
        <v>95.0</v>
      </c>
      <c r="D76" s="1">
        <v>91.0</v>
      </c>
      <c r="F76" s="1" t="str">
        <f>LOOKUP(A76, NPCs!A:A, NPCs!C:C)</f>
        <v>Fluffy Little Bunny</v>
      </c>
      <c r="G76" s="1" t="str">
        <f>LOOKUP(B76, Maps!A:A, Maps!B:B)</f>
        <v>Arctic Lands</v>
      </c>
    </row>
    <row r="77" ht="15.75" customHeight="1">
      <c r="A77" s="1">
        <v>3.0</v>
      </c>
      <c r="B77" s="1">
        <v>16.0</v>
      </c>
      <c r="C77" s="1">
        <v>74.0</v>
      </c>
      <c r="D77" s="1">
        <v>81.0</v>
      </c>
      <c r="F77" s="1" t="str">
        <f>LOOKUP(A77, NPCs!A:A, NPCs!C:C)</f>
        <v>Fluffy Little Bunny</v>
      </c>
      <c r="G77" s="1" t="str">
        <f>LOOKUP(B77, Maps!A:A, Maps!B:B)</f>
        <v>Arctic Lands</v>
      </c>
    </row>
    <row r="78" ht="15.75" customHeight="1">
      <c r="A78" s="1">
        <v>3.0</v>
      </c>
      <c r="B78" s="1">
        <v>16.0</v>
      </c>
      <c r="C78" s="1">
        <v>67.0</v>
      </c>
      <c r="D78" s="1">
        <v>82.0</v>
      </c>
      <c r="F78" s="1" t="str">
        <f>LOOKUP(A78, NPCs!A:A, NPCs!C:C)</f>
        <v>Fluffy Little Bunny</v>
      </c>
      <c r="G78" s="1" t="str">
        <f>LOOKUP(B78, Maps!A:A, Maps!B:B)</f>
        <v>Arctic Lands</v>
      </c>
    </row>
    <row r="79" ht="15.75" customHeight="1">
      <c r="A79" s="1">
        <v>3.0</v>
      </c>
      <c r="B79" s="1">
        <v>16.0</v>
      </c>
      <c r="C79" s="1">
        <v>62.0</v>
      </c>
      <c r="D79" s="1">
        <v>75.0</v>
      </c>
      <c r="F79" s="1" t="str">
        <f>LOOKUP(A79, NPCs!A:A, NPCs!C:C)</f>
        <v>Fluffy Little Bunny</v>
      </c>
      <c r="G79" s="1" t="str">
        <f>LOOKUP(B79, Maps!A:A, Maps!B:B)</f>
        <v>Arctic Lands</v>
      </c>
    </row>
    <row r="80" ht="15.75" customHeight="1">
      <c r="A80" s="1">
        <v>3.0</v>
      </c>
      <c r="B80" s="1">
        <v>16.0</v>
      </c>
      <c r="C80" s="1">
        <v>55.0</v>
      </c>
      <c r="D80" s="1">
        <v>82.0</v>
      </c>
      <c r="F80" s="1" t="str">
        <f>LOOKUP(A80, NPCs!A:A, NPCs!C:C)</f>
        <v>Fluffy Little Bunny</v>
      </c>
      <c r="G80" s="1" t="str">
        <f>LOOKUP(B80, Maps!A:A, Maps!B:B)</f>
        <v>Arctic Lands</v>
      </c>
    </row>
    <row r="81" ht="15.75" customHeight="1">
      <c r="A81" s="1">
        <v>3.0</v>
      </c>
      <c r="B81" s="1">
        <v>16.0</v>
      </c>
      <c r="C81" s="1">
        <v>77.0</v>
      </c>
      <c r="D81" s="1">
        <v>68.0</v>
      </c>
      <c r="F81" s="1" t="str">
        <f>LOOKUP(A81, NPCs!A:A, NPCs!C:C)</f>
        <v>Fluffy Little Bunny</v>
      </c>
      <c r="G81" s="1" t="str">
        <f>LOOKUP(B81, Maps!A:A, Maps!B:B)</f>
        <v>Arctic Lands</v>
      </c>
    </row>
    <row r="82" ht="15.75" customHeight="1">
      <c r="A82" s="1">
        <v>3.0</v>
      </c>
      <c r="B82" s="1">
        <v>16.0</v>
      </c>
      <c r="C82" s="1">
        <v>86.0</v>
      </c>
      <c r="D82" s="1">
        <v>75.0</v>
      </c>
      <c r="F82" s="1" t="str">
        <f>LOOKUP(A82, NPCs!A:A, NPCs!C:C)</f>
        <v>Fluffy Little Bunny</v>
      </c>
      <c r="G82" s="1" t="str">
        <f>LOOKUP(B82, Maps!A:A, Maps!B:B)</f>
        <v>Arctic Lands</v>
      </c>
    </row>
    <row r="83" ht="15.75" customHeight="1">
      <c r="A83" s="1">
        <v>3.0</v>
      </c>
      <c r="B83" s="1">
        <v>16.0</v>
      </c>
      <c r="C83" s="1">
        <v>93.0</v>
      </c>
      <c r="D83" s="1">
        <v>79.0</v>
      </c>
      <c r="F83" s="1" t="str">
        <f>LOOKUP(A83, NPCs!A:A, NPCs!C:C)</f>
        <v>Fluffy Little Bunny</v>
      </c>
      <c r="G83" s="1" t="str">
        <f>LOOKUP(B83, Maps!A:A, Maps!B:B)</f>
        <v>Arctic Lands</v>
      </c>
    </row>
    <row r="84" ht="15.75" customHeight="1">
      <c r="A84" s="1">
        <v>3.0</v>
      </c>
      <c r="B84" s="1">
        <v>16.0</v>
      </c>
      <c r="C84" s="1">
        <v>98.0</v>
      </c>
      <c r="D84" s="1">
        <v>71.0</v>
      </c>
      <c r="F84" s="1" t="str">
        <f>LOOKUP(A84, NPCs!A:A, NPCs!C:C)</f>
        <v>Fluffy Little Bunny</v>
      </c>
      <c r="G84" s="1" t="str">
        <f>LOOKUP(B84, Maps!A:A, Maps!B:B)</f>
        <v>Arctic Lands</v>
      </c>
    </row>
    <row r="85" ht="15.75" customHeight="1">
      <c r="A85" s="1">
        <v>3.0</v>
      </c>
      <c r="B85" s="1">
        <v>16.0</v>
      </c>
      <c r="C85" s="1">
        <v>86.0</v>
      </c>
      <c r="D85" s="1">
        <v>65.0</v>
      </c>
      <c r="F85" s="1" t="str">
        <f>LOOKUP(A85, NPCs!A:A, NPCs!C:C)</f>
        <v>Fluffy Little Bunny</v>
      </c>
      <c r="G85" s="1" t="str">
        <f>LOOKUP(B85, Maps!A:A, Maps!B:B)</f>
        <v>Arctic Lands</v>
      </c>
    </row>
    <row r="86" ht="15.75" customHeight="1">
      <c r="A86" s="1">
        <v>3.0</v>
      </c>
      <c r="B86" s="1">
        <v>16.0</v>
      </c>
      <c r="C86" s="1">
        <v>80.0</v>
      </c>
      <c r="D86" s="1">
        <v>56.0</v>
      </c>
      <c r="F86" s="1" t="str">
        <f>LOOKUP(A86, NPCs!A:A, NPCs!C:C)</f>
        <v>Fluffy Little Bunny</v>
      </c>
      <c r="G86" s="1" t="str">
        <f>LOOKUP(B86, Maps!A:A, Maps!B:B)</f>
        <v>Arctic Lands</v>
      </c>
    </row>
    <row r="87" ht="15.75" customHeight="1">
      <c r="A87" s="1">
        <v>3.0</v>
      </c>
      <c r="B87" s="1">
        <v>16.0</v>
      </c>
      <c r="C87" s="1">
        <v>93.0</v>
      </c>
      <c r="D87" s="1">
        <v>55.0</v>
      </c>
      <c r="F87" s="1" t="str">
        <f>LOOKUP(A87, NPCs!A:A, NPCs!C:C)</f>
        <v>Fluffy Little Bunny</v>
      </c>
      <c r="G87" s="1" t="str">
        <f>LOOKUP(B87, Maps!A:A, Maps!B:B)</f>
        <v>Arctic Lands</v>
      </c>
    </row>
    <row r="88" ht="15.75" customHeight="1">
      <c r="A88" s="1">
        <v>3.0</v>
      </c>
      <c r="B88" s="1">
        <v>16.0</v>
      </c>
      <c r="C88" s="1">
        <v>48.0</v>
      </c>
      <c r="D88" s="1">
        <v>85.0</v>
      </c>
      <c r="F88" s="1" t="str">
        <f>LOOKUP(A88, NPCs!A:A, NPCs!C:C)</f>
        <v>Fluffy Little Bunny</v>
      </c>
      <c r="G88" s="1" t="str">
        <f>LOOKUP(B88, Maps!A:A, Maps!B:B)</f>
        <v>Arctic Lands</v>
      </c>
    </row>
    <row r="89" ht="15.75" customHeight="1">
      <c r="A89" s="1">
        <v>3.0</v>
      </c>
      <c r="B89" s="1">
        <v>16.0</v>
      </c>
      <c r="C89" s="1">
        <v>50.0</v>
      </c>
      <c r="D89" s="1">
        <v>85.0</v>
      </c>
      <c r="F89" s="1" t="str">
        <f>LOOKUP(A89, NPCs!A:A, NPCs!C:C)</f>
        <v>Fluffy Little Bunny</v>
      </c>
      <c r="G89" s="1" t="str">
        <f>LOOKUP(B89, Maps!A:A, Maps!B:B)</f>
        <v>Arctic Lands</v>
      </c>
    </row>
    <row r="90" ht="15.75" customHeight="1">
      <c r="A90" s="1">
        <v>4.0</v>
      </c>
      <c r="B90" s="1">
        <v>16.0</v>
      </c>
      <c r="C90" s="1">
        <v>8.0</v>
      </c>
      <c r="D90" s="1">
        <v>89.0</v>
      </c>
      <c r="F90" s="1" t="str">
        <f>LOOKUP(A90, NPCs!A:A, NPCs!C:C)</f>
        <v>Rabid Rabbit</v>
      </c>
      <c r="G90" s="1" t="str">
        <f>LOOKUP(B90, Maps!A:A, Maps!B:B)</f>
        <v>Arctic Lands</v>
      </c>
    </row>
    <row r="91" ht="15.75" customHeight="1">
      <c r="A91" s="1">
        <v>4.0</v>
      </c>
      <c r="B91" s="1">
        <v>16.0</v>
      </c>
      <c r="C91" s="1">
        <v>8.0</v>
      </c>
      <c r="D91" s="1">
        <v>89.0</v>
      </c>
      <c r="F91" s="1" t="str">
        <f>LOOKUP(A91, NPCs!A:A, NPCs!C:C)</f>
        <v>Rabid Rabbit</v>
      </c>
      <c r="G91" s="1" t="str">
        <f>LOOKUP(B91, Maps!A:A, Maps!B:B)</f>
        <v>Arctic Lands</v>
      </c>
    </row>
    <row r="92" ht="15.75" customHeight="1">
      <c r="A92" s="1">
        <v>4.0</v>
      </c>
      <c r="B92" s="1">
        <v>16.0</v>
      </c>
      <c r="C92" s="1">
        <v>10.0</v>
      </c>
      <c r="D92" s="1">
        <v>93.0</v>
      </c>
      <c r="F92" s="1" t="str">
        <f>LOOKUP(A92, NPCs!A:A, NPCs!C:C)</f>
        <v>Rabid Rabbit</v>
      </c>
      <c r="G92" s="1" t="str">
        <f>LOOKUP(B92, Maps!A:A, Maps!B:B)</f>
        <v>Arctic Lands</v>
      </c>
    </row>
    <row r="93" ht="15.75" customHeight="1">
      <c r="A93" s="1">
        <v>4.0</v>
      </c>
      <c r="B93" s="1">
        <v>16.0</v>
      </c>
      <c r="C93" s="1">
        <v>92.0</v>
      </c>
      <c r="D93" s="1">
        <v>89.0</v>
      </c>
      <c r="F93" s="1" t="str">
        <f>LOOKUP(A93, NPCs!A:A, NPCs!C:C)</f>
        <v>Rabid Rabbit</v>
      </c>
      <c r="G93" s="1" t="str">
        <f>LOOKUP(B93, Maps!A:A, Maps!B:B)</f>
        <v>Arctic Lands</v>
      </c>
    </row>
    <row r="94" ht="15.75" customHeight="1">
      <c r="A94" s="1">
        <v>4.0</v>
      </c>
      <c r="B94" s="1">
        <v>16.0</v>
      </c>
      <c r="C94" s="1">
        <v>96.0</v>
      </c>
      <c r="D94" s="1">
        <v>94.0</v>
      </c>
      <c r="F94" s="1" t="str">
        <f>LOOKUP(A94, NPCs!A:A, NPCs!C:C)</f>
        <v>Rabid Rabbit</v>
      </c>
      <c r="G94" s="1" t="str">
        <f>LOOKUP(B94, Maps!A:A, Maps!B:B)</f>
        <v>Arctic Lands</v>
      </c>
    </row>
    <row r="95" ht="15.75" customHeight="1">
      <c r="A95" s="1">
        <v>4.0</v>
      </c>
      <c r="B95" s="1">
        <v>16.0</v>
      </c>
      <c r="C95" s="1">
        <v>91.0</v>
      </c>
      <c r="D95" s="1">
        <v>93.0</v>
      </c>
      <c r="F95" s="1" t="str">
        <f>LOOKUP(A95, NPCs!A:A, NPCs!C:C)</f>
        <v>Rabid Rabbit</v>
      </c>
      <c r="G95" s="1" t="str">
        <f>LOOKUP(B95, Maps!A:A, Maps!B:B)</f>
        <v>Arctic Lands</v>
      </c>
    </row>
    <row r="96" ht="15.75" customHeight="1">
      <c r="A96" s="1">
        <v>4.0</v>
      </c>
      <c r="B96" s="1">
        <v>16.0</v>
      </c>
      <c r="C96" s="1">
        <v>48.0</v>
      </c>
      <c r="D96" s="1">
        <v>55.0</v>
      </c>
      <c r="F96" s="1" t="str">
        <f>LOOKUP(A96, NPCs!A:A, NPCs!C:C)</f>
        <v>Rabid Rabbit</v>
      </c>
      <c r="G96" s="1" t="str">
        <f>LOOKUP(B96, Maps!A:A, Maps!B:B)</f>
        <v>Arctic Lands</v>
      </c>
    </row>
    <row r="97" ht="15.75" customHeight="1">
      <c r="A97" s="1">
        <v>4.0</v>
      </c>
      <c r="B97" s="1">
        <v>16.0</v>
      </c>
      <c r="C97" s="1">
        <v>43.0</v>
      </c>
      <c r="D97" s="1">
        <v>52.0</v>
      </c>
      <c r="F97" s="1" t="str">
        <f>LOOKUP(A97, NPCs!A:A, NPCs!C:C)</f>
        <v>Rabid Rabbit</v>
      </c>
      <c r="G97" s="1" t="str">
        <f>LOOKUP(B97, Maps!A:A, Maps!B:B)</f>
        <v>Arctic Lands</v>
      </c>
    </row>
    <row r="98" ht="15.75" customHeight="1">
      <c r="A98" s="1">
        <v>4.0</v>
      </c>
      <c r="B98" s="1">
        <v>16.0</v>
      </c>
      <c r="C98" s="1">
        <v>36.0</v>
      </c>
      <c r="D98" s="1">
        <v>54.0</v>
      </c>
      <c r="F98" s="1" t="str">
        <f>LOOKUP(A98, NPCs!A:A, NPCs!C:C)</f>
        <v>Rabid Rabbit</v>
      </c>
      <c r="G98" s="1" t="str">
        <f>LOOKUP(B98, Maps!A:A, Maps!B:B)</f>
        <v>Arctic Lands</v>
      </c>
    </row>
    <row r="99" ht="15.75" customHeight="1">
      <c r="A99" s="1">
        <v>4.0</v>
      </c>
      <c r="B99" s="1">
        <v>16.0</v>
      </c>
      <c r="C99" s="1">
        <v>38.0</v>
      </c>
      <c r="D99" s="1">
        <v>58.0</v>
      </c>
      <c r="F99" s="1" t="str">
        <f>LOOKUP(A99, NPCs!A:A, NPCs!C:C)</f>
        <v>Rabid Rabbit</v>
      </c>
      <c r="G99" s="1" t="str">
        <f>LOOKUP(B99, Maps!A:A, Maps!B:B)</f>
        <v>Arctic Lands</v>
      </c>
    </row>
    <row r="100" ht="15.75" customHeight="1">
      <c r="A100" s="1">
        <v>4.0</v>
      </c>
      <c r="B100" s="1">
        <v>16.0</v>
      </c>
      <c r="C100" s="1">
        <v>37.0</v>
      </c>
      <c r="D100" s="1">
        <v>62.0</v>
      </c>
      <c r="F100" s="1" t="str">
        <f>LOOKUP(A100, NPCs!A:A, NPCs!C:C)</f>
        <v>Rabid Rabbit</v>
      </c>
      <c r="G100" s="1" t="str">
        <f>LOOKUP(B100, Maps!A:A, Maps!B:B)</f>
        <v>Arctic Lands</v>
      </c>
    </row>
    <row r="101" ht="15.75" customHeight="1">
      <c r="A101" s="1">
        <v>4.0</v>
      </c>
      <c r="B101" s="1">
        <v>16.0</v>
      </c>
      <c r="C101" s="1">
        <v>44.0</v>
      </c>
      <c r="D101" s="1">
        <v>61.0</v>
      </c>
      <c r="F101" s="1" t="str">
        <f>LOOKUP(A101, NPCs!A:A, NPCs!C:C)</f>
        <v>Rabid Rabbit</v>
      </c>
      <c r="G101" s="1" t="str">
        <f>LOOKUP(B101, Maps!A:A, Maps!B:B)</f>
        <v>Arctic Lands</v>
      </c>
    </row>
    <row r="102" ht="15.75" customHeight="1">
      <c r="A102" s="1">
        <v>4.0</v>
      </c>
      <c r="B102" s="1">
        <v>16.0</v>
      </c>
      <c r="C102" s="1">
        <v>62.0</v>
      </c>
      <c r="D102" s="1">
        <v>54.0</v>
      </c>
      <c r="F102" s="1" t="str">
        <f>LOOKUP(A102, NPCs!A:A, NPCs!C:C)</f>
        <v>Rabid Rabbit</v>
      </c>
      <c r="G102" s="1" t="str">
        <f>LOOKUP(B102, Maps!A:A, Maps!B:B)</f>
        <v>Arctic Lands</v>
      </c>
    </row>
    <row r="103" ht="15.75" customHeight="1">
      <c r="A103" s="1">
        <v>4.0</v>
      </c>
      <c r="B103" s="1">
        <v>16.0</v>
      </c>
      <c r="C103" s="1">
        <v>66.0</v>
      </c>
      <c r="D103" s="1">
        <v>57.0</v>
      </c>
      <c r="F103" s="1" t="str">
        <f>LOOKUP(A103, NPCs!A:A, NPCs!C:C)</f>
        <v>Rabid Rabbit</v>
      </c>
      <c r="G103" s="1" t="str">
        <f>LOOKUP(B103, Maps!A:A, Maps!B:B)</f>
        <v>Arctic Lands</v>
      </c>
    </row>
    <row r="104" ht="15.75" customHeight="1">
      <c r="A104" s="1">
        <v>4.0</v>
      </c>
      <c r="B104" s="1">
        <v>16.0</v>
      </c>
      <c r="C104" s="1">
        <v>69.0</v>
      </c>
      <c r="D104" s="1">
        <v>54.0</v>
      </c>
      <c r="F104" s="1" t="str">
        <f>LOOKUP(A104, NPCs!A:A, NPCs!C:C)</f>
        <v>Rabid Rabbit</v>
      </c>
      <c r="G104" s="1" t="str">
        <f>LOOKUP(B104, Maps!A:A, Maps!B:B)</f>
        <v>Arctic Lands</v>
      </c>
    </row>
    <row r="105" ht="15.75" customHeight="1">
      <c r="A105" s="1">
        <v>4.0</v>
      </c>
      <c r="B105" s="1">
        <v>16.0</v>
      </c>
      <c r="C105" s="1">
        <v>61.0</v>
      </c>
      <c r="D105" s="1">
        <v>59.0</v>
      </c>
      <c r="F105" s="1" t="str">
        <f>LOOKUP(A105, NPCs!A:A, NPCs!C:C)</f>
        <v>Rabid Rabbit</v>
      </c>
      <c r="G105" s="1" t="str">
        <f>LOOKUP(B105, Maps!A:A, Maps!B:B)</f>
        <v>Arctic Lands</v>
      </c>
    </row>
    <row r="106" ht="15.75" customHeight="1">
      <c r="A106" s="1">
        <v>4.0</v>
      </c>
      <c r="B106" s="1">
        <v>16.0</v>
      </c>
      <c r="C106" s="1">
        <v>70.0</v>
      </c>
      <c r="D106" s="1">
        <v>61.0</v>
      </c>
      <c r="F106" s="1" t="str">
        <f>LOOKUP(A106, NPCs!A:A, NPCs!C:C)</f>
        <v>Rabid Rabbit</v>
      </c>
      <c r="G106" s="1" t="str">
        <f>LOOKUP(B106, Maps!A:A, Maps!B:B)</f>
        <v>Arctic Lands</v>
      </c>
    </row>
    <row r="107" ht="15.75" customHeight="1">
      <c r="A107" s="1">
        <v>4.0</v>
      </c>
      <c r="B107" s="1">
        <v>16.0</v>
      </c>
      <c r="C107" s="1">
        <v>4.0</v>
      </c>
      <c r="D107" s="1">
        <v>48.0</v>
      </c>
      <c r="F107" s="1" t="str">
        <f>LOOKUP(A107, NPCs!A:A, NPCs!C:C)</f>
        <v>Rabid Rabbit</v>
      </c>
      <c r="G107" s="1" t="str">
        <f>LOOKUP(B107, Maps!A:A, Maps!B:B)</f>
        <v>Arctic Lands</v>
      </c>
    </row>
    <row r="108" ht="15.75" customHeight="1">
      <c r="A108" s="1">
        <v>4.0</v>
      </c>
      <c r="B108" s="1">
        <v>16.0</v>
      </c>
      <c r="C108" s="1">
        <v>2.0</v>
      </c>
      <c r="D108" s="1">
        <v>52.0</v>
      </c>
      <c r="F108" s="1" t="str">
        <f>LOOKUP(A108, NPCs!A:A, NPCs!C:C)</f>
        <v>Rabid Rabbit</v>
      </c>
      <c r="G108" s="1" t="str">
        <f>LOOKUP(B108, Maps!A:A, Maps!B:B)</f>
        <v>Arctic Lands</v>
      </c>
    </row>
    <row r="109" ht="15.75" customHeight="1">
      <c r="A109" s="1">
        <v>4.0</v>
      </c>
      <c r="B109" s="1">
        <v>16.0</v>
      </c>
      <c r="C109" s="1">
        <v>7.0</v>
      </c>
      <c r="D109" s="1">
        <v>53.0</v>
      </c>
      <c r="F109" s="1" t="str">
        <f>LOOKUP(A109, NPCs!A:A, NPCs!C:C)</f>
        <v>Rabid Rabbit</v>
      </c>
      <c r="G109" s="1" t="str">
        <f>LOOKUP(B109, Maps!A:A, Maps!B:B)</f>
        <v>Arctic Lands</v>
      </c>
    </row>
    <row r="110" ht="15.75" customHeight="1">
      <c r="A110" s="1">
        <v>4.0</v>
      </c>
      <c r="B110" s="1">
        <v>16.0</v>
      </c>
      <c r="C110" s="1">
        <v>5.0</v>
      </c>
      <c r="D110" s="1">
        <v>57.0</v>
      </c>
      <c r="F110" s="1" t="str">
        <f>LOOKUP(A110, NPCs!A:A, NPCs!C:C)</f>
        <v>Rabid Rabbit</v>
      </c>
      <c r="G110" s="1" t="str">
        <f>LOOKUP(B110, Maps!A:A, Maps!B:B)</f>
        <v>Arctic Lands</v>
      </c>
    </row>
    <row r="111" ht="15.75" customHeight="1">
      <c r="A111" s="1">
        <v>4.0</v>
      </c>
      <c r="B111" s="1">
        <v>16.0</v>
      </c>
      <c r="C111" s="1">
        <v>8.0</v>
      </c>
      <c r="D111" s="1">
        <v>46.0</v>
      </c>
      <c r="F111" s="1" t="str">
        <f>LOOKUP(A111, NPCs!A:A, NPCs!C:C)</f>
        <v>Rabid Rabbit</v>
      </c>
      <c r="G111" s="1" t="str">
        <f>LOOKUP(B111, Maps!A:A, Maps!B:B)</f>
        <v>Arctic Lands</v>
      </c>
    </row>
    <row r="112" ht="15.75" customHeight="1">
      <c r="A112" s="1">
        <v>4.0</v>
      </c>
      <c r="B112" s="1">
        <v>16.0</v>
      </c>
      <c r="C112" s="1">
        <v>4.0</v>
      </c>
      <c r="D112" s="1">
        <v>41.0</v>
      </c>
      <c r="F112" s="1" t="str">
        <f>LOOKUP(A112, NPCs!A:A, NPCs!C:C)</f>
        <v>Rabid Rabbit</v>
      </c>
      <c r="G112" s="1" t="str">
        <f>LOOKUP(B112, Maps!A:A, Maps!B:B)</f>
        <v>Arctic Lands</v>
      </c>
    </row>
    <row r="113" ht="15.75" customHeight="1">
      <c r="A113" s="1">
        <v>4.0</v>
      </c>
      <c r="B113" s="1">
        <v>16.0</v>
      </c>
      <c r="C113" s="1">
        <v>32.0</v>
      </c>
      <c r="D113" s="1">
        <v>46.0</v>
      </c>
      <c r="F113" s="1" t="str">
        <f>LOOKUP(A113, NPCs!A:A, NPCs!C:C)</f>
        <v>Rabid Rabbit</v>
      </c>
      <c r="G113" s="1" t="str">
        <f>LOOKUP(B113, Maps!A:A, Maps!B:B)</f>
        <v>Arctic Lands</v>
      </c>
    </row>
    <row r="114" ht="15.75" customHeight="1">
      <c r="A114" s="1">
        <v>4.0</v>
      </c>
      <c r="B114" s="1">
        <v>16.0</v>
      </c>
      <c r="C114" s="1">
        <v>38.0</v>
      </c>
      <c r="D114" s="1">
        <v>41.0</v>
      </c>
      <c r="F114" s="1" t="str">
        <f>LOOKUP(A114, NPCs!A:A, NPCs!C:C)</f>
        <v>Rabid Rabbit</v>
      </c>
      <c r="G114" s="1" t="str">
        <f>LOOKUP(B114, Maps!A:A, Maps!B:B)</f>
        <v>Arctic Lands</v>
      </c>
    </row>
    <row r="115" ht="15.75" customHeight="1">
      <c r="A115" s="1">
        <v>4.0</v>
      </c>
      <c r="B115" s="1">
        <v>16.0</v>
      </c>
      <c r="C115" s="1">
        <v>47.0</v>
      </c>
      <c r="D115" s="1">
        <v>46.0</v>
      </c>
      <c r="F115" s="1" t="str">
        <f>LOOKUP(A115, NPCs!A:A, NPCs!C:C)</f>
        <v>Rabid Rabbit</v>
      </c>
      <c r="G115" s="1" t="str">
        <f>LOOKUP(B115, Maps!A:A, Maps!B:B)</f>
        <v>Arctic Lands</v>
      </c>
    </row>
    <row r="116" ht="15.75" customHeight="1">
      <c r="A116" s="1">
        <v>4.0</v>
      </c>
      <c r="B116" s="1">
        <v>16.0</v>
      </c>
      <c r="C116" s="1">
        <v>43.0</v>
      </c>
      <c r="D116" s="1">
        <v>39.0</v>
      </c>
      <c r="F116" s="1" t="str">
        <f>LOOKUP(A116, NPCs!A:A, NPCs!C:C)</f>
        <v>Rabid Rabbit</v>
      </c>
      <c r="G116" s="1" t="str">
        <f>LOOKUP(B116, Maps!A:A, Maps!B:B)</f>
        <v>Arctic Lands</v>
      </c>
    </row>
    <row r="117" ht="15.75" customHeight="1">
      <c r="A117" s="1">
        <v>4.0</v>
      </c>
      <c r="B117" s="1">
        <v>16.0</v>
      </c>
      <c r="C117" s="1">
        <v>31.0</v>
      </c>
      <c r="D117" s="1">
        <v>36.0</v>
      </c>
      <c r="F117" s="1" t="str">
        <f>LOOKUP(A117, NPCs!A:A, NPCs!C:C)</f>
        <v>Rabid Rabbit</v>
      </c>
      <c r="G117" s="1" t="str">
        <f>LOOKUP(B117, Maps!A:A, Maps!B:B)</f>
        <v>Arctic Lands</v>
      </c>
    </row>
    <row r="118" ht="15.75" customHeight="1">
      <c r="A118" s="1">
        <v>4.0</v>
      </c>
      <c r="B118" s="1">
        <v>16.0</v>
      </c>
      <c r="C118" s="1">
        <v>23.0</v>
      </c>
      <c r="D118" s="1">
        <v>32.0</v>
      </c>
      <c r="F118" s="1" t="str">
        <f>LOOKUP(A118, NPCs!A:A, NPCs!C:C)</f>
        <v>Rabid Rabbit</v>
      </c>
      <c r="G118" s="1" t="str">
        <f>LOOKUP(B118, Maps!A:A, Maps!B:B)</f>
        <v>Arctic Lands</v>
      </c>
    </row>
    <row r="119" ht="15.75" customHeight="1">
      <c r="A119" s="1">
        <v>4.0</v>
      </c>
      <c r="B119" s="1">
        <v>16.0</v>
      </c>
      <c r="C119" s="1">
        <v>13.0</v>
      </c>
      <c r="D119" s="1">
        <v>30.0</v>
      </c>
      <c r="F119" s="1" t="str">
        <f>LOOKUP(A119, NPCs!A:A, NPCs!C:C)</f>
        <v>Rabid Rabbit</v>
      </c>
      <c r="G119" s="1" t="str">
        <f>LOOKUP(B119, Maps!A:A, Maps!B:B)</f>
        <v>Arctic Lands</v>
      </c>
    </row>
    <row r="120" ht="15.75" customHeight="1">
      <c r="A120" s="1">
        <v>4.0</v>
      </c>
      <c r="B120" s="1">
        <v>16.0</v>
      </c>
      <c r="C120" s="1">
        <v>19.0</v>
      </c>
      <c r="D120" s="1">
        <v>20.0</v>
      </c>
      <c r="F120" s="1" t="str">
        <f>LOOKUP(A120, NPCs!A:A, NPCs!C:C)</f>
        <v>Rabid Rabbit</v>
      </c>
      <c r="G120" s="1" t="str">
        <f>LOOKUP(B120, Maps!A:A, Maps!B:B)</f>
        <v>Arctic Lands</v>
      </c>
    </row>
    <row r="121" ht="15.75" customHeight="1">
      <c r="A121" s="1">
        <v>4.0</v>
      </c>
      <c r="B121" s="1">
        <v>16.0</v>
      </c>
      <c r="C121" s="1">
        <v>16.0</v>
      </c>
      <c r="D121" s="1">
        <v>12.0</v>
      </c>
      <c r="F121" s="1" t="str">
        <f>LOOKUP(A121, NPCs!A:A, NPCs!C:C)</f>
        <v>Rabid Rabbit</v>
      </c>
      <c r="G121" s="1" t="str">
        <f>LOOKUP(B121, Maps!A:A, Maps!B:B)</f>
        <v>Arctic Lands</v>
      </c>
    </row>
    <row r="122" ht="15.75" customHeight="1">
      <c r="A122" s="1">
        <v>4.0</v>
      </c>
      <c r="B122" s="1">
        <v>16.0</v>
      </c>
      <c r="C122" s="1">
        <v>10.0</v>
      </c>
      <c r="D122" s="1">
        <v>13.0</v>
      </c>
      <c r="F122" s="1" t="str">
        <f>LOOKUP(A122, NPCs!A:A, NPCs!C:C)</f>
        <v>Rabid Rabbit</v>
      </c>
      <c r="G122" s="1" t="str">
        <f>LOOKUP(B122, Maps!A:A, Maps!B:B)</f>
        <v>Arctic Lands</v>
      </c>
    </row>
    <row r="123" ht="15.75" customHeight="1">
      <c r="A123" s="1">
        <v>4.0</v>
      </c>
      <c r="B123" s="1">
        <v>16.0</v>
      </c>
      <c r="C123" s="1">
        <v>6.0</v>
      </c>
      <c r="D123" s="1">
        <v>6.0</v>
      </c>
      <c r="F123" s="1" t="str">
        <f>LOOKUP(A123, NPCs!A:A, NPCs!C:C)</f>
        <v>Rabid Rabbit</v>
      </c>
      <c r="G123" s="1" t="str">
        <f>LOOKUP(B123, Maps!A:A, Maps!B:B)</f>
        <v>Arctic Lands</v>
      </c>
    </row>
    <row r="124" ht="15.75" customHeight="1">
      <c r="A124" s="1">
        <v>4.0</v>
      </c>
      <c r="B124" s="1">
        <v>16.0</v>
      </c>
      <c r="C124" s="1">
        <v>25.0</v>
      </c>
      <c r="D124" s="1">
        <v>8.0</v>
      </c>
      <c r="F124" s="1" t="str">
        <f>LOOKUP(A124, NPCs!A:A, NPCs!C:C)</f>
        <v>Rabid Rabbit</v>
      </c>
      <c r="G124" s="1" t="str">
        <f>LOOKUP(B124, Maps!A:A, Maps!B:B)</f>
        <v>Arctic Lands</v>
      </c>
    </row>
    <row r="125" ht="15.75" customHeight="1">
      <c r="A125" s="1">
        <v>4.0</v>
      </c>
      <c r="B125" s="1">
        <v>16.0</v>
      </c>
      <c r="C125" s="1">
        <v>34.0</v>
      </c>
      <c r="D125" s="1">
        <v>12.0</v>
      </c>
      <c r="F125" s="1" t="str">
        <f>LOOKUP(A125, NPCs!A:A, NPCs!C:C)</f>
        <v>Rabid Rabbit</v>
      </c>
      <c r="G125" s="1" t="str">
        <f>LOOKUP(B125, Maps!A:A, Maps!B:B)</f>
        <v>Arctic Lands</v>
      </c>
    </row>
    <row r="126" ht="15.75" customHeight="1">
      <c r="A126" s="1">
        <v>4.0</v>
      </c>
      <c r="B126" s="1">
        <v>16.0</v>
      </c>
      <c r="C126" s="1">
        <v>40.0</v>
      </c>
      <c r="D126" s="1">
        <v>4.0</v>
      </c>
      <c r="F126" s="1" t="str">
        <f>LOOKUP(A126, NPCs!A:A, NPCs!C:C)</f>
        <v>Rabid Rabbit</v>
      </c>
      <c r="G126" s="1" t="str">
        <f>LOOKUP(B126, Maps!A:A, Maps!B:B)</f>
        <v>Arctic Lands</v>
      </c>
    </row>
    <row r="127" ht="15.75" customHeight="1">
      <c r="A127" s="1">
        <v>4.0</v>
      </c>
      <c r="B127" s="1">
        <v>16.0</v>
      </c>
      <c r="C127" s="1">
        <v>43.0</v>
      </c>
      <c r="D127" s="1">
        <v>13.0</v>
      </c>
      <c r="F127" s="1" t="str">
        <f>LOOKUP(A127, NPCs!A:A, NPCs!C:C)</f>
        <v>Rabid Rabbit</v>
      </c>
      <c r="G127" s="1" t="str">
        <f>LOOKUP(B127, Maps!A:A, Maps!B:B)</f>
        <v>Arctic Lands</v>
      </c>
    </row>
    <row r="128" ht="15.75" customHeight="1">
      <c r="A128" s="1">
        <v>4.0</v>
      </c>
      <c r="B128" s="1">
        <v>16.0</v>
      </c>
      <c r="C128" s="1">
        <v>39.0</v>
      </c>
      <c r="D128" s="1">
        <v>22.0</v>
      </c>
      <c r="F128" s="1" t="str">
        <f>LOOKUP(A128, NPCs!A:A, NPCs!C:C)</f>
        <v>Rabid Rabbit</v>
      </c>
      <c r="G128" s="1" t="str">
        <f>LOOKUP(B128, Maps!A:A, Maps!B:B)</f>
        <v>Arctic Lands</v>
      </c>
    </row>
    <row r="129" ht="15.75" customHeight="1">
      <c r="A129" s="1">
        <v>4.0</v>
      </c>
      <c r="B129" s="1">
        <v>16.0</v>
      </c>
      <c r="C129" s="1">
        <v>95.0</v>
      </c>
      <c r="D129" s="1">
        <v>47.0</v>
      </c>
      <c r="F129" s="1" t="str">
        <f>LOOKUP(A129, NPCs!A:A, NPCs!C:C)</f>
        <v>Rabid Rabbit</v>
      </c>
      <c r="G129" s="1" t="str">
        <f>LOOKUP(B129, Maps!A:A, Maps!B:B)</f>
        <v>Arctic Lands</v>
      </c>
    </row>
    <row r="130" ht="15.75" customHeight="1">
      <c r="A130" s="1">
        <v>4.0</v>
      </c>
      <c r="B130" s="1">
        <v>16.0</v>
      </c>
      <c r="C130" s="1">
        <v>92.0</v>
      </c>
      <c r="D130" s="1">
        <v>34.0</v>
      </c>
      <c r="F130" s="1" t="str">
        <f>LOOKUP(A130, NPCs!A:A, NPCs!C:C)</f>
        <v>Rabid Rabbit</v>
      </c>
      <c r="G130" s="1" t="str">
        <f>LOOKUP(B130, Maps!A:A, Maps!B:B)</f>
        <v>Arctic Lands</v>
      </c>
    </row>
    <row r="131" ht="15.75" customHeight="1">
      <c r="A131" s="1">
        <v>4.0</v>
      </c>
      <c r="B131" s="1">
        <v>16.0</v>
      </c>
      <c r="C131" s="1">
        <v>83.0</v>
      </c>
      <c r="D131" s="1">
        <v>40.0</v>
      </c>
      <c r="F131" s="1" t="str">
        <f>LOOKUP(A131, NPCs!A:A, NPCs!C:C)</f>
        <v>Rabid Rabbit</v>
      </c>
      <c r="G131" s="1" t="str">
        <f>LOOKUP(B131, Maps!A:A, Maps!B:B)</f>
        <v>Arctic Lands</v>
      </c>
    </row>
    <row r="132" ht="15.75" customHeight="1">
      <c r="A132" s="1">
        <v>4.0</v>
      </c>
      <c r="B132" s="1">
        <v>16.0</v>
      </c>
      <c r="C132" s="1">
        <v>72.0</v>
      </c>
      <c r="D132" s="1">
        <v>44.0</v>
      </c>
      <c r="F132" s="1" t="str">
        <f>LOOKUP(A132, NPCs!A:A, NPCs!C:C)</f>
        <v>Rabid Rabbit</v>
      </c>
      <c r="G132" s="1" t="str">
        <f>LOOKUP(B132, Maps!A:A, Maps!B:B)</f>
        <v>Arctic Lands</v>
      </c>
    </row>
    <row r="133" ht="15.75" customHeight="1">
      <c r="A133" s="1">
        <v>4.0</v>
      </c>
      <c r="B133" s="1">
        <v>16.0</v>
      </c>
      <c r="C133" s="1">
        <v>68.0</v>
      </c>
      <c r="D133" s="1">
        <v>48.0</v>
      </c>
      <c r="F133" s="1" t="str">
        <f>LOOKUP(A133, NPCs!A:A, NPCs!C:C)</f>
        <v>Rabid Rabbit</v>
      </c>
      <c r="G133" s="1" t="str">
        <f>LOOKUP(B133, Maps!A:A, Maps!B:B)</f>
        <v>Arctic Lands</v>
      </c>
    </row>
    <row r="134" ht="15.75" customHeight="1">
      <c r="A134" s="1">
        <v>4.0</v>
      </c>
      <c r="B134" s="1">
        <v>16.0</v>
      </c>
      <c r="C134" s="1">
        <v>62.0</v>
      </c>
      <c r="D134" s="1">
        <v>41.0</v>
      </c>
      <c r="F134" s="1" t="str">
        <f>LOOKUP(A134, NPCs!A:A, NPCs!C:C)</f>
        <v>Rabid Rabbit</v>
      </c>
      <c r="G134" s="1" t="str">
        <f>LOOKUP(B134, Maps!A:A, Maps!B:B)</f>
        <v>Arctic Lands</v>
      </c>
    </row>
    <row r="135" ht="15.75" customHeight="1">
      <c r="A135" s="1">
        <v>4.0</v>
      </c>
      <c r="B135" s="1">
        <v>16.0</v>
      </c>
      <c r="C135" s="1">
        <v>54.0</v>
      </c>
      <c r="D135" s="1">
        <v>40.0</v>
      </c>
      <c r="F135" s="1" t="str">
        <f>LOOKUP(A135, NPCs!A:A, NPCs!C:C)</f>
        <v>Rabid Rabbit</v>
      </c>
      <c r="G135" s="1" t="str">
        <f>LOOKUP(B135, Maps!A:A, Maps!B:B)</f>
        <v>Arctic Lands</v>
      </c>
    </row>
    <row r="136" ht="15.75" customHeight="1">
      <c r="A136" s="1">
        <v>4.0</v>
      </c>
      <c r="B136" s="1">
        <v>16.0</v>
      </c>
      <c r="C136" s="1">
        <v>65.0</v>
      </c>
      <c r="D136" s="1">
        <v>33.0</v>
      </c>
      <c r="F136" s="1" t="str">
        <f>LOOKUP(A136, NPCs!A:A, NPCs!C:C)</f>
        <v>Rabid Rabbit</v>
      </c>
      <c r="G136" s="1" t="str">
        <f>LOOKUP(B136, Maps!A:A, Maps!B:B)</f>
        <v>Arctic Lands</v>
      </c>
    </row>
    <row r="137" ht="15.75" customHeight="1">
      <c r="A137" s="1">
        <v>4.0</v>
      </c>
      <c r="B137" s="1">
        <v>16.0</v>
      </c>
      <c r="C137" s="1">
        <v>59.0</v>
      </c>
      <c r="D137" s="1">
        <v>27.0</v>
      </c>
      <c r="F137" s="1" t="str">
        <f>LOOKUP(A137, NPCs!A:A, NPCs!C:C)</f>
        <v>Rabid Rabbit</v>
      </c>
      <c r="G137" s="1" t="str">
        <f>LOOKUP(B137, Maps!A:A, Maps!B:B)</f>
        <v>Arctic Lands</v>
      </c>
    </row>
    <row r="138" ht="15.75" customHeight="1">
      <c r="A138" s="1">
        <v>4.0</v>
      </c>
      <c r="B138" s="1">
        <v>16.0</v>
      </c>
      <c r="C138" s="1">
        <v>71.0</v>
      </c>
      <c r="D138" s="1">
        <v>29.0</v>
      </c>
      <c r="F138" s="1" t="str">
        <f>LOOKUP(A138, NPCs!A:A, NPCs!C:C)</f>
        <v>Rabid Rabbit</v>
      </c>
      <c r="G138" s="1" t="str">
        <f>LOOKUP(B138, Maps!A:A, Maps!B:B)</f>
        <v>Arctic Lands</v>
      </c>
    </row>
    <row r="139" ht="15.75" customHeight="1">
      <c r="A139" s="1">
        <v>4.0</v>
      </c>
      <c r="B139" s="1">
        <v>16.0</v>
      </c>
      <c r="C139" s="1">
        <v>83.0</v>
      </c>
      <c r="D139" s="1">
        <v>27.0</v>
      </c>
      <c r="F139" s="1" t="str">
        <f>LOOKUP(A139, NPCs!A:A, NPCs!C:C)</f>
        <v>Rabid Rabbit</v>
      </c>
      <c r="G139" s="1" t="str">
        <f>LOOKUP(B139, Maps!A:A, Maps!B:B)</f>
        <v>Arctic Lands</v>
      </c>
    </row>
    <row r="140" ht="15.75" customHeight="1">
      <c r="A140" s="1">
        <v>4.0</v>
      </c>
      <c r="B140" s="1">
        <v>16.0</v>
      </c>
      <c r="C140" s="1">
        <v>95.0</v>
      </c>
      <c r="D140" s="1">
        <v>29.0</v>
      </c>
      <c r="F140" s="1" t="str">
        <f>LOOKUP(A140, NPCs!A:A, NPCs!C:C)</f>
        <v>Rabid Rabbit</v>
      </c>
      <c r="G140" s="1" t="str">
        <f>LOOKUP(B140, Maps!A:A, Maps!B:B)</f>
        <v>Arctic Lands</v>
      </c>
    </row>
    <row r="141" ht="15.75" customHeight="1">
      <c r="A141" s="1">
        <v>4.0</v>
      </c>
      <c r="B141" s="1">
        <v>16.0</v>
      </c>
      <c r="C141" s="1">
        <v>92.0</v>
      </c>
      <c r="D141" s="1">
        <v>18.0</v>
      </c>
      <c r="F141" s="1" t="str">
        <f>LOOKUP(A141, NPCs!A:A, NPCs!C:C)</f>
        <v>Rabid Rabbit</v>
      </c>
      <c r="G141" s="1" t="str">
        <f>LOOKUP(B141, Maps!A:A, Maps!B:B)</f>
        <v>Arctic Lands</v>
      </c>
    </row>
    <row r="142" ht="15.75" customHeight="1">
      <c r="A142" s="1">
        <v>4.0</v>
      </c>
      <c r="B142" s="1">
        <v>16.0</v>
      </c>
      <c r="C142" s="1">
        <v>80.0</v>
      </c>
      <c r="D142" s="1">
        <v>16.0</v>
      </c>
      <c r="F142" s="1" t="str">
        <f>LOOKUP(A142, NPCs!A:A, NPCs!C:C)</f>
        <v>Rabid Rabbit</v>
      </c>
      <c r="G142" s="1" t="str">
        <f>LOOKUP(B142, Maps!A:A, Maps!B:B)</f>
        <v>Arctic Lands</v>
      </c>
    </row>
    <row r="143" ht="15.75" customHeight="1">
      <c r="A143" s="1">
        <v>4.0</v>
      </c>
      <c r="B143" s="1">
        <v>16.0</v>
      </c>
      <c r="C143" s="1">
        <v>73.0</v>
      </c>
      <c r="D143" s="1">
        <v>19.0</v>
      </c>
      <c r="F143" s="1" t="str">
        <f>LOOKUP(A143, NPCs!A:A, NPCs!C:C)</f>
        <v>Rabid Rabbit</v>
      </c>
      <c r="G143" s="1" t="str">
        <f>LOOKUP(B143, Maps!A:A, Maps!B:B)</f>
        <v>Arctic Lands</v>
      </c>
    </row>
    <row r="144" ht="15.75" customHeight="1">
      <c r="A144" s="1">
        <v>4.0</v>
      </c>
      <c r="B144" s="1">
        <v>16.0</v>
      </c>
      <c r="C144" s="1">
        <v>63.0</v>
      </c>
      <c r="D144" s="1">
        <v>22.0</v>
      </c>
      <c r="F144" s="1" t="str">
        <f>LOOKUP(A144, NPCs!A:A, NPCs!C:C)</f>
        <v>Rabid Rabbit</v>
      </c>
      <c r="G144" s="1" t="str">
        <f>LOOKUP(B144, Maps!A:A, Maps!B:B)</f>
        <v>Arctic Lands</v>
      </c>
    </row>
    <row r="145" ht="15.75" customHeight="1">
      <c r="A145" s="1">
        <v>4.0</v>
      </c>
      <c r="B145" s="1">
        <v>16.0</v>
      </c>
      <c r="C145" s="1">
        <v>54.0</v>
      </c>
      <c r="D145" s="1">
        <v>16.0</v>
      </c>
      <c r="F145" s="1" t="str">
        <f>LOOKUP(A145, NPCs!A:A, NPCs!C:C)</f>
        <v>Rabid Rabbit</v>
      </c>
      <c r="G145" s="1" t="str">
        <f>LOOKUP(B145, Maps!A:A, Maps!B:B)</f>
        <v>Arctic Lands</v>
      </c>
    </row>
    <row r="146" ht="15.75" customHeight="1">
      <c r="A146" s="1">
        <v>4.0</v>
      </c>
      <c r="B146" s="1">
        <v>16.0</v>
      </c>
      <c r="C146" s="1">
        <v>85.0</v>
      </c>
      <c r="D146" s="1">
        <v>8.0</v>
      </c>
      <c r="F146" s="1" t="str">
        <f>LOOKUP(A146, NPCs!A:A, NPCs!C:C)</f>
        <v>Rabid Rabbit</v>
      </c>
      <c r="G146" s="1" t="str">
        <f>LOOKUP(B146, Maps!A:A, Maps!B:B)</f>
        <v>Arctic Lands</v>
      </c>
    </row>
    <row r="147" ht="15.75" customHeight="1">
      <c r="A147" s="1">
        <v>4.0</v>
      </c>
      <c r="B147" s="1">
        <v>16.0</v>
      </c>
      <c r="C147" s="1">
        <v>75.0</v>
      </c>
      <c r="D147" s="1">
        <v>10.0</v>
      </c>
      <c r="F147" s="1" t="str">
        <f>LOOKUP(A147, NPCs!A:A, NPCs!C:C)</f>
        <v>Rabid Rabbit</v>
      </c>
      <c r="G147" s="1" t="str">
        <f>LOOKUP(B147, Maps!A:A, Maps!B:B)</f>
        <v>Arctic Lands</v>
      </c>
    </row>
    <row r="148" ht="15.75" customHeight="1">
      <c r="A148" s="1">
        <v>4.0</v>
      </c>
      <c r="B148" s="1">
        <v>16.0</v>
      </c>
      <c r="C148" s="1">
        <v>82.0</v>
      </c>
      <c r="D148" s="1">
        <v>2.0</v>
      </c>
      <c r="F148" s="1" t="str">
        <f>LOOKUP(A148, NPCs!A:A, NPCs!C:C)</f>
        <v>Rabid Rabbit</v>
      </c>
      <c r="G148" s="1" t="str">
        <f>LOOKUP(B148, Maps!A:A, Maps!B:B)</f>
        <v>Arctic Lands</v>
      </c>
    </row>
    <row r="149" ht="15.75" customHeight="1">
      <c r="A149" s="1">
        <v>5.0</v>
      </c>
      <c r="B149" s="1">
        <v>16.0</v>
      </c>
      <c r="C149" s="1">
        <v>7.0</v>
      </c>
      <c r="D149" s="1">
        <v>61.0</v>
      </c>
      <c r="F149" s="1" t="str">
        <f>LOOKUP(A149, NPCs!A:A, NPCs!C:C)</f>
        <v>Cottontail</v>
      </c>
      <c r="G149" s="1" t="str">
        <f>LOOKUP(B149, Maps!A:A, Maps!B:B)</f>
        <v>Arctic Lands</v>
      </c>
    </row>
    <row r="150" ht="15.75" customHeight="1">
      <c r="A150" s="1">
        <v>5.0</v>
      </c>
      <c r="B150" s="1">
        <v>16.0</v>
      </c>
      <c r="C150" s="1">
        <v>7.0</v>
      </c>
      <c r="D150" s="1">
        <v>91.0</v>
      </c>
      <c r="F150" s="1" t="str">
        <f>LOOKUP(A150, NPCs!A:A, NPCs!C:C)</f>
        <v>Cottontail</v>
      </c>
      <c r="G150" s="1" t="str">
        <f>LOOKUP(B150, Maps!A:A, Maps!B:B)</f>
        <v>Arctic Lands</v>
      </c>
    </row>
    <row r="151" ht="15.75" customHeight="1">
      <c r="A151" s="1">
        <v>5.0</v>
      </c>
      <c r="B151" s="1">
        <v>16.0</v>
      </c>
      <c r="C151" s="1">
        <v>94.0</v>
      </c>
      <c r="D151" s="1">
        <v>93.0</v>
      </c>
      <c r="F151" s="1" t="str">
        <f>LOOKUP(A151, NPCs!A:A, NPCs!C:C)</f>
        <v>Cottontail</v>
      </c>
      <c r="G151" s="1" t="str">
        <f>LOOKUP(B151, Maps!A:A, Maps!B:B)</f>
        <v>Arctic Lands</v>
      </c>
    </row>
    <row r="152" ht="15.75" customHeight="1">
      <c r="A152" s="1">
        <v>5.0</v>
      </c>
      <c r="B152" s="1">
        <v>16.0</v>
      </c>
      <c r="C152" s="1">
        <v>44.0</v>
      </c>
      <c r="D152" s="1">
        <v>58.0</v>
      </c>
      <c r="F152" s="1" t="str">
        <f>LOOKUP(A152, NPCs!A:A, NPCs!C:C)</f>
        <v>Cottontail</v>
      </c>
      <c r="G152" s="1" t="str">
        <f>LOOKUP(B152, Maps!A:A, Maps!B:B)</f>
        <v>Arctic Lands</v>
      </c>
    </row>
    <row r="153" ht="15.75" customHeight="1">
      <c r="A153" s="1">
        <v>6.0</v>
      </c>
      <c r="B153" s="1">
        <v>8.0</v>
      </c>
      <c r="C153" s="1">
        <v>93.0</v>
      </c>
      <c r="D153" s="1">
        <v>22.0</v>
      </c>
      <c r="F153" s="1" t="str">
        <f>LOOKUP(A153, NPCs!A:A, NPCs!C:C)</f>
        <v>Asp</v>
      </c>
      <c r="G153" s="1" t="str">
        <f>LOOKUP(B153, Maps!A:A, Maps!B:B)</f>
        <v>Roadkill Woods</v>
      </c>
    </row>
    <row r="154" ht="15.75" customHeight="1">
      <c r="A154" s="1">
        <v>6.0</v>
      </c>
      <c r="B154" s="1">
        <v>8.0</v>
      </c>
      <c r="C154" s="1">
        <v>86.0</v>
      </c>
      <c r="D154" s="1">
        <v>27.0</v>
      </c>
      <c r="F154" s="1" t="str">
        <f>LOOKUP(A154, NPCs!A:A, NPCs!C:C)</f>
        <v>Asp</v>
      </c>
      <c r="G154" s="1" t="str">
        <f>LOOKUP(B154, Maps!A:A, Maps!B:B)</f>
        <v>Roadkill Woods</v>
      </c>
    </row>
    <row r="155" ht="15.75" customHeight="1">
      <c r="A155" s="1">
        <v>6.0</v>
      </c>
      <c r="B155" s="1">
        <v>8.0</v>
      </c>
      <c r="C155" s="1">
        <v>89.0</v>
      </c>
      <c r="D155" s="1">
        <v>35.0</v>
      </c>
      <c r="F155" s="1" t="str">
        <f>LOOKUP(A155, NPCs!A:A, NPCs!C:C)</f>
        <v>Asp</v>
      </c>
      <c r="G155" s="1" t="str">
        <f>LOOKUP(B155, Maps!A:A, Maps!B:B)</f>
        <v>Roadkill Woods</v>
      </c>
    </row>
    <row r="156" ht="15.75" customHeight="1">
      <c r="A156" s="1">
        <v>6.0</v>
      </c>
      <c r="B156" s="1">
        <v>8.0</v>
      </c>
      <c r="C156" s="1">
        <v>84.0</v>
      </c>
      <c r="D156" s="1">
        <v>40.0</v>
      </c>
      <c r="F156" s="1" t="str">
        <f>LOOKUP(A156, NPCs!A:A, NPCs!C:C)</f>
        <v>Asp</v>
      </c>
      <c r="G156" s="1" t="str">
        <f>LOOKUP(B156, Maps!A:A, Maps!B:B)</f>
        <v>Roadkill Woods</v>
      </c>
    </row>
    <row r="157" ht="15.75" customHeight="1">
      <c r="A157" s="1">
        <v>6.0</v>
      </c>
      <c r="B157" s="1">
        <v>8.0</v>
      </c>
      <c r="C157" s="1">
        <v>93.0</v>
      </c>
      <c r="D157" s="1">
        <v>40.0</v>
      </c>
      <c r="F157" s="1" t="str">
        <f>LOOKUP(A157, NPCs!A:A, NPCs!C:C)</f>
        <v>Asp</v>
      </c>
      <c r="G157" s="1" t="str">
        <f>LOOKUP(B157, Maps!A:A, Maps!B:B)</f>
        <v>Roadkill Woods</v>
      </c>
    </row>
    <row r="158" ht="15.75" customHeight="1">
      <c r="A158" s="1">
        <v>6.0</v>
      </c>
      <c r="B158" s="1">
        <v>8.0</v>
      </c>
      <c r="C158" s="1">
        <v>98.0</v>
      </c>
      <c r="D158" s="1">
        <v>47.0</v>
      </c>
      <c r="F158" s="1" t="str">
        <f>LOOKUP(A158, NPCs!A:A, NPCs!C:C)</f>
        <v>Asp</v>
      </c>
      <c r="G158" s="1" t="str">
        <f>LOOKUP(B158, Maps!A:A, Maps!B:B)</f>
        <v>Roadkill Woods</v>
      </c>
    </row>
    <row r="159" ht="15.75" customHeight="1">
      <c r="A159" s="1">
        <v>6.0</v>
      </c>
      <c r="B159" s="1">
        <v>8.0</v>
      </c>
      <c r="C159" s="1">
        <v>86.0</v>
      </c>
      <c r="D159" s="1">
        <v>47.0</v>
      </c>
      <c r="F159" s="1" t="str">
        <f>LOOKUP(A159, NPCs!A:A, NPCs!C:C)</f>
        <v>Asp</v>
      </c>
      <c r="G159" s="1" t="str">
        <f>LOOKUP(B159, Maps!A:A, Maps!B:B)</f>
        <v>Roadkill Woods</v>
      </c>
    </row>
    <row r="160" ht="15.75" customHeight="1">
      <c r="A160" s="1">
        <v>6.0</v>
      </c>
      <c r="B160" s="1">
        <v>8.0</v>
      </c>
      <c r="C160" s="1">
        <v>73.0</v>
      </c>
      <c r="D160" s="1">
        <v>43.0</v>
      </c>
      <c r="F160" s="1" t="str">
        <f>LOOKUP(A160, NPCs!A:A, NPCs!C:C)</f>
        <v>Asp</v>
      </c>
      <c r="G160" s="1" t="str">
        <f>LOOKUP(B160, Maps!A:A, Maps!B:B)</f>
        <v>Roadkill Woods</v>
      </c>
    </row>
    <row r="161" ht="15.75" customHeight="1">
      <c r="A161" s="1">
        <v>6.0</v>
      </c>
      <c r="B161" s="1">
        <v>8.0</v>
      </c>
      <c r="C161" s="1">
        <v>72.0</v>
      </c>
      <c r="D161" s="1">
        <v>50.0</v>
      </c>
      <c r="F161" s="1" t="str">
        <f>LOOKUP(A161, NPCs!A:A, NPCs!C:C)</f>
        <v>Asp</v>
      </c>
      <c r="G161" s="1" t="str">
        <f>LOOKUP(B161, Maps!A:A, Maps!B:B)</f>
        <v>Roadkill Woods</v>
      </c>
    </row>
    <row r="162" ht="15.75" customHeight="1">
      <c r="A162" s="1">
        <v>6.0</v>
      </c>
      <c r="B162" s="1">
        <v>8.0</v>
      </c>
      <c r="C162" s="1">
        <v>82.0</v>
      </c>
      <c r="D162" s="1">
        <v>50.0</v>
      </c>
      <c r="F162" s="1" t="str">
        <f>LOOKUP(A162, NPCs!A:A, NPCs!C:C)</f>
        <v>Asp</v>
      </c>
      <c r="G162" s="1" t="str">
        <f>LOOKUP(B162, Maps!A:A, Maps!B:B)</f>
        <v>Roadkill Woods</v>
      </c>
    </row>
    <row r="163" ht="15.75" customHeight="1">
      <c r="A163" s="1">
        <v>6.0</v>
      </c>
      <c r="B163" s="1">
        <v>8.0</v>
      </c>
      <c r="C163" s="1">
        <v>89.0</v>
      </c>
      <c r="D163" s="1">
        <v>56.0</v>
      </c>
      <c r="F163" s="1" t="str">
        <f>LOOKUP(A163, NPCs!A:A, NPCs!C:C)</f>
        <v>Asp</v>
      </c>
      <c r="G163" s="1" t="str">
        <f>LOOKUP(B163, Maps!A:A, Maps!B:B)</f>
        <v>Roadkill Woods</v>
      </c>
    </row>
    <row r="164" ht="15.75" customHeight="1">
      <c r="A164" s="1">
        <v>6.0</v>
      </c>
      <c r="B164" s="1">
        <v>8.0</v>
      </c>
      <c r="C164" s="1">
        <v>93.0</v>
      </c>
      <c r="D164" s="1">
        <v>65.0</v>
      </c>
      <c r="F164" s="1" t="str">
        <f>LOOKUP(A164, NPCs!A:A, NPCs!C:C)</f>
        <v>Asp</v>
      </c>
      <c r="G164" s="1" t="str">
        <f>LOOKUP(B164, Maps!A:A, Maps!B:B)</f>
        <v>Roadkill Woods</v>
      </c>
    </row>
    <row r="165" ht="15.75" customHeight="1">
      <c r="A165" s="1">
        <v>6.0</v>
      </c>
      <c r="B165" s="1">
        <v>8.0</v>
      </c>
      <c r="C165" s="1">
        <v>96.0</v>
      </c>
      <c r="D165" s="1">
        <v>74.0</v>
      </c>
      <c r="F165" s="1" t="str">
        <f>LOOKUP(A165, NPCs!A:A, NPCs!C:C)</f>
        <v>Asp</v>
      </c>
      <c r="G165" s="1" t="str">
        <f>LOOKUP(B165, Maps!A:A, Maps!B:B)</f>
        <v>Roadkill Woods</v>
      </c>
    </row>
    <row r="166" ht="15.75" customHeight="1">
      <c r="A166" s="1">
        <v>6.0</v>
      </c>
      <c r="B166" s="1">
        <v>8.0</v>
      </c>
      <c r="C166" s="1">
        <v>91.0</v>
      </c>
      <c r="D166" s="1">
        <v>81.0</v>
      </c>
      <c r="F166" s="1" t="str">
        <f>LOOKUP(A166, NPCs!A:A, NPCs!C:C)</f>
        <v>Asp</v>
      </c>
      <c r="G166" s="1" t="str">
        <f>LOOKUP(B166, Maps!A:A, Maps!B:B)</f>
        <v>Roadkill Woods</v>
      </c>
    </row>
    <row r="167" ht="15.75" customHeight="1">
      <c r="A167" s="1">
        <v>6.0</v>
      </c>
      <c r="B167" s="1">
        <v>8.0</v>
      </c>
      <c r="C167" s="1">
        <v>90.0</v>
      </c>
      <c r="D167" s="1">
        <v>88.0</v>
      </c>
      <c r="F167" s="1" t="str">
        <f>LOOKUP(A167, NPCs!A:A, NPCs!C:C)</f>
        <v>Asp</v>
      </c>
      <c r="G167" s="1" t="str">
        <f>LOOKUP(B167, Maps!A:A, Maps!B:B)</f>
        <v>Roadkill Woods</v>
      </c>
    </row>
    <row r="168" ht="15.75" customHeight="1">
      <c r="A168" s="1">
        <v>6.0</v>
      </c>
      <c r="B168" s="1">
        <v>8.0</v>
      </c>
      <c r="C168" s="1">
        <v>84.0</v>
      </c>
      <c r="D168" s="1">
        <v>86.0</v>
      </c>
      <c r="F168" s="1" t="str">
        <f>LOOKUP(A168, NPCs!A:A, NPCs!C:C)</f>
        <v>Asp</v>
      </c>
      <c r="G168" s="1" t="str">
        <f>LOOKUP(B168, Maps!A:A, Maps!B:B)</f>
        <v>Roadkill Woods</v>
      </c>
    </row>
    <row r="169" ht="15.75" customHeight="1">
      <c r="A169" s="1">
        <v>6.0</v>
      </c>
      <c r="B169" s="1">
        <v>8.0</v>
      </c>
      <c r="C169" s="1">
        <v>81.0</v>
      </c>
      <c r="D169" s="1">
        <v>75.0</v>
      </c>
      <c r="F169" s="1" t="str">
        <f>LOOKUP(A169, NPCs!A:A, NPCs!C:C)</f>
        <v>Asp</v>
      </c>
      <c r="G169" s="1" t="str">
        <f>LOOKUP(B169, Maps!A:A, Maps!B:B)</f>
        <v>Roadkill Woods</v>
      </c>
    </row>
    <row r="170" ht="15.75" customHeight="1">
      <c r="A170" s="1">
        <v>6.0</v>
      </c>
      <c r="B170" s="1">
        <v>8.0</v>
      </c>
      <c r="C170" s="1">
        <v>84.0</v>
      </c>
      <c r="D170" s="1">
        <v>70.0</v>
      </c>
      <c r="F170" s="1" t="str">
        <f>LOOKUP(A170, NPCs!A:A, NPCs!C:C)</f>
        <v>Asp</v>
      </c>
      <c r="G170" s="1" t="str">
        <f>LOOKUP(B170, Maps!A:A, Maps!B:B)</f>
        <v>Roadkill Woods</v>
      </c>
    </row>
    <row r="171" ht="15.75" customHeight="1">
      <c r="A171" s="1">
        <v>6.0</v>
      </c>
      <c r="B171" s="1">
        <v>8.0</v>
      </c>
      <c r="C171" s="1">
        <v>79.0</v>
      </c>
      <c r="D171" s="1">
        <v>60.0</v>
      </c>
      <c r="F171" s="1" t="str">
        <f>LOOKUP(A171, NPCs!A:A, NPCs!C:C)</f>
        <v>Asp</v>
      </c>
      <c r="G171" s="1" t="str">
        <f>LOOKUP(B171, Maps!A:A, Maps!B:B)</f>
        <v>Roadkill Woods</v>
      </c>
    </row>
    <row r="172" ht="15.75" customHeight="1">
      <c r="A172" s="1">
        <v>6.0</v>
      </c>
      <c r="B172" s="1">
        <v>8.0</v>
      </c>
      <c r="C172" s="1">
        <v>66.0</v>
      </c>
      <c r="D172" s="1">
        <v>51.0</v>
      </c>
      <c r="F172" s="1" t="str">
        <f>LOOKUP(A172, NPCs!A:A, NPCs!C:C)</f>
        <v>Asp</v>
      </c>
      <c r="G172" s="1" t="str">
        <f>LOOKUP(B172, Maps!A:A, Maps!B:B)</f>
        <v>Roadkill Woods</v>
      </c>
    </row>
    <row r="173" ht="15.75" customHeight="1">
      <c r="A173" s="1">
        <v>6.0</v>
      </c>
      <c r="B173" s="1">
        <v>8.0</v>
      </c>
      <c r="C173" s="1">
        <v>83.0</v>
      </c>
      <c r="D173" s="1">
        <v>23.0</v>
      </c>
      <c r="F173" s="1" t="str">
        <f>LOOKUP(A173, NPCs!A:A, NPCs!C:C)</f>
        <v>Asp</v>
      </c>
      <c r="G173" s="1" t="str">
        <f>LOOKUP(B173, Maps!A:A, Maps!B:B)</f>
        <v>Roadkill Woods</v>
      </c>
    </row>
    <row r="174" ht="15.75" customHeight="1">
      <c r="A174" s="1">
        <v>6.0</v>
      </c>
      <c r="B174" s="1">
        <v>8.0</v>
      </c>
      <c r="C174" s="1">
        <v>76.0</v>
      </c>
      <c r="D174" s="1">
        <v>18.0</v>
      </c>
      <c r="F174" s="1" t="str">
        <f>LOOKUP(A174, NPCs!A:A, NPCs!C:C)</f>
        <v>Asp</v>
      </c>
      <c r="G174" s="1" t="str">
        <f>LOOKUP(B174, Maps!A:A, Maps!B:B)</f>
        <v>Roadkill Woods</v>
      </c>
    </row>
    <row r="175" ht="15.75" customHeight="1">
      <c r="A175" s="1">
        <v>6.0</v>
      </c>
      <c r="B175" s="1">
        <v>8.0</v>
      </c>
      <c r="C175" s="1">
        <v>69.0</v>
      </c>
      <c r="D175" s="1">
        <v>21.0</v>
      </c>
      <c r="F175" s="1" t="str">
        <f>LOOKUP(A175, NPCs!A:A, NPCs!C:C)</f>
        <v>Asp</v>
      </c>
      <c r="G175" s="1" t="str">
        <f>LOOKUP(B175, Maps!A:A, Maps!B:B)</f>
        <v>Roadkill Woods</v>
      </c>
    </row>
    <row r="176" ht="15.75" customHeight="1">
      <c r="A176" s="1">
        <v>6.0</v>
      </c>
      <c r="B176" s="1">
        <v>8.0</v>
      </c>
      <c r="C176" s="1">
        <v>62.0</v>
      </c>
      <c r="D176" s="1">
        <v>25.0</v>
      </c>
      <c r="F176" s="1" t="str">
        <f>LOOKUP(A176, NPCs!A:A, NPCs!C:C)</f>
        <v>Asp</v>
      </c>
      <c r="G176" s="1" t="str">
        <f>LOOKUP(B176, Maps!A:A, Maps!B:B)</f>
        <v>Roadkill Woods</v>
      </c>
    </row>
    <row r="177" ht="15.75" customHeight="1">
      <c r="A177" s="1">
        <v>6.0</v>
      </c>
      <c r="B177" s="1">
        <v>8.0</v>
      </c>
      <c r="C177" s="1">
        <v>56.0</v>
      </c>
      <c r="D177" s="1">
        <v>16.0</v>
      </c>
      <c r="F177" s="1" t="str">
        <f>LOOKUP(A177, NPCs!A:A, NPCs!C:C)</f>
        <v>Asp</v>
      </c>
      <c r="G177" s="1" t="str">
        <f>LOOKUP(B177, Maps!A:A, Maps!B:B)</f>
        <v>Roadkill Woods</v>
      </c>
    </row>
    <row r="178" ht="15.75" customHeight="1">
      <c r="A178" s="1">
        <v>6.0</v>
      </c>
      <c r="B178" s="1">
        <v>8.0</v>
      </c>
      <c r="C178" s="1">
        <v>67.0</v>
      </c>
      <c r="D178" s="1">
        <v>11.0</v>
      </c>
      <c r="F178" s="1" t="str">
        <f>LOOKUP(A178, NPCs!A:A, NPCs!C:C)</f>
        <v>Asp</v>
      </c>
      <c r="G178" s="1" t="str">
        <f>LOOKUP(B178, Maps!A:A, Maps!B:B)</f>
        <v>Roadkill Woods</v>
      </c>
    </row>
    <row r="179" ht="15.75" customHeight="1">
      <c r="A179" s="1">
        <v>6.0</v>
      </c>
      <c r="B179" s="1">
        <v>8.0</v>
      </c>
      <c r="C179" s="1">
        <v>77.0</v>
      </c>
      <c r="D179" s="1">
        <v>14.0</v>
      </c>
      <c r="F179" s="1" t="str">
        <f>LOOKUP(A179, NPCs!A:A, NPCs!C:C)</f>
        <v>Asp</v>
      </c>
      <c r="G179" s="1" t="str">
        <f>LOOKUP(B179, Maps!A:A, Maps!B:B)</f>
        <v>Roadkill Woods</v>
      </c>
    </row>
    <row r="180" ht="15.75" customHeight="1">
      <c r="A180" s="1">
        <v>6.0</v>
      </c>
      <c r="B180" s="1">
        <v>8.0</v>
      </c>
      <c r="C180" s="1">
        <v>90.0</v>
      </c>
      <c r="D180" s="1">
        <v>14.0</v>
      </c>
      <c r="F180" s="1" t="str">
        <f>LOOKUP(A180, NPCs!A:A, NPCs!C:C)</f>
        <v>Asp</v>
      </c>
      <c r="G180" s="1" t="str">
        <f>LOOKUP(B180, Maps!A:A, Maps!B:B)</f>
        <v>Roadkill Woods</v>
      </c>
    </row>
    <row r="181" ht="15.75" customHeight="1">
      <c r="A181" s="1">
        <v>6.0</v>
      </c>
      <c r="B181" s="1">
        <v>8.0</v>
      </c>
      <c r="C181" s="1">
        <v>96.0</v>
      </c>
      <c r="D181" s="1">
        <v>17.0</v>
      </c>
      <c r="F181" s="1" t="str">
        <f>LOOKUP(A181, NPCs!A:A, NPCs!C:C)</f>
        <v>Asp</v>
      </c>
      <c r="G181" s="1" t="str">
        <f>LOOKUP(B181, Maps!A:A, Maps!B:B)</f>
        <v>Roadkill Woods</v>
      </c>
    </row>
    <row r="182" ht="15.75" customHeight="1">
      <c r="A182" s="1">
        <v>6.0</v>
      </c>
      <c r="B182" s="1">
        <v>8.0</v>
      </c>
      <c r="C182" s="1">
        <v>95.0</v>
      </c>
      <c r="D182" s="1">
        <v>5.0</v>
      </c>
      <c r="F182" s="1" t="str">
        <f>LOOKUP(A182, NPCs!A:A, NPCs!C:C)</f>
        <v>Asp</v>
      </c>
      <c r="G182" s="1" t="str">
        <f>LOOKUP(B182, Maps!A:A, Maps!B:B)</f>
        <v>Roadkill Woods</v>
      </c>
    </row>
    <row r="183" ht="15.75" customHeight="1">
      <c r="A183" s="1">
        <v>6.0</v>
      </c>
      <c r="B183" s="1">
        <v>8.0</v>
      </c>
      <c r="C183" s="1">
        <v>82.0</v>
      </c>
      <c r="D183" s="1">
        <v>6.0</v>
      </c>
      <c r="F183" s="1" t="str">
        <f>LOOKUP(A183, NPCs!A:A, NPCs!C:C)</f>
        <v>Asp</v>
      </c>
      <c r="G183" s="1" t="str">
        <f>LOOKUP(B183, Maps!A:A, Maps!B:B)</f>
        <v>Roadkill Woods</v>
      </c>
    </row>
    <row r="184" ht="15.75" customHeight="1">
      <c r="A184" s="1">
        <v>6.0</v>
      </c>
      <c r="B184" s="1">
        <v>8.0</v>
      </c>
      <c r="C184" s="1">
        <v>55.0</v>
      </c>
      <c r="D184" s="1">
        <v>10.0</v>
      </c>
      <c r="F184" s="1" t="str">
        <f>LOOKUP(A184, NPCs!A:A, NPCs!C:C)</f>
        <v>Asp</v>
      </c>
      <c r="G184" s="1" t="str">
        <f>LOOKUP(B184, Maps!A:A, Maps!B:B)</f>
        <v>Roadkill Woods</v>
      </c>
    </row>
    <row r="185" ht="15.75" customHeight="1">
      <c r="A185" s="1">
        <v>6.0</v>
      </c>
      <c r="B185" s="1">
        <v>8.0</v>
      </c>
      <c r="C185" s="1">
        <v>51.0</v>
      </c>
      <c r="D185" s="1">
        <v>20.0</v>
      </c>
      <c r="F185" s="1" t="str">
        <f>LOOKUP(A185, NPCs!A:A, NPCs!C:C)</f>
        <v>Asp</v>
      </c>
      <c r="G185" s="1" t="str">
        <f>LOOKUP(B185, Maps!A:A, Maps!B:B)</f>
        <v>Roadkill Woods</v>
      </c>
    </row>
    <row r="186" ht="15.75" customHeight="1">
      <c r="A186" s="1">
        <v>6.0</v>
      </c>
      <c r="B186" s="1">
        <v>8.0</v>
      </c>
      <c r="C186" s="1">
        <v>55.0</v>
      </c>
      <c r="D186" s="1">
        <v>27.0</v>
      </c>
      <c r="F186" s="1" t="str">
        <f>LOOKUP(A186, NPCs!A:A, NPCs!C:C)</f>
        <v>Asp</v>
      </c>
      <c r="G186" s="1" t="str">
        <f>LOOKUP(B186, Maps!A:A, Maps!B:B)</f>
        <v>Roadkill Woods</v>
      </c>
    </row>
    <row r="187" ht="15.75" customHeight="1">
      <c r="A187" s="1">
        <v>6.0</v>
      </c>
      <c r="B187" s="1">
        <v>8.0</v>
      </c>
      <c r="C187" s="1">
        <v>56.0</v>
      </c>
      <c r="D187" s="1">
        <v>37.0</v>
      </c>
      <c r="F187" s="1" t="str">
        <f>LOOKUP(A187, NPCs!A:A, NPCs!C:C)</f>
        <v>Asp</v>
      </c>
      <c r="G187" s="1" t="str">
        <f>LOOKUP(B187, Maps!A:A, Maps!B:B)</f>
        <v>Roadkill Woods</v>
      </c>
    </row>
    <row r="188" ht="15.75" customHeight="1">
      <c r="A188" s="1">
        <v>6.0</v>
      </c>
      <c r="B188" s="1">
        <v>8.0</v>
      </c>
      <c r="C188" s="1">
        <v>44.0</v>
      </c>
      <c r="D188" s="1">
        <v>23.0</v>
      </c>
      <c r="F188" s="1" t="str">
        <f>LOOKUP(A188, NPCs!A:A, NPCs!C:C)</f>
        <v>Asp</v>
      </c>
      <c r="G188" s="1" t="str">
        <f>LOOKUP(B188, Maps!A:A, Maps!B:B)</f>
        <v>Roadkill Woods</v>
      </c>
    </row>
    <row r="189" ht="15.75" customHeight="1">
      <c r="A189" s="1">
        <v>6.0</v>
      </c>
      <c r="B189" s="1">
        <v>8.0</v>
      </c>
      <c r="C189" s="1">
        <v>35.0</v>
      </c>
      <c r="D189" s="1">
        <v>18.0</v>
      </c>
      <c r="F189" s="1" t="str">
        <f>LOOKUP(A189, NPCs!A:A, NPCs!C:C)</f>
        <v>Asp</v>
      </c>
      <c r="G189" s="1" t="str">
        <f>LOOKUP(B189, Maps!A:A, Maps!B:B)</f>
        <v>Roadkill Woods</v>
      </c>
    </row>
    <row r="190" ht="15.75" customHeight="1">
      <c r="A190" s="1">
        <v>6.0</v>
      </c>
      <c r="B190" s="1">
        <v>8.0</v>
      </c>
      <c r="C190" s="1">
        <v>31.0</v>
      </c>
      <c r="D190" s="1">
        <v>9.0</v>
      </c>
      <c r="F190" s="1" t="str">
        <f>LOOKUP(A190, NPCs!A:A, NPCs!C:C)</f>
        <v>Asp</v>
      </c>
      <c r="G190" s="1" t="str">
        <f>LOOKUP(B190, Maps!A:A, Maps!B:B)</f>
        <v>Roadkill Woods</v>
      </c>
    </row>
    <row r="191" ht="15.75" customHeight="1">
      <c r="A191" s="1">
        <v>6.0</v>
      </c>
      <c r="B191" s="1">
        <v>8.0</v>
      </c>
      <c r="C191" s="1">
        <v>39.0</v>
      </c>
      <c r="D191" s="1">
        <v>4.0</v>
      </c>
      <c r="F191" s="1" t="str">
        <f>LOOKUP(A191, NPCs!A:A, NPCs!C:C)</f>
        <v>Asp</v>
      </c>
      <c r="G191" s="1" t="str">
        <f>LOOKUP(B191, Maps!A:A, Maps!B:B)</f>
        <v>Roadkill Woods</v>
      </c>
    </row>
    <row r="192" ht="15.75" customHeight="1">
      <c r="A192" s="1">
        <v>6.0</v>
      </c>
      <c r="B192" s="1">
        <v>8.0</v>
      </c>
      <c r="C192" s="1">
        <v>53.0</v>
      </c>
      <c r="D192" s="1">
        <v>5.0</v>
      </c>
      <c r="F192" s="1" t="str">
        <f>LOOKUP(A192, NPCs!A:A, NPCs!C:C)</f>
        <v>Asp</v>
      </c>
      <c r="G192" s="1" t="str">
        <f>LOOKUP(B192, Maps!A:A, Maps!B:B)</f>
        <v>Roadkill Woods</v>
      </c>
    </row>
    <row r="193" ht="15.75" customHeight="1">
      <c r="A193" s="1">
        <v>6.0</v>
      </c>
      <c r="B193" s="1">
        <v>8.0</v>
      </c>
      <c r="C193" s="1">
        <v>81.0</v>
      </c>
      <c r="D193" s="1">
        <v>27.0</v>
      </c>
      <c r="F193" s="1" t="str">
        <f>LOOKUP(A193, NPCs!A:A, NPCs!C:C)</f>
        <v>Asp</v>
      </c>
      <c r="G193" s="1" t="str">
        <f>LOOKUP(B193, Maps!A:A, Maps!B:B)</f>
        <v>Roadkill Woods</v>
      </c>
    </row>
    <row r="194" ht="15.75" customHeight="1">
      <c r="A194" s="1">
        <v>6.0</v>
      </c>
      <c r="B194" s="1">
        <v>8.0</v>
      </c>
      <c r="C194" s="1">
        <v>92.0</v>
      </c>
      <c r="D194" s="1">
        <v>29.0</v>
      </c>
      <c r="F194" s="1" t="str">
        <f>LOOKUP(A194, NPCs!A:A, NPCs!C:C)</f>
        <v>Asp</v>
      </c>
      <c r="G194" s="1" t="str">
        <f>LOOKUP(B194, Maps!A:A, Maps!B:B)</f>
        <v>Roadkill Woods</v>
      </c>
    </row>
    <row r="195" ht="15.75" customHeight="1">
      <c r="A195" s="1">
        <v>6.0</v>
      </c>
      <c r="B195" s="1">
        <v>8.0</v>
      </c>
      <c r="C195" s="1">
        <v>56.0</v>
      </c>
      <c r="D195" s="1">
        <v>56.0</v>
      </c>
      <c r="F195" s="1" t="str">
        <f>LOOKUP(A195, NPCs!A:A, NPCs!C:C)</f>
        <v>Asp</v>
      </c>
      <c r="G195" s="1" t="str">
        <f>LOOKUP(B195, Maps!A:A, Maps!B:B)</f>
        <v>Roadkill Woods</v>
      </c>
    </row>
    <row r="196" ht="15.75" customHeight="1">
      <c r="A196" s="1">
        <v>6.0</v>
      </c>
      <c r="B196" s="1">
        <v>8.0</v>
      </c>
      <c r="C196" s="1">
        <v>48.0</v>
      </c>
      <c r="D196" s="1">
        <v>42.0</v>
      </c>
      <c r="F196" s="1" t="str">
        <f>LOOKUP(A196, NPCs!A:A, NPCs!C:C)</f>
        <v>Asp</v>
      </c>
      <c r="G196" s="1" t="str">
        <f>LOOKUP(B196, Maps!A:A, Maps!B:B)</f>
        <v>Roadkill Woods</v>
      </c>
    </row>
    <row r="197" ht="15.75" customHeight="1">
      <c r="A197" s="1">
        <v>6.0</v>
      </c>
      <c r="B197" s="1">
        <v>8.0</v>
      </c>
      <c r="C197" s="1">
        <v>44.0</v>
      </c>
      <c r="D197" s="1">
        <v>56.0</v>
      </c>
      <c r="F197" s="1" t="str">
        <f>LOOKUP(A197, NPCs!A:A, NPCs!C:C)</f>
        <v>Asp</v>
      </c>
      <c r="G197" s="1" t="str">
        <f>LOOKUP(B197, Maps!A:A, Maps!B:B)</f>
        <v>Roadkill Woods</v>
      </c>
    </row>
    <row r="198" ht="15.75" customHeight="1">
      <c r="A198" s="1">
        <v>6.0</v>
      </c>
      <c r="B198" s="1">
        <v>8.0</v>
      </c>
      <c r="C198" s="1">
        <v>44.0</v>
      </c>
      <c r="D198" s="1">
        <v>66.0</v>
      </c>
      <c r="F198" s="1" t="str">
        <f>LOOKUP(A198, NPCs!A:A, NPCs!C:C)</f>
        <v>Asp</v>
      </c>
      <c r="G198" s="1" t="str">
        <f>LOOKUP(B198, Maps!A:A, Maps!B:B)</f>
        <v>Roadkill Woods</v>
      </c>
    </row>
    <row r="199" ht="15.75" customHeight="1">
      <c r="A199" s="1">
        <v>6.0</v>
      </c>
      <c r="B199" s="1">
        <v>8.0</v>
      </c>
      <c r="C199" s="1">
        <v>56.0</v>
      </c>
      <c r="D199" s="1">
        <v>69.0</v>
      </c>
      <c r="F199" s="1" t="str">
        <f>LOOKUP(A199, NPCs!A:A, NPCs!C:C)</f>
        <v>Asp</v>
      </c>
      <c r="G199" s="1" t="str">
        <f>LOOKUP(B199, Maps!A:A, Maps!B:B)</f>
        <v>Roadkill Woods</v>
      </c>
    </row>
    <row r="200" ht="15.75" customHeight="1">
      <c r="A200" s="1">
        <v>6.0</v>
      </c>
      <c r="B200" s="1">
        <v>8.0</v>
      </c>
      <c r="C200" s="1">
        <v>64.0</v>
      </c>
      <c r="D200" s="1">
        <v>78.0</v>
      </c>
      <c r="F200" s="1" t="str">
        <f>LOOKUP(A200, NPCs!A:A, NPCs!C:C)</f>
        <v>Asp</v>
      </c>
      <c r="G200" s="1" t="str">
        <f>LOOKUP(B200, Maps!A:A, Maps!B:B)</f>
        <v>Roadkill Woods</v>
      </c>
    </row>
    <row r="201" ht="15.75" customHeight="1">
      <c r="A201" s="1">
        <v>6.0</v>
      </c>
      <c r="B201" s="1">
        <v>8.0</v>
      </c>
      <c r="C201" s="1">
        <v>65.0</v>
      </c>
      <c r="D201" s="1">
        <v>89.0</v>
      </c>
      <c r="F201" s="1" t="str">
        <f>LOOKUP(A201, NPCs!A:A, NPCs!C:C)</f>
        <v>Asp</v>
      </c>
      <c r="G201" s="1" t="str">
        <f>LOOKUP(B201, Maps!A:A, Maps!B:B)</f>
        <v>Roadkill Woods</v>
      </c>
    </row>
    <row r="202" ht="15.75" customHeight="1">
      <c r="A202" s="1">
        <v>6.0</v>
      </c>
      <c r="B202" s="1">
        <v>8.0</v>
      </c>
      <c r="C202" s="1">
        <v>53.0</v>
      </c>
      <c r="D202" s="1">
        <v>93.0</v>
      </c>
      <c r="F202" s="1" t="str">
        <f>LOOKUP(A202, NPCs!A:A, NPCs!C:C)</f>
        <v>Asp</v>
      </c>
      <c r="G202" s="1" t="str">
        <f>LOOKUP(B202, Maps!A:A, Maps!B:B)</f>
        <v>Roadkill Woods</v>
      </c>
    </row>
    <row r="203" ht="15.75" customHeight="1">
      <c r="A203" s="1">
        <v>6.0</v>
      </c>
      <c r="B203" s="1">
        <v>8.0</v>
      </c>
      <c r="C203" s="1">
        <v>40.0</v>
      </c>
      <c r="D203" s="1">
        <v>90.0</v>
      </c>
      <c r="F203" s="1" t="str">
        <f>LOOKUP(A203, NPCs!A:A, NPCs!C:C)</f>
        <v>Asp</v>
      </c>
      <c r="G203" s="1" t="str">
        <f>LOOKUP(B203, Maps!A:A, Maps!B:B)</f>
        <v>Roadkill Woods</v>
      </c>
    </row>
    <row r="204" ht="15.75" customHeight="1">
      <c r="A204" s="1">
        <v>6.0</v>
      </c>
      <c r="B204" s="1">
        <v>8.0</v>
      </c>
      <c r="C204" s="1">
        <v>31.0</v>
      </c>
      <c r="D204" s="1">
        <v>90.0</v>
      </c>
      <c r="F204" s="1" t="str">
        <f>LOOKUP(A204, NPCs!A:A, NPCs!C:C)</f>
        <v>Asp</v>
      </c>
      <c r="G204" s="1" t="str">
        <f>LOOKUP(B204, Maps!A:A, Maps!B:B)</f>
        <v>Roadkill Woods</v>
      </c>
    </row>
    <row r="205" ht="15.75" customHeight="1">
      <c r="A205" s="1">
        <v>6.0</v>
      </c>
      <c r="B205" s="1">
        <v>8.0</v>
      </c>
      <c r="C205" s="1">
        <v>31.0</v>
      </c>
      <c r="D205" s="1">
        <v>77.0</v>
      </c>
      <c r="F205" s="1" t="str">
        <f>LOOKUP(A205, NPCs!A:A, NPCs!C:C)</f>
        <v>Asp</v>
      </c>
      <c r="G205" s="1" t="str">
        <f>LOOKUP(B205, Maps!A:A, Maps!B:B)</f>
        <v>Roadkill Woods</v>
      </c>
    </row>
    <row r="206" ht="15.75" customHeight="1">
      <c r="A206" s="1">
        <v>6.0</v>
      </c>
      <c r="B206" s="1">
        <v>8.0</v>
      </c>
      <c r="C206" s="1">
        <v>15.0</v>
      </c>
      <c r="D206" s="1">
        <v>81.0</v>
      </c>
      <c r="F206" s="1" t="str">
        <f>LOOKUP(A206, NPCs!A:A, NPCs!C:C)</f>
        <v>Asp</v>
      </c>
      <c r="G206" s="1" t="str">
        <f>LOOKUP(B206, Maps!A:A, Maps!B:B)</f>
        <v>Roadkill Woods</v>
      </c>
    </row>
    <row r="207" ht="15.75" customHeight="1">
      <c r="A207" s="1">
        <v>6.0</v>
      </c>
      <c r="B207" s="1">
        <v>8.0</v>
      </c>
      <c r="C207" s="1">
        <v>14.0</v>
      </c>
      <c r="D207" s="1">
        <v>64.0</v>
      </c>
      <c r="F207" s="1" t="str">
        <f>LOOKUP(A207, NPCs!A:A, NPCs!C:C)</f>
        <v>Asp</v>
      </c>
      <c r="G207" s="1" t="str">
        <f>LOOKUP(B207, Maps!A:A, Maps!B:B)</f>
        <v>Roadkill Woods</v>
      </c>
    </row>
    <row r="208" ht="15.75" customHeight="1">
      <c r="A208" s="1">
        <v>6.0</v>
      </c>
      <c r="B208" s="1">
        <v>8.0</v>
      </c>
      <c r="C208" s="1">
        <v>7.0</v>
      </c>
      <c r="D208" s="1">
        <v>58.0</v>
      </c>
      <c r="F208" s="1" t="str">
        <f>LOOKUP(A208, NPCs!A:A, NPCs!C:C)</f>
        <v>Asp</v>
      </c>
      <c r="G208" s="1" t="str">
        <f>LOOKUP(B208, Maps!A:A, Maps!B:B)</f>
        <v>Roadkill Woods</v>
      </c>
    </row>
    <row r="209" ht="15.75" customHeight="1">
      <c r="A209" s="1">
        <v>6.0</v>
      </c>
      <c r="B209" s="1">
        <v>8.0</v>
      </c>
      <c r="C209" s="1">
        <v>9.0</v>
      </c>
      <c r="D209" s="1">
        <v>34.0</v>
      </c>
      <c r="F209" s="1" t="str">
        <f>LOOKUP(A209, NPCs!A:A, NPCs!C:C)</f>
        <v>Asp</v>
      </c>
      <c r="G209" s="1" t="str">
        <f>LOOKUP(B209, Maps!A:A, Maps!B:B)</f>
        <v>Roadkill Woods</v>
      </c>
    </row>
    <row r="210" ht="15.75" customHeight="1">
      <c r="A210" s="1">
        <v>7.0</v>
      </c>
      <c r="B210" s="1">
        <v>2.0</v>
      </c>
      <c r="C210" s="1">
        <v>12.0</v>
      </c>
      <c r="D210" s="1">
        <v>13.0</v>
      </c>
      <c r="F210" s="1" t="str">
        <f>LOOKUP(A210, NPCs!A:A, NPCs!C:C)</f>
        <v>Bat</v>
      </c>
      <c r="G210" s="1" t="str">
        <f>LOOKUP(B210, Maps!A:A, Maps!B:B)</f>
        <v>Its the Bat Cave Robin</v>
      </c>
    </row>
    <row r="211" ht="15.75" customHeight="1">
      <c r="A211" s="1">
        <v>7.0</v>
      </c>
      <c r="B211" s="1">
        <v>2.0</v>
      </c>
      <c r="C211" s="1">
        <v>16.0</v>
      </c>
      <c r="D211" s="1">
        <v>11.0</v>
      </c>
      <c r="F211" s="1" t="str">
        <f>LOOKUP(A211, NPCs!A:A, NPCs!C:C)</f>
        <v>Bat</v>
      </c>
      <c r="G211" s="1" t="str">
        <f>LOOKUP(B211, Maps!A:A, Maps!B:B)</f>
        <v>Its the Bat Cave Robin</v>
      </c>
    </row>
    <row r="212" ht="15.75" customHeight="1">
      <c r="A212" s="1">
        <v>7.0</v>
      </c>
      <c r="B212" s="1">
        <v>2.0</v>
      </c>
      <c r="C212" s="1">
        <v>9.0</v>
      </c>
      <c r="D212" s="1">
        <v>19.0</v>
      </c>
      <c r="F212" s="1" t="str">
        <f>LOOKUP(A212, NPCs!A:A, NPCs!C:C)</f>
        <v>Bat</v>
      </c>
      <c r="G212" s="1" t="str">
        <f>LOOKUP(B212, Maps!A:A, Maps!B:B)</f>
        <v>Its the Bat Cave Robin</v>
      </c>
    </row>
    <row r="213" ht="15.75" customHeight="1">
      <c r="A213" s="1">
        <v>7.0</v>
      </c>
      <c r="B213" s="1">
        <v>2.0</v>
      </c>
      <c r="C213" s="1">
        <v>15.0</v>
      </c>
      <c r="D213" s="1">
        <v>31.0</v>
      </c>
      <c r="F213" s="1" t="str">
        <f>LOOKUP(A213, NPCs!A:A, NPCs!C:C)</f>
        <v>Bat</v>
      </c>
      <c r="G213" s="1" t="str">
        <f>LOOKUP(B213, Maps!A:A, Maps!B:B)</f>
        <v>Its the Bat Cave Robin</v>
      </c>
    </row>
    <row r="214" ht="15.75" customHeight="1">
      <c r="A214" s="1">
        <v>7.0</v>
      </c>
      <c r="B214" s="1">
        <v>2.0</v>
      </c>
      <c r="C214" s="1">
        <v>17.0</v>
      </c>
      <c r="D214" s="1">
        <v>38.0</v>
      </c>
      <c r="F214" s="1" t="str">
        <f>LOOKUP(A214, NPCs!A:A, NPCs!C:C)</f>
        <v>Bat</v>
      </c>
      <c r="G214" s="1" t="str">
        <f>LOOKUP(B214, Maps!A:A, Maps!B:B)</f>
        <v>Its the Bat Cave Robin</v>
      </c>
    </row>
    <row r="215" ht="15.75" customHeight="1">
      <c r="A215" s="1">
        <v>7.0</v>
      </c>
      <c r="B215" s="1">
        <v>2.0</v>
      </c>
      <c r="C215" s="1">
        <v>9.0</v>
      </c>
      <c r="D215" s="1">
        <v>42.0</v>
      </c>
      <c r="F215" s="1" t="str">
        <f>LOOKUP(A215, NPCs!A:A, NPCs!C:C)</f>
        <v>Bat</v>
      </c>
      <c r="G215" s="1" t="str">
        <f>LOOKUP(B215, Maps!A:A, Maps!B:B)</f>
        <v>Its the Bat Cave Robin</v>
      </c>
    </row>
    <row r="216" ht="15.75" customHeight="1">
      <c r="A216" s="1">
        <v>7.0</v>
      </c>
      <c r="B216" s="1">
        <v>2.0</v>
      </c>
      <c r="C216" s="1">
        <v>7.0</v>
      </c>
      <c r="D216" s="1">
        <v>45.0</v>
      </c>
      <c r="F216" s="1" t="str">
        <f>LOOKUP(A216, NPCs!A:A, NPCs!C:C)</f>
        <v>Bat</v>
      </c>
      <c r="G216" s="1" t="str">
        <f>LOOKUP(B216, Maps!A:A, Maps!B:B)</f>
        <v>Its the Bat Cave Robin</v>
      </c>
    </row>
    <row r="217" ht="15.75" customHeight="1">
      <c r="A217" s="1">
        <v>7.0</v>
      </c>
      <c r="B217" s="1">
        <v>2.0</v>
      </c>
      <c r="C217" s="1">
        <v>16.0</v>
      </c>
      <c r="D217" s="1">
        <v>45.0</v>
      </c>
      <c r="F217" s="1" t="str">
        <f>LOOKUP(A217, NPCs!A:A, NPCs!C:C)</f>
        <v>Bat</v>
      </c>
      <c r="G217" s="1" t="str">
        <f>LOOKUP(B217, Maps!A:A, Maps!B:B)</f>
        <v>Its the Bat Cave Robin</v>
      </c>
    </row>
    <row r="218" ht="15.75" customHeight="1">
      <c r="A218" s="1">
        <v>7.0</v>
      </c>
      <c r="B218" s="1">
        <v>2.0</v>
      </c>
      <c r="C218" s="1">
        <v>10.0</v>
      </c>
      <c r="D218" s="1">
        <v>54.0</v>
      </c>
      <c r="F218" s="1" t="str">
        <f>LOOKUP(A218, NPCs!A:A, NPCs!C:C)</f>
        <v>Bat</v>
      </c>
      <c r="G218" s="1" t="str">
        <f>LOOKUP(B218, Maps!A:A, Maps!B:B)</f>
        <v>Its the Bat Cave Robin</v>
      </c>
    </row>
    <row r="219" ht="15.75" customHeight="1">
      <c r="A219" s="1">
        <v>7.0</v>
      </c>
      <c r="B219" s="1">
        <v>2.0</v>
      </c>
      <c r="C219" s="1">
        <v>17.0</v>
      </c>
      <c r="D219" s="1">
        <v>55.0</v>
      </c>
      <c r="F219" s="1" t="str">
        <f>LOOKUP(A219, NPCs!A:A, NPCs!C:C)</f>
        <v>Bat</v>
      </c>
      <c r="G219" s="1" t="str">
        <f>LOOKUP(B219, Maps!A:A, Maps!B:B)</f>
        <v>Its the Bat Cave Robin</v>
      </c>
    </row>
    <row r="220" ht="15.75" customHeight="1">
      <c r="A220" s="1">
        <v>7.0</v>
      </c>
      <c r="B220" s="1">
        <v>2.0</v>
      </c>
      <c r="C220" s="1">
        <v>22.0</v>
      </c>
      <c r="D220" s="1">
        <v>50.0</v>
      </c>
      <c r="F220" s="1" t="str">
        <f>LOOKUP(A220, NPCs!A:A, NPCs!C:C)</f>
        <v>Bat</v>
      </c>
      <c r="G220" s="1" t="str">
        <f>LOOKUP(B220, Maps!A:A, Maps!B:B)</f>
        <v>Its the Bat Cave Robin</v>
      </c>
    </row>
    <row r="221" ht="15.75" customHeight="1">
      <c r="A221" s="1">
        <v>7.0</v>
      </c>
      <c r="B221" s="1">
        <v>2.0</v>
      </c>
      <c r="C221" s="1">
        <v>23.0</v>
      </c>
      <c r="D221" s="1">
        <v>39.0</v>
      </c>
      <c r="F221" s="1" t="str">
        <f>LOOKUP(A221, NPCs!A:A, NPCs!C:C)</f>
        <v>Bat</v>
      </c>
      <c r="G221" s="1" t="str">
        <f>LOOKUP(B221, Maps!A:A, Maps!B:B)</f>
        <v>Its the Bat Cave Robin</v>
      </c>
    </row>
    <row r="222" ht="15.75" customHeight="1">
      <c r="A222" s="1">
        <v>7.0</v>
      </c>
      <c r="B222" s="1">
        <v>2.0</v>
      </c>
      <c r="C222" s="1">
        <v>27.0</v>
      </c>
      <c r="D222" s="1">
        <v>32.0</v>
      </c>
      <c r="F222" s="1" t="str">
        <f>LOOKUP(A222, NPCs!A:A, NPCs!C:C)</f>
        <v>Bat</v>
      </c>
      <c r="G222" s="1" t="str">
        <f>LOOKUP(B222, Maps!A:A, Maps!B:B)</f>
        <v>Its the Bat Cave Robin</v>
      </c>
    </row>
    <row r="223" ht="15.75" customHeight="1">
      <c r="A223" s="1">
        <v>7.0</v>
      </c>
      <c r="B223" s="1">
        <v>2.0</v>
      </c>
      <c r="C223" s="1">
        <v>29.0</v>
      </c>
      <c r="D223" s="1">
        <v>28.0</v>
      </c>
      <c r="F223" s="1" t="str">
        <f>LOOKUP(A223, NPCs!A:A, NPCs!C:C)</f>
        <v>Bat</v>
      </c>
      <c r="G223" s="1" t="str">
        <f>LOOKUP(B223, Maps!A:A, Maps!B:B)</f>
        <v>Its the Bat Cave Robin</v>
      </c>
    </row>
    <row r="224" ht="15.75" customHeight="1">
      <c r="A224" s="1">
        <v>7.0</v>
      </c>
      <c r="B224" s="1">
        <v>2.0</v>
      </c>
      <c r="C224" s="1">
        <v>26.0</v>
      </c>
      <c r="D224" s="1">
        <v>23.0</v>
      </c>
      <c r="F224" s="1" t="str">
        <f>LOOKUP(A224, NPCs!A:A, NPCs!C:C)</f>
        <v>Bat</v>
      </c>
      <c r="G224" s="1" t="str">
        <f>LOOKUP(B224, Maps!A:A, Maps!B:B)</f>
        <v>Its the Bat Cave Robin</v>
      </c>
    </row>
    <row r="225" ht="15.75" customHeight="1">
      <c r="A225" s="1">
        <v>7.0</v>
      </c>
      <c r="B225" s="1">
        <v>2.0</v>
      </c>
      <c r="C225" s="1">
        <v>23.0</v>
      </c>
      <c r="D225" s="1">
        <v>25.0</v>
      </c>
      <c r="F225" s="1" t="str">
        <f>LOOKUP(A225, NPCs!A:A, NPCs!C:C)</f>
        <v>Bat</v>
      </c>
      <c r="G225" s="1" t="str">
        <f>LOOKUP(B225, Maps!A:A, Maps!B:B)</f>
        <v>Its the Bat Cave Robin</v>
      </c>
    </row>
    <row r="226" ht="15.75" customHeight="1">
      <c r="A226" s="1">
        <v>7.0</v>
      </c>
      <c r="B226" s="1">
        <v>2.0</v>
      </c>
      <c r="C226" s="1">
        <v>23.0</v>
      </c>
      <c r="D226" s="1">
        <v>30.0</v>
      </c>
      <c r="F226" s="1" t="str">
        <f>LOOKUP(A226, NPCs!A:A, NPCs!C:C)</f>
        <v>Bat</v>
      </c>
      <c r="G226" s="1" t="str">
        <f>LOOKUP(B226, Maps!A:A, Maps!B:B)</f>
        <v>Its the Bat Cave Robin</v>
      </c>
    </row>
    <row r="227" ht="15.75" customHeight="1">
      <c r="A227" s="1">
        <v>7.0</v>
      </c>
      <c r="B227" s="1">
        <v>2.0</v>
      </c>
      <c r="C227" s="1">
        <v>31.0</v>
      </c>
      <c r="D227" s="1">
        <v>48.0</v>
      </c>
      <c r="F227" s="1" t="str">
        <f>LOOKUP(A227, NPCs!A:A, NPCs!C:C)</f>
        <v>Bat</v>
      </c>
      <c r="G227" s="1" t="str">
        <f>LOOKUP(B227, Maps!A:A, Maps!B:B)</f>
        <v>Its the Bat Cave Robin</v>
      </c>
    </row>
    <row r="228" ht="15.75" customHeight="1">
      <c r="A228" s="1">
        <v>7.0</v>
      </c>
      <c r="B228" s="1">
        <v>2.0</v>
      </c>
      <c r="C228" s="1">
        <v>31.0</v>
      </c>
      <c r="D228" s="1">
        <v>41.0</v>
      </c>
      <c r="F228" s="1" t="str">
        <f>LOOKUP(A228, NPCs!A:A, NPCs!C:C)</f>
        <v>Bat</v>
      </c>
      <c r="G228" s="1" t="str">
        <f>LOOKUP(B228, Maps!A:A, Maps!B:B)</f>
        <v>Its the Bat Cave Robin</v>
      </c>
    </row>
    <row r="229" ht="15.75" customHeight="1">
      <c r="A229" s="1">
        <v>7.0</v>
      </c>
      <c r="B229" s="1">
        <v>2.0</v>
      </c>
      <c r="C229" s="1">
        <v>35.0</v>
      </c>
      <c r="D229" s="1">
        <v>43.0</v>
      </c>
      <c r="F229" s="1" t="str">
        <f>LOOKUP(A229, NPCs!A:A, NPCs!C:C)</f>
        <v>Bat</v>
      </c>
      <c r="G229" s="1" t="str">
        <f>LOOKUP(B229, Maps!A:A, Maps!B:B)</f>
        <v>Its the Bat Cave Robin</v>
      </c>
    </row>
    <row r="230" ht="15.75" customHeight="1">
      <c r="A230" s="1">
        <v>7.0</v>
      </c>
      <c r="B230" s="1">
        <v>2.0</v>
      </c>
      <c r="C230" s="1">
        <v>41.0</v>
      </c>
      <c r="D230" s="1">
        <v>41.0</v>
      </c>
      <c r="F230" s="1" t="str">
        <f>LOOKUP(A230, NPCs!A:A, NPCs!C:C)</f>
        <v>Bat</v>
      </c>
      <c r="G230" s="1" t="str">
        <f>LOOKUP(B230, Maps!A:A, Maps!B:B)</f>
        <v>Its the Bat Cave Robin</v>
      </c>
    </row>
    <row r="231" ht="15.75" customHeight="1">
      <c r="A231" s="1">
        <v>7.0</v>
      </c>
      <c r="B231" s="1">
        <v>2.0</v>
      </c>
      <c r="C231" s="1">
        <v>47.0</v>
      </c>
      <c r="D231" s="1">
        <v>40.0</v>
      </c>
      <c r="F231" s="1" t="str">
        <f>LOOKUP(A231, NPCs!A:A, NPCs!C:C)</f>
        <v>Bat</v>
      </c>
      <c r="G231" s="1" t="str">
        <f>LOOKUP(B231, Maps!A:A, Maps!B:B)</f>
        <v>Its the Bat Cave Robin</v>
      </c>
    </row>
    <row r="232" ht="15.75" customHeight="1">
      <c r="A232" s="1">
        <v>7.0</v>
      </c>
      <c r="B232" s="1">
        <v>2.0</v>
      </c>
      <c r="C232" s="1">
        <v>50.0</v>
      </c>
      <c r="D232" s="1">
        <v>44.0</v>
      </c>
      <c r="F232" s="1" t="str">
        <f>LOOKUP(A232, NPCs!A:A, NPCs!C:C)</f>
        <v>Bat</v>
      </c>
      <c r="G232" s="1" t="str">
        <f>LOOKUP(B232, Maps!A:A, Maps!B:B)</f>
        <v>Its the Bat Cave Robin</v>
      </c>
    </row>
    <row r="233" ht="15.75" customHeight="1">
      <c r="A233" s="1">
        <v>7.0</v>
      </c>
      <c r="B233" s="1">
        <v>2.0</v>
      </c>
      <c r="C233" s="1">
        <v>48.0</v>
      </c>
      <c r="D233" s="1">
        <v>49.0</v>
      </c>
      <c r="F233" s="1" t="str">
        <f>LOOKUP(A233, NPCs!A:A, NPCs!C:C)</f>
        <v>Bat</v>
      </c>
      <c r="G233" s="1" t="str">
        <f>LOOKUP(B233, Maps!A:A, Maps!B:B)</f>
        <v>Its the Bat Cave Robin</v>
      </c>
    </row>
    <row r="234" ht="15.75" customHeight="1">
      <c r="A234" s="1">
        <v>7.0</v>
      </c>
      <c r="B234" s="1">
        <v>2.0</v>
      </c>
      <c r="C234" s="1">
        <v>42.0</v>
      </c>
      <c r="D234" s="1">
        <v>50.0</v>
      </c>
      <c r="F234" s="1" t="str">
        <f>LOOKUP(A234, NPCs!A:A, NPCs!C:C)</f>
        <v>Bat</v>
      </c>
      <c r="G234" s="1" t="str">
        <f>LOOKUP(B234, Maps!A:A, Maps!B:B)</f>
        <v>Its the Bat Cave Robin</v>
      </c>
    </row>
    <row r="235" ht="15.75" customHeight="1">
      <c r="A235" s="1">
        <v>7.0</v>
      </c>
      <c r="B235" s="1">
        <v>2.0</v>
      </c>
      <c r="C235" s="1">
        <v>39.0</v>
      </c>
      <c r="D235" s="1">
        <v>45.0</v>
      </c>
      <c r="F235" s="1" t="str">
        <f>LOOKUP(A235, NPCs!A:A, NPCs!C:C)</f>
        <v>Bat</v>
      </c>
      <c r="G235" s="1" t="str">
        <f>LOOKUP(B235, Maps!A:A, Maps!B:B)</f>
        <v>Its the Bat Cave Robin</v>
      </c>
    </row>
    <row r="236" ht="15.75" customHeight="1">
      <c r="A236" s="1">
        <v>7.0</v>
      </c>
      <c r="B236" s="1">
        <v>2.0</v>
      </c>
      <c r="C236" s="1">
        <v>41.0</v>
      </c>
      <c r="D236" s="1">
        <v>23.0</v>
      </c>
      <c r="F236" s="1" t="str">
        <f>LOOKUP(A236, NPCs!A:A, NPCs!C:C)</f>
        <v>Bat</v>
      </c>
      <c r="G236" s="1" t="str">
        <f>LOOKUP(B236, Maps!A:A, Maps!B:B)</f>
        <v>Its the Bat Cave Robin</v>
      </c>
    </row>
    <row r="237" ht="15.75" customHeight="1">
      <c r="A237" s="1">
        <v>7.0</v>
      </c>
      <c r="B237" s="1">
        <v>2.0</v>
      </c>
      <c r="C237" s="1">
        <v>47.0</v>
      </c>
      <c r="D237" s="1">
        <v>19.0</v>
      </c>
      <c r="F237" s="1" t="str">
        <f>LOOKUP(A237, NPCs!A:A, NPCs!C:C)</f>
        <v>Bat</v>
      </c>
      <c r="G237" s="1" t="str">
        <f>LOOKUP(B237, Maps!A:A, Maps!B:B)</f>
        <v>Its the Bat Cave Robin</v>
      </c>
    </row>
    <row r="238" ht="15.75" customHeight="1">
      <c r="A238" s="1">
        <v>7.0</v>
      </c>
      <c r="B238" s="1">
        <v>2.0</v>
      </c>
      <c r="C238" s="1">
        <v>42.0</v>
      </c>
      <c r="D238" s="1">
        <v>15.0</v>
      </c>
      <c r="F238" s="1" t="str">
        <f>LOOKUP(A238, NPCs!A:A, NPCs!C:C)</f>
        <v>Bat</v>
      </c>
      <c r="G238" s="1" t="str">
        <f>LOOKUP(B238, Maps!A:A, Maps!B:B)</f>
        <v>Its the Bat Cave Robin</v>
      </c>
    </row>
    <row r="239" ht="15.75" customHeight="1">
      <c r="A239" s="1">
        <v>7.0</v>
      </c>
      <c r="B239" s="1">
        <v>2.0</v>
      </c>
      <c r="C239" s="1">
        <v>37.0</v>
      </c>
      <c r="D239" s="1">
        <v>19.0</v>
      </c>
      <c r="F239" s="1" t="str">
        <f>LOOKUP(A239, NPCs!A:A, NPCs!C:C)</f>
        <v>Bat</v>
      </c>
      <c r="G239" s="1" t="str">
        <f>LOOKUP(B239, Maps!A:A, Maps!B:B)</f>
        <v>Its the Bat Cave Robin</v>
      </c>
    </row>
    <row r="240" ht="15.75" customHeight="1">
      <c r="A240" s="1">
        <v>8.0</v>
      </c>
      <c r="B240" s="1">
        <v>14.0</v>
      </c>
      <c r="C240" s="1">
        <v>41.0</v>
      </c>
      <c r="D240" s="1">
        <v>5.0</v>
      </c>
      <c r="F240" s="1" t="str">
        <f>LOOKUP(A240, NPCs!A:A, NPCs!C:C)</f>
        <v>Cow</v>
      </c>
      <c r="G240" s="1" t="str">
        <f>LOOKUP(B240, Maps!A:A, Maps!B:B)</f>
        <v>Chiisaiyama</v>
      </c>
    </row>
    <row r="241" ht="15.75" customHeight="1">
      <c r="A241" s="1">
        <v>8.0</v>
      </c>
      <c r="B241" s="1">
        <v>14.0</v>
      </c>
      <c r="C241" s="1">
        <v>31.0</v>
      </c>
      <c r="D241" s="1">
        <v>5.0</v>
      </c>
      <c r="F241" s="1" t="str">
        <f>LOOKUP(A241, NPCs!A:A, NPCs!C:C)</f>
        <v>Cow</v>
      </c>
      <c r="G241" s="1" t="str">
        <f>LOOKUP(B241, Maps!A:A, Maps!B:B)</f>
        <v>Chiisaiyama</v>
      </c>
    </row>
    <row r="242" ht="15.75" customHeight="1">
      <c r="A242" s="1">
        <v>8.0</v>
      </c>
      <c r="B242" s="1">
        <v>14.0</v>
      </c>
      <c r="C242" s="1">
        <v>24.0</v>
      </c>
      <c r="D242" s="1">
        <v>7.0</v>
      </c>
      <c r="F242" s="1" t="str">
        <f>LOOKUP(A242, NPCs!A:A, NPCs!C:C)</f>
        <v>Cow</v>
      </c>
      <c r="G242" s="1" t="str">
        <f>LOOKUP(B242, Maps!A:A, Maps!B:B)</f>
        <v>Chiisaiyama</v>
      </c>
    </row>
    <row r="243" ht="15.75" customHeight="1">
      <c r="A243" s="1">
        <v>8.0</v>
      </c>
      <c r="B243" s="1">
        <v>14.0</v>
      </c>
      <c r="C243" s="1">
        <v>16.0</v>
      </c>
      <c r="D243" s="1">
        <v>9.0</v>
      </c>
      <c r="F243" s="1" t="str">
        <f>LOOKUP(A243, NPCs!A:A, NPCs!C:C)</f>
        <v>Cow</v>
      </c>
      <c r="G243" s="1" t="str">
        <f>LOOKUP(B243, Maps!A:A, Maps!B:B)</f>
        <v>Chiisaiyama</v>
      </c>
    </row>
    <row r="244" ht="15.75" customHeight="1">
      <c r="A244" s="1">
        <v>8.0</v>
      </c>
      <c r="B244" s="1">
        <v>14.0</v>
      </c>
      <c r="C244" s="1">
        <v>19.0</v>
      </c>
      <c r="D244" s="1">
        <v>3.0</v>
      </c>
      <c r="F244" s="1" t="str">
        <f>LOOKUP(A244, NPCs!A:A, NPCs!C:C)</f>
        <v>Cow</v>
      </c>
      <c r="G244" s="1" t="str">
        <f>LOOKUP(B244, Maps!A:A, Maps!B:B)</f>
        <v>Chiisaiyama</v>
      </c>
    </row>
    <row r="245" ht="15.75" customHeight="1">
      <c r="A245" s="1">
        <v>8.0</v>
      </c>
      <c r="B245" s="1">
        <v>14.0</v>
      </c>
      <c r="C245" s="1">
        <v>9.0</v>
      </c>
      <c r="D245" s="1">
        <v>5.0</v>
      </c>
      <c r="F245" s="1" t="str">
        <f>LOOKUP(A245, NPCs!A:A, NPCs!C:C)</f>
        <v>Cow</v>
      </c>
      <c r="G245" s="1" t="str">
        <f>LOOKUP(B245, Maps!A:A, Maps!B:B)</f>
        <v>Chiisaiyama</v>
      </c>
    </row>
    <row r="246" ht="15.75" customHeight="1">
      <c r="A246" s="1">
        <v>8.0</v>
      </c>
      <c r="B246" s="1">
        <v>14.0</v>
      </c>
      <c r="C246" s="1">
        <v>2.0</v>
      </c>
      <c r="D246" s="1">
        <v>7.0</v>
      </c>
      <c r="F246" s="1" t="str">
        <f>LOOKUP(A246, NPCs!A:A, NPCs!C:C)</f>
        <v>Cow</v>
      </c>
      <c r="G246" s="1" t="str">
        <f>LOOKUP(B246, Maps!A:A, Maps!B:B)</f>
        <v>Chiisaiyama</v>
      </c>
    </row>
    <row r="247" ht="15.75" customHeight="1">
      <c r="A247" s="1">
        <v>8.0</v>
      </c>
      <c r="B247" s="1">
        <v>14.0</v>
      </c>
      <c r="C247" s="1">
        <v>6.0</v>
      </c>
      <c r="D247" s="1">
        <v>13.0</v>
      </c>
      <c r="F247" s="1" t="str">
        <f>LOOKUP(A247, NPCs!A:A, NPCs!C:C)</f>
        <v>Cow</v>
      </c>
      <c r="G247" s="1" t="str">
        <f>LOOKUP(B247, Maps!A:A, Maps!B:B)</f>
        <v>Chiisaiyama</v>
      </c>
    </row>
    <row r="248" ht="15.75" customHeight="1">
      <c r="A248" s="1">
        <v>8.0</v>
      </c>
      <c r="B248" s="1">
        <v>14.0</v>
      </c>
      <c r="C248" s="1">
        <v>3.0</v>
      </c>
      <c r="D248" s="1">
        <v>17.0</v>
      </c>
      <c r="F248" s="1" t="str">
        <f>LOOKUP(A248, NPCs!A:A, NPCs!C:C)</f>
        <v>Cow</v>
      </c>
      <c r="G248" s="1" t="str">
        <f>LOOKUP(B248, Maps!A:A, Maps!B:B)</f>
        <v>Chiisaiyama</v>
      </c>
    </row>
    <row r="249" ht="15.75" customHeight="1">
      <c r="A249" s="1">
        <v>8.0</v>
      </c>
      <c r="B249" s="1">
        <v>14.0</v>
      </c>
      <c r="C249" s="1">
        <v>7.0</v>
      </c>
      <c r="D249" s="1">
        <v>21.0</v>
      </c>
      <c r="F249" s="1" t="str">
        <f>LOOKUP(A249, NPCs!A:A, NPCs!C:C)</f>
        <v>Cow</v>
      </c>
      <c r="G249" s="1" t="str">
        <f>LOOKUP(B249, Maps!A:A, Maps!B:B)</f>
        <v>Chiisaiyama</v>
      </c>
    </row>
    <row r="250" ht="15.75" customHeight="1">
      <c r="A250" s="1">
        <v>8.0</v>
      </c>
      <c r="B250" s="1">
        <v>14.0</v>
      </c>
      <c r="C250" s="1">
        <v>7.0</v>
      </c>
      <c r="D250" s="1">
        <v>26.0</v>
      </c>
      <c r="F250" s="1" t="str">
        <f>LOOKUP(A250, NPCs!A:A, NPCs!C:C)</f>
        <v>Cow</v>
      </c>
      <c r="G250" s="1" t="str">
        <f>LOOKUP(B250, Maps!A:A, Maps!B:B)</f>
        <v>Chiisaiyama</v>
      </c>
    </row>
    <row r="251" ht="15.75" customHeight="1">
      <c r="A251" s="1">
        <v>8.0</v>
      </c>
      <c r="B251" s="1">
        <v>14.0</v>
      </c>
      <c r="C251" s="1">
        <v>16.0</v>
      </c>
      <c r="D251" s="1">
        <v>27.0</v>
      </c>
      <c r="F251" s="1" t="str">
        <f>LOOKUP(A251, NPCs!A:A, NPCs!C:C)</f>
        <v>Cow</v>
      </c>
      <c r="G251" s="1" t="str">
        <f>LOOKUP(B251, Maps!A:A, Maps!B:B)</f>
        <v>Chiisaiyama</v>
      </c>
    </row>
    <row r="252" ht="15.75" customHeight="1">
      <c r="A252" s="1">
        <v>8.0</v>
      </c>
      <c r="B252" s="1">
        <v>14.0</v>
      </c>
      <c r="C252" s="1">
        <v>18.0</v>
      </c>
      <c r="D252" s="1">
        <v>23.0</v>
      </c>
      <c r="F252" s="1" t="str">
        <f>LOOKUP(A252, NPCs!A:A, NPCs!C:C)</f>
        <v>Cow</v>
      </c>
      <c r="G252" s="1" t="str">
        <f>LOOKUP(B252, Maps!A:A, Maps!B:B)</f>
        <v>Chiisaiyama</v>
      </c>
    </row>
    <row r="253" ht="15.75" customHeight="1">
      <c r="A253" s="1">
        <v>8.0</v>
      </c>
      <c r="B253" s="1">
        <v>14.0</v>
      </c>
      <c r="C253" s="1">
        <v>24.0</v>
      </c>
      <c r="D253" s="1">
        <v>19.0</v>
      </c>
      <c r="F253" s="1" t="str">
        <f>LOOKUP(A253, NPCs!A:A, NPCs!C:C)</f>
        <v>Cow</v>
      </c>
      <c r="G253" s="1" t="str">
        <f>LOOKUP(B253, Maps!A:A, Maps!B:B)</f>
        <v>Chiisaiyama</v>
      </c>
    </row>
    <row r="254" ht="15.75" customHeight="1">
      <c r="A254" s="1">
        <v>8.0</v>
      </c>
      <c r="B254" s="1">
        <v>14.0</v>
      </c>
      <c r="C254" s="1">
        <v>30.0</v>
      </c>
      <c r="D254" s="1">
        <v>25.0</v>
      </c>
      <c r="F254" s="1" t="str">
        <f>LOOKUP(A254, NPCs!A:A, NPCs!C:C)</f>
        <v>Cow</v>
      </c>
      <c r="G254" s="1" t="str">
        <f>LOOKUP(B254, Maps!A:A, Maps!B:B)</f>
        <v>Chiisaiyama</v>
      </c>
    </row>
    <row r="255" ht="15.75" customHeight="1">
      <c r="A255" s="1">
        <v>8.0</v>
      </c>
      <c r="B255" s="1">
        <v>14.0</v>
      </c>
      <c r="C255" s="1">
        <v>35.0</v>
      </c>
      <c r="D255" s="1">
        <v>20.0</v>
      </c>
      <c r="F255" s="1" t="str">
        <f>LOOKUP(A255, NPCs!A:A, NPCs!C:C)</f>
        <v>Cow</v>
      </c>
      <c r="G255" s="1" t="str">
        <f>LOOKUP(B255, Maps!A:A, Maps!B:B)</f>
        <v>Chiisaiyama</v>
      </c>
    </row>
    <row r="256" ht="15.75" customHeight="1">
      <c r="A256" s="1">
        <v>8.0</v>
      </c>
      <c r="B256" s="1">
        <v>14.0</v>
      </c>
      <c r="C256" s="1">
        <v>33.0</v>
      </c>
      <c r="D256" s="1">
        <v>12.0</v>
      </c>
      <c r="F256" s="1" t="str">
        <f>LOOKUP(A256, NPCs!A:A, NPCs!C:C)</f>
        <v>Cow</v>
      </c>
      <c r="G256" s="1" t="str">
        <f>LOOKUP(B256, Maps!A:A, Maps!B:B)</f>
        <v>Chiisaiyama</v>
      </c>
    </row>
    <row r="257" ht="15.75" customHeight="1">
      <c r="A257" s="1">
        <v>8.0</v>
      </c>
      <c r="B257" s="1">
        <v>14.0</v>
      </c>
      <c r="C257" s="1">
        <v>27.0</v>
      </c>
      <c r="D257" s="1">
        <v>9.0</v>
      </c>
      <c r="F257" s="1" t="str">
        <f>LOOKUP(A257, NPCs!A:A, NPCs!C:C)</f>
        <v>Cow</v>
      </c>
      <c r="G257" s="1" t="str">
        <f>LOOKUP(B257, Maps!A:A, Maps!B:B)</f>
        <v>Chiisaiyama</v>
      </c>
    </row>
    <row r="258" ht="15.75" customHeight="1">
      <c r="A258" s="1">
        <v>8.0</v>
      </c>
      <c r="B258" s="1">
        <v>14.0</v>
      </c>
      <c r="C258" s="1">
        <v>25.0</v>
      </c>
      <c r="D258" s="1">
        <v>14.0</v>
      </c>
      <c r="F258" s="1" t="str">
        <f>LOOKUP(A258, NPCs!A:A, NPCs!C:C)</f>
        <v>Cow</v>
      </c>
      <c r="G258" s="1" t="str">
        <f>LOOKUP(B258, Maps!A:A, Maps!B:B)</f>
        <v>Chiisaiyama</v>
      </c>
    </row>
    <row r="259" ht="15.75" customHeight="1">
      <c r="A259" s="1">
        <v>8.0</v>
      </c>
      <c r="B259" s="1">
        <v>14.0</v>
      </c>
      <c r="C259" s="1">
        <v>42.0</v>
      </c>
      <c r="D259" s="1">
        <v>17.0</v>
      </c>
      <c r="F259" s="1" t="str">
        <f>LOOKUP(A259, NPCs!A:A, NPCs!C:C)</f>
        <v>Cow</v>
      </c>
      <c r="G259" s="1" t="str">
        <f>LOOKUP(B259, Maps!A:A, Maps!B:B)</f>
        <v>Chiisaiyama</v>
      </c>
    </row>
    <row r="260" ht="15.75" customHeight="1">
      <c r="A260" s="1">
        <v>8.0</v>
      </c>
      <c r="B260" s="1">
        <v>14.0</v>
      </c>
      <c r="C260" s="1">
        <v>46.0</v>
      </c>
      <c r="D260" s="1">
        <v>22.0</v>
      </c>
      <c r="F260" s="1" t="str">
        <f>LOOKUP(A260, NPCs!A:A, NPCs!C:C)</f>
        <v>Cow</v>
      </c>
      <c r="G260" s="1" t="str">
        <f>LOOKUP(B260, Maps!A:A, Maps!B:B)</f>
        <v>Chiisaiyama</v>
      </c>
    </row>
    <row r="261" ht="15.75" customHeight="1">
      <c r="A261" s="1">
        <v>8.0</v>
      </c>
      <c r="B261" s="1">
        <v>14.0</v>
      </c>
      <c r="C261" s="1">
        <v>53.0</v>
      </c>
      <c r="D261" s="1">
        <v>24.0</v>
      </c>
      <c r="F261" s="1" t="str">
        <f>LOOKUP(A261, NPCs!A:A, NPCs!C:C)</f>
        <v>Cow</v>
      </c>
      <c r="G261" s="1" t="str">
        <f>LOOKUP(B261, Maps!A:A, Maps!B:B)</f>
        <v>Chiisaiyama</v>
      </c>
    </row>
    <row r="262" ht="15.75" customHeight="1">
      <c r="A262" s="1">
        <v>8.0</v>
      </c>
      <c r="B262" s="1">
        <v>14.0</v>
      </c>
      <c r="C262" s="1">
        <v>54.0</v>
      </c>
      <c r="D262" s="1">
        <v>16.0</v>
      </c>
      <c r="F262" s="1" t="str">
        <f>LOOKUP(A262, NPCs!A:A, NPCs!C:C)</f>
        <v>Cow</v>
      </c>
      <c r="G262" s="1" t="str">
        <f>LOOKUP(B262, Maps!A:A, Maps!B:B)</f>
        <v>Chiisaiyama</v>
      </c>
    </row>
    <row r="263" ht="15.75" customHeight="1">
      <c r="A263" s="1">
        <v>8.0</v>
      </c>
      <c r="B263" s="1">
        <v>14.0</v>
      </c>
      <c r="C263" s="1">
        <v>61.0</v>
      </c>
      <c r="D263" s="1">
        <v>15.0</v>
      </c>
      <c r="F263" s="1" t="str">
        <f>LOOKUP(A263, NPCs!A:A, NPCs!C:C)</f>
        <v>Cow</v>
      </c>
      <c r="G263" s="1" t="str">
        <f>LOOKUP(B263, Maps!A:A, Maps!B:B)</f>
        <v>Chiisaiyama</v>
      </c>
    </row>
    <row r="264" ht="15.75" customHeight="1">
      <c r="A264" s="1">
        <v>8.0</v>
      </c>
      <c r="B264" s="1">
        <v>14.0</v>
      </c>
      <c r="C264" s="1">
        <v>59.0</v>
      </c>
      <c r="D264" s="1">
        <v>11.0</v>
      </c>
      <c r="F264" s="1" t="str">
        <f>LOOKUP(A264, NPCs!A:A, NPCs!C:C)</f>
        <v>Cow</v>
      </c>
      <c r="G264" s="1" t="str">
        <f>LOOKUP(B264, Maps!A:A, Maps!B:B)</f>
        <v>Chiisaiyama</v>
      </c>
    </row>
    <row r="265" ht="15.75" customHeight="1">
      <c r="A265" s="1">
        <v>8.0</v>
      </c>
      <c r="B265" s="1">
        <v>14.0</v>
      </c>
      <c r="C265" s="1">
        <v>57.0</v>
      </c>
      <c r="D265" s="1">
        <v>7.0</v>
      </c>
      <c r="F265" s="1" t="str">
        <f>LOOKUP(A265, NPCs!A:A, NPCs!C:C)</f>
        <v>Cow</v>
      </c>
      <c r="G265" s="1" t="str">
        <f>LOOKUP(B265, Maps!A:A, Maps!B:B)</f>
        <v>Chiisaiyama</v>
      </c>
    </row>
    <row r="266" ht="15.75" customHeight="1">
      <c r="A266" s="1">
        <v>8.0</v>
      </c>
      <c r="B266" s="1">
        <v>14.0</v>
      </c>
      <c r="C266" s="1">
        <v>62.0</v>
      </c>
      <c r="D266" s="1">
        <v>4.0</v>
      </c>
      <c r="F266" s="1" t="str">
        <f>LOOKUP(A266, NPCs!A:A, NPCs!C:C)</f>
        <v>Cow</v>
      </c>
      <c r="G266" s="1" t="str">
        <f>LOOKUP(B266, Maps!A:A, Maps!B:B)</f>
        <v>Chiisaiyama</v>
      </c>
    </row>
    <row r="267" ht="15.75" customHeight="1">
      <c r="A267" s="1">
        <v>8.0</v>
      </c>
      <c r="B267" s="1">
        <v>14.0</v>
      </c>
      <c r="C267" s="1">
        <v>66.0</v>
      </c>
      <c r="D267" s="1">
        <v>2.0</v>
      </c>
      <c r="F267" s="1" t="str">
        <f>LOOKUP(A267, NPCs!A:A, NPCs!C:C)</f>
        <v>Cow</v>
      </c>
      <c r="G267" s="1" t="str">
        <f>LOOKUP(B267, Maps!A:A, Maps!B:B)</f>
        <v>Chiisaiyama</v>
      </c>
    </row>
    <row r="268" ht="15.75" customHeight="1">
      <c r="A268" s="1">
        <v>8.0</v>
      </c>
      <c r="B268" s="1">
        <v>14.0</v>
      </c>
      <c r="C268" s="1">
        <v>65.0</v>
      </c>
      <c r="D268" s="1">
        <v>12.0</v>
      </c>
      <c r="F268" s="1" t="str">
        <f>LOOKUP(A268, NPCs!A:A, NPCs!C:C)</f>
        <v>Cow</v>
      </c>
      <c r="G268" s="1" t="str">
        <f>LOOKUP(B268, Maps!A:A, Maps!B:B)</f>
        <v>Chiisaiyama</v>
      </c>
    </row>
    <row r="269" ht="15.75" customHeight="1">
      <c r="A269" s="1">
        <v>8.0</v>
      </c>
      <c r="B269" s="1">
        <v>14.0</v>
      </c>
      <c r="C269" s="1">
        <v>67.0</v>
      </c>
      <c r="D269" s="1">
        <v>21.0</v>
      </c>
      <c r="F269" s="1" t="str">
        <f>LOOKUP(A269, NPCs!A:A, NPCs!C:C)</f>
        <v>Cow</v>
      </c>
      <c r="G269" s="1" t="str">
        <f>LOOKUP(B269, Maps!A:A, Maps!B:B)</f>
        <v>Chiisaiyama</v>
      </c>
    </row>
    <row r="270" ht="15.75" customHeight="1">
      <c r="A270" s="1">
        <v>8.0</v>
      </c>
      <c r="B270" s="1">
        <v>14.0</v>
      </c>
      <c r="C270" s="1">
        <v>68.0</v>
      </c>
      <c r="D270" s="1">
        <v>28.0</v>
      </c>
      <c r="F270" s="1" t="str">
        <f>LOOKUP(A270, NPCs!A:A, NPCs!C:C)</f>
        <v>Cow</v>
      </c>
      <c r="G270" s="1" t="str">
        <f>LOOKUP(B270, Maps!A:A, Maps!B:B)</f>
        <v>Chiisaiyama</v>
      </c>
    </row>
    <row r="271" ht="15.75" customHeight="1">
      <c r="A271" s="1">
        <v>8.0</v>
      </c>
      <c r="B271" s="1">
        <v>14.0</v>
      </c>
      <c r="C271" s="1">
        <v>78.0</v>
      </c>
      <c r="D271" s="1">
        <v>31.0</v>
      </c>
      <c r="F271" s="1" t="str">
        <f>LOOKUP(A271, NPCs!A:A, NPCs!C:C)</f>
        <v>Cow</v>
      </c>
      <c r="G271" s="1" t="str">
        <f>LOOKUP(B271, Maps!A:A, Maps!B:B)</f>
        <v>Chiisaiyama</v>
      </c>
    </row>
    <row r="272" ht="15.75" customHeight="1">
      <c r="A272" s="1">
        <v>8.0</v>
      </c>
      <c r="B272" s="1">
        <v>14.0</v>
      </c>
      <c r="C272" s="1">
        <v>75.0</v>
      </c>
      <c r="D272" s="1">
        <v>37.0</v>
      </c>
      <c r="F272" s="1" t="str">
        <f>LOOKUP(A272, NPCs!A:A, NPCs!C:C)</f>
        <v>Cow</v>
      </c>
      <c r="G272" s="1" t="str">
        <f>LOOKUP(B272, Maps!A:A, Maps!B:B)</f>
        <v>Chiisaiyama</v>
      </c>
    </row>
    <row r="273" ht="15.75" customHeight="1">
      <c r="A273" s="1">
        <v>8.0</v>
      </c>
      <c r="B273" s="1">
        <v>14.0</v>
      </c>
      <c r="C273" s="1">
        <v>66.0</v>
      </c>
      <c r="D273" s="1">
        <v>39.0</v>
      </c>
      <c r="F273" s="1" t="str">
        <f>LOOKUP(A273, NPCs!A:A, NPCs!C:C)</f>
        <v>Cow</v>
      </c>
      <c r="G273" s="1" t="str">
        <f>LOOKUP(B273, Maps!A:A, Maps!B:B)</f>
        <v>Chiisaiyama</v>
      </c>
    </row>
    <row r="274" ht="15.75" customHeight="1">
      <c r="A274" s="1">
        <v>8.0</v>
      </c>
      <c r="B274" s="1">
        <v>14.0</v>
      </c>
      <c r="C274" s="1">
        <v>57.0</v>
      </c>
      <c r="D274" s="1">
        <v>39.0</v>
      </c>
      <c r="F274" s="1" t="str">
        <f>LOOKUP(A274, NPCs!A:A, NPCs!C:C)</f>
        <v>Cow</v>
      </c>
      <c r="G274" s="1" t="str">
        <f>LOOKUP(B274, Maps!A:A, Maps!B:B)</f>
        <v>Chiisaiyama</v>
      </c>
    </row>
    <row r="275" ht="15.75" customHeight="1">
      <c r="A275" s="1">
        <v>8.0</v>
      </c>
      <c r="B275" s="1">
        <v>14.0</v>
      </c>
      <c r="C275" s="1">
        <v>55.0</v>
      </c>
      <c r="D275" s="1">
        <v>45.0</v>
      </c>
      <c r="F275" s="1" t="str">
        <f>LOOKUP(A275, NPCs!A:A, NPCs!C:C)</f>
        <v>Cow</v>
      </c>
      <c r="G275" s="1" t="str">
        <f>LOOKUP(B275, Maps!A:A, Maps!B:B)</f>
        <v>Chiisaiyama</v>
      </c>
    </row>
    <row r="276" ht="15.75" customHeight="1">
      <c r="A276" s="1">
        <v>9.0</v>
      </c>
      <c r="B276" s="1">
        <v>14.0</v>
      </c>
      <c r="C276" s="1">
        <v>60.0</v>
      </c>
      <c r="D276" s="1">
        <v>48.0</v>
      </c>
      <c r="F276" s="1" t="str">
        <f>LOOKUP(A276, NPCs!A:A, NPCs!C:C)</f>
        <v>Ram</v>
      </c>
      <c r="G276" s="1" t="str">
        <f>LOOKUP(B276, Maps!A:A, Maps!B:B)</f>
        <v>Chiisaiyama</v>
      </c>
    </row>
    <row r="277" ht="15.75" customHeight="1">
      <c r="A277" s="1">
        <v>9.0</v>
      </c>
      <c r="B277" s="1">
        <v>14.0</v>
      </c>
      <c r="C277" s="1">
        <v>62.0</v>
      </c>
      <c r="D277" s="1">
        <v>54.0</v>
      </c>
      <c r="F277" s="1" t="str">
        <f>LOOKUP(A277, NPCs!A:A, NPCs!C:C)</f>
        <v>Ram</v>
      </c>
      <c r="G277" s="1" t="str">
        <f>LOOKUP(B277, Maps!A:A, Maps!B:B)</f>
        <v>Chiisaiyama</v>
      </c>
    </row>
    <row r="278" ht="15.75" customHeight="1">
      <c r="A278" s="1">
        <v>9.0</v>
      </c>
      <c r="B278" s="1">
        <v>14.0</v>
      </c>
      <c r="C278" s="1">
        <v>58.0</v>
      </c>
      <c r="D278" s="1">
        <v>57.0</v>
      </c>
      <c r="F278" s="1" t="str">
        <f>LOOKUP(A278, NPCs!A:A, NPCs!C:C)</f>
        <v>Ram</v>
      </c>
      <c r="G278" s="1" t="str">
        <f>LOOKUP(B278, Maps!A:A, Maps!B:B)</f>
        <v>Chiisaiyama</v>
      </c>
    </row>
    <row r="279" ht="15.75" customHeight="1">
      <c r="A279" s="1">
        <v>9.0</v>
      </c>
      <c r="B279" s="1">
        <v>14.0</v>
      </c>
      <c r="C279" s="1">
        <v>60.0</v>
      </c>
      <c r="D279" s="1">
        <v>60.0</v>
      </c>
      <c r="F279" s="1" t="str">
        <f>LOOKUP(A279, NPCs!A:A, NPCs!C:C)</f>
        <v>Ram</v>
      </c>
      <c r="G279" s="1" t="str">
        <f>LOOKUP(B279, Maps!A:A, Maps!B:B)</f>
        <v>Chiisaiyama</v>
      </c>
    </row>
    <row r="280" ht="15.75" customHeight="1">
      <c r="A280" s="1">
        <v>9.0</v>
      </c>
      <c r="B280" s="1">
        <v>14.0</v>
      </c>
      <c r="C280" s="1">
        <v>59.0</v>
      </c>
      <c r="D280" s="1">
        <v>65.0</v>
      </c>
      <c r="F280" s="1" t="str">
        <f>LOOKUP(A280, NPCs!A:A, NPCs!C:C)</f>
        <v>Ram</v>
      </c>
      <c r="G280" s="1" t="str">
        <f>LOOKUP(B280, Maps!A:A, Maps!B:B)</f>
        <v>Chiisaiyama</v>
      </c>
    </row>
    <row r="281" ht="15.75" customHeight="1">
      <c r="A281" s="1">
        <v>9.0</v>
      </c>
      <c r="B281" s="1">
        <v>14.0</v>
      </c>
      <c r="C281" s="1">
        <v>58.0</v>
      </c>
      <c r="D281" s="1">
        <v>72.0</v>
      </c>
      <c r="F281" s="1" t="str">
        <f>LOOKUP(A281, NPCs!A:A, NPCs!C:C)</f>
        <v>Ram</v>
      </c>
      <c r="G281" s="1" t="str">
        <f>LOOKUP(B281, Maps!A:A, Maps!B:B)</f>
        <v>Chiisaiyama</v>
      </c>
    </row>
    <row r="282" ht="15.75" customHeight="1">
      <c r="A282" s="1">
        <v>9.0</v>
      </c>
      <c r="B282" s="1">
        <v>14.0</v>
      </c>
      <c r="C282" s="1">
        <v>58.0</v>
      </c>
      <c r="D282" s="1">
        <v>77.0</v>
      </c>
      <c r="F282" s="1" t="str">
        <f>LOOKUP(A282, NPCs!A:A, NPCs!C:C)</f>
        <v>Ram</v>
      </c>
      <c r="G282" s="1" t="str">
        <f>LOOKUP(B282, Maps!A:A, Maps!B:B)</f>
        <v>Chiisaiyama</v>
      </c>
    </row>
    <row r="283" ht="15.75" customHeight="1">
      <c r="A283" s="1">
        <v>9.0</v>
      </c>
      <c r="B283" s="1">
        <v>14.0</v>
      </c>
      <c r="C283" s="1">
        <v>62.0</v>
      </c>
      <c r="D283" s="1">
        <v>80.0</v>
      </c>
      <c r="F283" s="1" t="str">
        <f>LOOKUP(A283, NPCs!A:A, NPCs!C:C)</f>
        <v>Ram</v>
      </c>
      <c r="G283" s="1" t="str">
        <f>LOOKUP(B283, Maps!A:A, Maps!B:B)</f>
        <v>Chiisaiyama</v>
      </c>
    </row>
    <row r="284" ht="15.75" customHeight="1">
      <c r="A284" s="1">
        <v>9.0</v>
      </c>
      <c r="B284" s="1">
        <v>14.0</v>
      </c>
      <c r="C284" s="1">
        <v>69.0</v>
      </c>
      <c r="D284" s="1">
        <v>78.0</v>
      </c>
      <c r="F284" s="1" t="str">
        <f>LOOKUP(A284, NPCs!A:A, NPCs!C:C)</f>
        <v>Ram</v>
      </c>
      <c r="G284" s="1" t="str">
        <f>LOOKUP(B284, Maps!A:A, Maps!B:B)</f>
        <v>Chiisaiyama</v>
      </c>
    </row>
    <row r="285" ht="15.75" customHeight="1">
      <c r="A285" s="1">
        <v>9.0</v>
      </c>
      <c r="B285" s="1">
        <v>14.0</v>
      </c>
      <c r="C285" s="1">
        <v>74.0</v>
      </c>
      <c r="D285" s="1">
        <v>79.0</v>
      </c>
      <c r="F285" s="1" t="str">
        <f>LOOKUP(A285, NPCs!A:A, NPCs!C:C)</f>
        <v>Ram</v>
      </c>
      <c r="G285" s="1" t="str">
        <f>LOOKUP(B285, Maps!A:A, Maps!B:B)</f>
        <v>Chiisaiyama</v>
      </c>
    </row>
    <row r="286" ht="15.75" customHeight="1">
      <c r="A286" s="1">
        <v>9.0</v>
      </c>
      <c r="B286" s="1">
        <v>14.0</v>
      </c>
      <c r="C286" s="1">
        <v>77.0</v>
      </c>
      <c r="D286" s="1">
        <v>80.0</v>
      </c>
      <c r="F286" s="1" t="str">
        <f>LOOKUP(A286, NPCs!A:A, NPCs!C:C)</f>
        <v>Ram</v>
      </c>
      <c r="G286" s="1" t="str">
        <f>LOOKUP(B286, Maps!A:A, Maps!B:B)</f>
        <v>Chiisaiyama</v>
      </c>
    </row>
    <row r="287" ht="15.75" customHeight="1">
      <c r="A287" s="1">
        <v>9.0</v>
      </c>
      <c r="B287" s="1">
        <v>14.0</v>
      </c>
      <c r="C287" s="1">
        <v>82.0</v>
      </c>
      <c r="D287" s="1">
        <v>79.0</v>
      </c>
      <c r="F287" s="1" t="str">
        <f>LOOKUP(A287, NPCs!A:A, NPCs!C:C)</f>
        <v>Ram</v>
      </c>
      <c r="G287" s="1" t="str">
        <f>LOOKUP(B287, Maps!A:A, Maps!B:B)</f>
        <v>Chiisaiyama</v>
      </c>
    </row>
    <row r="288" ht="15.75" customHeight="1">
      <c r="A288" s="1">
        <v>9.0</v>
      </c>
      <c r="B288" s="1">
        <v>14.0</v>
      </c>
      <c r="C288" s="1">
        <v>77.0</v>
      </c>
      <c r="D288" s="1">
        <v>73.0</v>
      </c>
      <c r="F288" s="1" t="str">
        <f>LOOKUP(A288, NPCs!A:A, NPCs!C:C)</f>
        <v>Ram</v>
      </c>
      <c r="G288" s="1" t="str">
        <f>LOOKUP(B288, Maps!A:A, Maps!B:B)</f>
        <v>Chiisaiyama</v>
      </c>
    </row>
    <row r="289" ht="15.75" customHeight="1">
      <c r="A289" s="1">
        <v>9.0</v>
      </c>
      <c r="B289" s="1">
        <v>14.0</v>
      </c>
      <c r="C289" s="1">
        <v>72.0</v>
      </c>
      <c r="D289" s="1">
        <v>74.0</v>
      </c>
      <c r="F289" s="1" t="str">
        <f>LOOKUP(A289, NPCs!A:A, NPCs!C:C)</f>
        <v>Ram</v>
      </c>
      <c r="G289" s="1" t="str">
        <f>LOOKUP(B289, Maps!A:A, Maps!B:B)</f>
        <v>Chiisaiyama</v>
      </c>
    </row>
    <row r="290" ht="15.75" customHeight="1">
      <c r="A290" s="1">
        <v>9.0</v>
      </c>
      <c r="B290" s="1">
        <v>14.0</v>
      </c>
      <c r="C290" s="1">
        <v>70.0</v>
      </c>
      <c r="D290" s="1">
        <v>69.0</v>
      </c>
      <c r="F290" s="1" t="str">
        <f>LOOKUP(A290, NPCs!A:A, NPCs!C:C)</f>
        <v>Ram</v>
      </c>
      <c r="G290" s="1" t="str">
        <f>LOOKUP(B290, Maps!A:A, Maps!B:B)</f>
        <v>Chiisaiyama</v>
      </c>
    </row>
    <row r="291" ht="15.75" customHeight="1">
      <c r="A291" s="1">
        <v>9.0</v>
      </c>
      <c r="B291" s="1">
        <v>14.0</v>
      </c>
      <c r="C291" s="1">
        <v>68.0</v>
      </c>
      <c r="D291" s="1">
        <v>66.0</v>
      </c>
      <c r="F291" s="1" t="str">
        <f>LOOKUP(A291, NPCs!A:A, NPCs!C:C)</f>
        <v>Ram</v>
      </c>
      <c r="G291" s="1" t="str">
        <f>LOOKUP(B291, Maps!A:A, Maps!B:B)</f>
        <v>Chiisaiyama</v>
      </c>
    </row>
    <row r="292" ht="15.75" customHeight="1">
      <c r="A292" s="1">
        <v>9.0</v>
      </c>
      <c r="B292" s="1">
        <v>14.0</v>
      </c>
      <c r="C292" s="1">
        <v>66.0</v>
      </c>
      <c r="D292" s="1">
        <v>62.0</v>
      </c>
      <c r="F292" s="1" t="str">
        <f>LOOKUP(A292, NPCs!A:A, NPCs!C:C)</f>
        <v>Ram</v>
      </c>
      <c r="G292" s="1" t="str">
        <f>LOOKUP(B292, Maps!A:A, Maps!B:B)</f>
        <v>Chiisaiyama</v>
      </c>
    </row>
    <row r="293" ht="15.75" customHeight="1">
      <c r="A293" s="1">
        <v>9.0</v>
      </c>
      <c r="B293" s="1">
        <v>14.0</v>
      </c>
      <c r="C293" s="1">
        <v>70.0</v>
      </c>
      <c r="D293" s="1">
        <v>61.0</v>
      </c>
      <c r="F293" s="1" t="str">
        <f>LOOKUP(A293, NPCs!A:A, NPCs!C:C)</f>
        <v>Ram</v>
      </c>
      <c r="G293" s="1" t="str">
        <f>LOOKUP(B293, Maps!A:A, Maps!B:B)</f>
        <v>Chiisaiyama</v>
      </c>
    </row>
    <row r="294" ht="15.75" customHeight="1">
      <c r="A294" s="1">
        <v>9.0</v>
      </c>
      <c r="B294" s="1">
        <v>14.0</v>
      </c>
      <c r="C294" s="1">
        <v>71.0</v>
      </c>
      <c r="D294" s="1">
        <v>57.0</v>
      </c>
      <c r="F294" s="1" t="str">
        <f>LOOKUP(A294, NPCs!A:A, NPCs!C:C)</f>
        <v>Ram</v>
      </c>
      <c r="G294" s="1" t="str">
        <f>LOOKUP(B294, Maps!A:A, Maps!B:B)</f>
        <v>Chiisaiyama</v>
      </c>
    </row>
    <row r="295" ht="15.75" customHeight="1">
      <c r="A295" s="1">
        <v>9.0</v>
      </c>
      <c r="B295" s="1">
        <v>14.0</v>
      </c>
      <c r="C295" s="1">
        <v>68.0</v>
      </c>
      <c r="D295" s="1">
        <v>58.0</v>
      </c>
      <c r="F295" s="1" t="str">
        <f>LOOKUP(A295, NPCs!A:A, NPCs!C:C)</f>
        <v>Ram</v>
      </c>
      <c r="G295" s="1" t="str">
        <f>LOOKUP(B295, Maps!A:A, Maps!B:B)</f>
        <v>Chiisaiyama</v>
      </c>
    </row>
    <row r="296" ht="15.75" customHeight="1">
      <c r="A296" s="1">
        <v>9.0</v>
      </c>
      <c r="B296" s="1">
        <v>14.0</v>
      </c>
      <c r="C296" s="1">
        <v>68.0</v>
      </c>
      <c r="D296" s="1">
        <v>53.0</v>
      </c>
      <c r="F296" s="1" t="str">
        <f>LOOKUP(A296, NPCs!A:A, NPCs!C:C)</f>
        <v>Ram</v>
      </c>
      <c r="G296" s="1" t="str">
        <f>LOOKUP(B296, Maps!A:A, Maps!B:B)</f>
        <v>Chiisaiyama</v>
      </c>
    </row>
    <row r="297" ht="15.75" customHeight="1">
      <c r="A297" s="1">
        <v>9.0</v>
      </c>
      <c r="B297" s="1">
        <v>14.0</v>
      </c>
      <c r="C297" s="1">
        <v>75.0</v>
      </c>
      <c r="D297" s="1">
        <v>53.0</v>
      </c>
      <c r="F297" s="1" t="str">
        <f>LOOKUP(A297, NPCs!A:A, NPCs!C:C)</f>
        <v>Ram</v>
      </c>
      <c r="G297" s="1" t="str">
        <f>LOOKUP(B297, Maps!A:A, Maps!B:B)</f>
        <v>Chiisaiyama</v>
      </c>
    </row>
    <row r="298" ht="15.75" customHeight="1">
      <c r="A298" s="1">
        <v>9.0</v>
      </c>
      <c r="B298" s="1">
        <v>14.0</v>
      </c>
      <c r="C298" s="1">
        <v>76.0</v>
      </c>
      <c r="D298" s="1">
        <v>57.0</v>
      </c>
      <c r="F298" s="1" t="str">
        <f>LOOKUP(A298, NPCs!A:A, NPCs!C:C)</f>
        <v>Ram</v>
      </c>
      <c r="G298" s="1" t="str">
        <f>LOOKUP(B298, Maps!A:A, Maps!B:B)</f>
        <v>Chiisaiyama</v>
      </c>
    </row>
    <row r="299" ht="15.75" customHeight="1">
      <c r="A299" s="1">
        <v>9.0</v>
      </c>
      <c r="B299" s="1">
        <v>14.0</v>
      </c>
      <c r="C299" s="1">
        <v>81.0</v>
      </c>
      <c r="D299" s="1">
        <v>55.0</v>
      </c>
      <c r="F299" s="1" t="str">
        <f>LOOKUP(A299, NPCs!A:A, NPCs!C:C)</f>
        <v>Ram</v>
      </c>
      <c r="G299" s="1" t="str">
        <f>LOOKUP(B299, Maps!A:A, Maps!B:B)</f>
        <v>Chiisaiyama</v>
      </c>
    </row>
    <row r="300" ht="15.75" customHeight="1">
      <c r="A300" s="1">
        <v>9.0</v>
      </c>
      <c r="B300" s="1">
        <v>14.0</v>
      </c>
      <c r="C300" s="1">
        <v>84.0</v>
      </c>
      <c r="D300" s="1">
        <v>59.0</v>
      </c>
      <c r="F300" s="1" t="str">
        <f>LOOKUP(A300, NPCs!A:A, NPCs!C:C)</f>
        <v>Ram</v>
      </c>
      <c r="G300" s="1" t="str">
        <f>LOOKUP(B300, Maps!A:A, Maps!B:B)</f>
        <v>Chiisaiyama</v>
      </c>
    </row>
    <row r="301" ht="15.75" customHeight="1">
      <c r="A301" s="1">
        <v>9.0</v>
      </c>
      <c r="B301" s="1">
        <v>14.0</v>
      </c>
      <c r="C301" s="1">
        <v>85.0</v>
      </c>
      <c r="D301" s="1">
        <v>53.0</v>
      </c>
      <c r="F301" s="1" t="str">
        <f>LOOKUP(A301, NPCs!A:A, NPCs!C:C)</f>
        <v>Ram</v>
      </c>
      <c r="G301" s="1" t="str">
        <f>LOOKUP(B301, Maps!A:A, Maps!B:B)</f>
        <v>Chiisaiyama</v>
      </c>
    </row>
    <row r="302" ht="15.75" customHeight="1">
      <c r="A302" s="1">
        <v>9.0</v>
      </c>
      <c r="B302" s="1">
        <v>14.0</v>
      </c>
      <c r="C302" s="1">
        <v>86.0</v>
      </c>
      <c r="D302" s="1">
        <v>63.0</v>
      </c>
      <c r="F302" s="1" t="str">
        <f>LOOKUP(A302, NPCs!A:A, NPCs!C:C)</f>
        <v>Ram</v>
      </c>
      <c r="G302" s="1" t="str">
        <f>LOOKUP(B302, Maps!A:A, Maps!B:B)</f>
        <v>Chiisaiyama</v>
      </c>
    </row>
    <row r="303" ht="15.75" customHeight="1">
      <c r="A303" s="1">
        <v>9.0</v>
      </c>
      <c r="B303" s="1">
        <v>14.0</v>
      </c>
      <c r="C303" s="1">
        <v>81.0</v>
      </c>
      <c r="D303" s="1">
        <v>64.0</v>
      </c>
      <c r="F303" s="1" t="str">
        <f>LOOKUP(A303, NPCs!A:A, NPCs!C:C)</f>
        <v>Ram</v>
      </c>
      <c r="G303" s="1" t="str">
        <f>LOOKUP(B303, Maps!A:A, Maps!B:B)</f>
        <v>Chiisaiyama</v>
      </c>
    </row>
    <row r="304" ht="15.75" customHeight="1">
      <c r="A304" s="1">
        <v>9.0</v>
      </c>
      <c r="B304" s="1">
        <v>14.0</v>
      </c>
      <c r="C304" s="1">
        <v>84.0</v>
      </c>
      <c r="D304" s="1">
        <v>67.0</v>
      </c>
      <c r="F304" s="1" t="str">
        <f>LOOKUP(A304, NPCs!A:A, NPCs!C:C)</f>
        <v>Ram</v>
      </c>
      <c r="G304" s="1" t="str">
        <f>LOOKUP(B304, Maps!A:A, Maps!B:B)</f>
        <v>Chiisaiyama</v>
      </c>
    </row>
    <row r="305" ht="15.75" customHeight="1">
      <c r="A305" s="1">
        <v>9.0</v>
      </c>
      <c r="B305" s="1">
        <v>14.0</v>
      </c>
      <c r="C305" s="1">
        <v>75.0</v>
      </c>
      <c r="D305" s="1">
        <v>65.0</v>
      </c>
      <c r="F305" s="1" t="str">
        <f>LOOKUP(A305, NPCs!A:A, NPCs!C:C)</f>
        <v>Ram</v>
      </c>
      <c r="G305" s="1" t="str">
        <f>LOOKUP(B305, Maps!A:A, Maps!B:B)</f>
        <v>Chiisaiyama</v>
      </c>
    </row>
    <row r="306" ht="15.75" customHeight="1">
      <c r="A306" s="1">
        <v>9.0</v>
      </c>
      <c r="B306" s="1">
        <v>14.0</v>
      </c>
      <c r="C306" s="1">
        <v>74.0</v>
      </c>
      <c r="D306" s="1">
        <v>62.0</v>
      </c>
      <c r="F306" s="1" t="str">
        <f>LOOKUP(A306, NPCs!A:A, NPCs!C:C)</f>
        <v>Ram</v>
      </c>
      <c r="G306" s="1" t="str">
        <f>LOOKUP(B306, Maps!A:A, Maps!B:B)</f>
        <v>Chiisaiyama</v>
      </c>
    </row>
    <row r="307" ht="15.75" customHeight="1">
      <c r="A307" s="1">
        <v>9.0</v>
      </c>
      <c r="B307" s="1">
        <v>14.0</v>
      </c>
      <c r="C307" s="1">
        <v>72.0</v>
      </c>
      <c r="D307" s="1">
        <v>63.0</v>
      </c>
      <c r="F307" s="1" t="str">
        <f>LOOKUP(A307, NPCs!A:A, NPCs!C:C)</f>
        <v>Ram</v>
      </c>
      <c r="G307" s="1" t="str">
        <f>LOOKUP(B307, Maps!A:A, Maps!B:B)</f>
        <v>Chiisaiyama</v>
      </c>
    </row>
    <row r="308" ht="15.75" customHeight="1">
      <c r="A308" s="1">
        <v>10.0</v>
      </c>
      <c r="B308" s="1">
        <v>3.0</v>
      </c>
      <c r="C308" s="1">
        <v>44.0</v>
      </c>
      <c r="D308" s="1">
        <v>93.0</v>
      </c>
      <c r="F308" s="1" t="str">
        <f>LOOKUP(A308, NPCs!A:A, NPCs!C:C)</f>
        <v>Weak Zombie</v>
      </c>
      <c r="G308" s="1" t="str">
        <f>LOOKUP(B308, Maps!A:A, Maps!B:B)</f>
        <v>Graveyard</v>
      </c>
    </row>
    <row r="309" ht="15.75" customHeight="1">
      <c r="A309" s="1">
        <v>10.0</v>
      </c>
      <c r="B309" s="1">
        <v>3.0</v>
      </c>
      <c r="C309" s="1">
        <v>56.0</v>
      </c>
      <c r="D309" s="1">
        <v>92.0</v>
      </c>
      <c r="F309" s="1" t="str">
        <f>LOOKUP(A309, NPCs!A:A, NPCs!C:C)</f>
        <v>Weak Zombie</v>
      </c>
      <c r="G309" s="1" t="str">
        <f>LOOKUP(B309, Maps!A:A, Maps!B:B)</f>
        <v>Graveyard</v>
      </c>
    </row>
    <row r="310" ht="15.75" customHeight="1">
      <c r="A310" s="1">
        <v>10.0</v>
      </c>
      <c r="B310" s="1">
        <v>3.0</v>
      </c>
      <c r="C310" s="1">
        <v>63.0</v>
      </c>
      <c r="D310" s="1">
        <v>94.0</v>
      </c>
      <c r="F310" s="1" t="str">
        <f>LOOKUP(A310, NPCs!A:A, NPCs!C:C)</f>
        <v>Weak Zombie</v>
      </c>
      <c r="G310" s="1" t="str">
        <f>LOOKUP(B310, Maps!A:A, Maps!B:B)</f>
        <v>Graveyard</v>
      </c>
    </row>
    <row r="311" ht="15.75" customHeight="1">
      <c r="A311" s="1">
        <v>10.0</v>
      </c>
      <c r="B311" s="1">
        <v>3.0</v>
      </c>
      <c r="C311" s="1">
        <v>66.0</v>
      </c>
      <c r="D311" s="1">
        <v>87.0</v>
      </c>
      <c r="F311" s="1" t="str">
        <f>LOOKUP(A311, NPCs!A:A, NPCs!C:C)</f>
        <v>Weak Zombie</v>
      </c>
      <c r="G311" s="1" t="str">
        <f>LOOKUP(B311, Maps!A:A, Maps!B:B)</f>
        <v>Graveyard</v>
      </c>
    </row>
    <row r="312" ht="15.75" customHeight="1">
      <c r="A312" s="1">
        <v>10.0</v>
      </c>
      <c r="B312" s="1">
        <v>3.0</v>
      </c>
      <c r="C312" s="1">
        <v>61.0</v>
      </c>
      <c r="D312" s="1">
        <v>84.0</v>
      </c>
      <c r="F312" s="1" t="str">
        <f>LOOKUP(A312, NPCs!A:A, NPCs!C:C)</f>
        <v>Weak Zombie</v>
      </c>
      <c r="G312" s="1" t="str">
        <f>LOOKUP(B312, Maps!A:A, Maps!B:B)</f>
        <v>Graveyard</v>
      </c>
    </row>
    <row r="313" ht="15.75" customHeight="1">
      <c r="A313" s="1">
        <v>10.0</v>
      </c>
      <c r="B313" s="1">
        <v>3.0</v>
      </c>
      <c r="C313" s="1">
        <v>51.0</v>
      </c>
      <c r="D313" s="1">
        <v>79.0</v>
      </c>
      <c r="F313" s="1" t="str">
        <f>LOOKUP(A313, NPCs!A:A, NPCs!C:C)</f>
        <v>Weak Zombie</v>
      </c>
      <c r="G313" s="1" t="str">
        <f>LOOKUP(B313, Maps!A:A, Maps!B:B)</f>
        <v>Graveyard</v>
      </c>
    </row>
    <row r="314" ht="15.75" customHeight="1">
      <c r="A314" s="1">
        <v>10.0</v>
      </c>
      <c r="B314" s="1">
        <v>3.0</v>
      </c>
      <c r="C314" s="1">
        <v>54.0</v>
      </c>
      <c r="D314" s="1">
        <v>71.0</v>
      </c>
      <c r="F314" s="1" t="str">
        <f>LOOKUP(A314, NPCs!A:A, NPCs!C:C)</f>
        <v>Weak Zombie</v>
      </c>
      <c r="G314" s="1" t="str">
        <f>LOOKUP(B314, Maps!A:A, Maps!B:B)</f>
        <v>Graveyard</v>
      </c>
    </row>
    <row r="315" ht="15.75" customHeight="1">
      <c r="A315" s="1">
        <v>10.0</v>
      </c>
      <c r="B315" s="1">
        <v>3.0</v>
      </c>
      <c r="C315" s="1">
        <v>54.0</v>
      </c>
      <c r="D315" s="1">
        <v>59.0</v>
      </c>
      <c r="F315" s="1" t="str">
        <f>LOOKUP(A315, NPCs!A:A, NPCs!C:C)</f>
        <v>Weak Zombie</v>
      </c>
      <c r="G315" s="1" t="str">
        <f>LOOKUP(B315, Maps!A:A, Maps!B:B)</f>
        <v>Graveyard</v>
      </c>
    </row>
    <row r="316" ht="15.75" customHeight="1">
      <c r="A316" s="1">
        <v>10.0</v>
      </c>
      <c r="B316" s="1">
        <v>3.0</v>
      </c>
      <c r="C316" s="1">
        <v>52.0</v>
      </c>
      <c r="D316" s="1">
        <v>55.0</v>
      </c>
      <c r="F316" s="1" t="str">
        <f>LOOKUP(A316, NPCs!A:A, NPCs!C:C)</f>
        <v>Weak Zombie</v>
      </c>
      <c r="G316" s="1" t="str">
        <f>LOOKUP(B316, Maps!A:A, Maps!B:B)</f>
        <v>Graveyard</v>
      </c>
    </row>
    <row r="317" ht="15.75" customHeight="1">
      <c r="A317" s="1">
        <v>10.0</v>
      </c>
      <c r="B317" s="1">
        <v>3.0</v>
      </c>
      <c r="C317" s="1">
        <v>38.0</v>
      </c>
      <c r="D317" s="1">
        <v>86.0</v>
      </c>
      <c r="F317" s="1" t="str">
        <f>LOOKUP(A317, NPCs!A:A, NPCs!C:C)</f>
        <v>Weak Zombie</v>
      </c>
      <c r="G317" s="1" t="str">
        <f>LOOKUP(B317, Maps!A:A, Maps!B:B)</f>
        <v>Graveyard</v>
      </c>
    </row>
    <row r="318" ht="15.75" customHeight="1">
      <c r="A318" s="1">
        <v>10.0</v>
      </c>
      <c r="B318" s="1">
        <v>3.0</v>
      </c>
      <c r="C318" s="1">
        <v>35.0</v>
      </c>
      <c r="D318" s="1">
        <v>92.0</v>
      </c>
      <c r="F318" s="1" t="str">
        <f>LOOKUP(A318, NPCs!A:A, NPCs!C:C)</f>
        <v>Weak Zombie</v>
      </c>
      <c r="G318" s="1" t="str">
        <f>LOOKUP(B318, Maps!A:A, Maps!B:B)</f>
        <v>Graveyard</v>
      </c>
    </row>
    <row r="319" ht="15.75" customHeight="1">
      <c r="A319" s="1">
        <v>10.0</v>
      </c>
      <c r="B319" s="1">
        <v>3.0</v>
      </c>
      <c r="C319" s="1">
        <v>25.0</v>
      </c>
      <c r="D319" s="1">
        <v>92.0</v>
      </c>
      <c r="F319" s="1" t="str">
        <f>LOOKUP(A319, NPCs!A:A, NPCs!C:C)</f>
        <v>Weak Zombie</v>
      </c>
      <c r="G319" s="1" t="str">
        <f>LOOKUP(B319, Maps!A:A, Maps!B:B)</f>
        <v>Graveyard</v>
      </c>
    </row>
    <row r="320" ht="15.75" customHeight="1">
      <c r="A320" s="1">
        <v>10.0</v>
      </c>
      <c r="B320" s="1">
        <v>3.0</v>
      </c>
      <c r="C320" s="1">
        <v>16.0</v>
      </c>
      <c r="D320" s="1">
        <v>89.0</v>
      </c>
      <c r="F320" s="1" t="str">
        <f>LOOKUP(A320, NPCs!A:A, NPCs!C:C)</f>
        <v>Weak Zombie</v>
      </c>
      <c r="G320" s="1" t="str">
        <f>LOOKUP(B320, Maps!A:A, Maps!B:B)</f>
        <v>Graveyard</v>
      </c>
    </row>
    <row r="321" ht="15.75" customHeight="1">
      <c r="A321" s="1">
        <v>10.0</v>
      </c>
      <c r="B321" s="1">
        <v>3.0</v>
      </c>
      <c r="C321" s="1">
        <v>9.0</v>
      </c>
      <c r="D321" s="1">
        <v>94.0</v>
      </c>
      <c r="F321" s="1" t="str">
        <f>LOOKUP(A321, NPCs!A:A, NPCs!C:C)</f>
        <v>Weak Zombie</v>
      </c>
      <c r="G321" s="1" t="str">
        <f>LOOKUP(B321, Maps!A:A, Maps!B:B)</f>
        <v>Graveyard</v>
      </c>
    </row>
    <row r="322" ht="15.75" customHeight="1">
      <c r="A322" s="1">
        <v>10.0</v>
      </c>
      <c r="B322" s="1">
        <v>3.0</v>
      </c>
      <c r="C322" s="1">
        <v>6.0</v>
      </c>
      <c r="D322" s="1">
        <v>91.0</v>
      </c>
      <c r="F322" s="1" t="str">
        <f>LOOKUP(A322, NPCs!A:A, NPCs!C:C)</f>
        <v>Weak Zombie</v>
      </c>
      <c r="G322" s="1" t="str">
        <f>LOOKUP(B322, Maps!A:A, Maps!B:B)</f>
        <v>Graveyard</v>
      </c>
    </row>
    <row r="323" ht="15.75" customHeight="1">
      <c r="A323" s="1">
        <v>10.0</v>
      </c>
      <c r="B323" s="1">
        <v>3.0</v>
      </c>
      <c r="C323" s="1">
        <v>12.0</v>
      </c>
      <c r="D323" s="1">
        <v>78.0</v>
      </c>
      <c r="F323" s="1" t="str">
        <f>LOOKUP(A323, NPCs!A:A, NPCs!C:C)</f>
        <v>Weak Zombie</v>
      </c>
      <c r="G323" s="1" t="str">
        <f>LOOKUP(B323, Maps!A:A, Maps!B:B)</f>
        <v>Graveyard</v>
      </c>
    </row>
    <row r="324" ht="15.75" customHeight="1">
      <c r="A324" s="1">
        <v>10.0</v>
      </c>
      <c r="B324" s="1">
        <v>3.0</v>
      </c>
      <c r="C324" s="1">
        <v>19.0</v>
      </c>
      <c r="D324" s="1">
        <v>74.0</v>
      </c>
      <c r="F324" s="1" t="str">
        <f>LOOKUP(A324, NPCs!A:A, NPCs!C:C)</f>
        <v>Weak Zombie</v>
      </c>
      <c r="G324" s="1" t="str">
        <f>LOOKUP(B324, Maps!A:A, Maps!B:B)</f>
        <v>Graveyard</v>
      </c>
    </row>
    <row r="325" ht="15.75" customHeight="1">
      <c r="A325" s="1">
        <v>10.0</v>
      </c>
      <c r="B325" s="1">
        <v>3.0</v>
      </c>
      <c r="C325" s="1">
        <v>7.0</v>
      </c>
      <c r="D325" s="1">
        <v>68.0</v>
      </c>
      <c r="F325" s="1" t="str">
        <f>LOOKUP(A325, NPCs!A:A, NPCs!C:C)</f>
        <v>Weak Zombie</v>
      </c>
      <c r="G325" s="1" t="str">
        <f>LOOKUP(B325, Maps!A:A, Maps!B:B)</f>
        <v>Graveyard</v>
      </c>
    </row>
    <row r="326" ht="15.75" customHeight="1">
      <c r="A326" s="1">
        <v>10.0</v>
      </c>
      <c r="B326" s="1">
        <v>3.0</v>
      </c>
      <c r="C326" s="1">
        <v>9.0</v>
      </c>
      <c r="D326" s="1">
        <v>46.0</v>
      </c>
      <c r="F326" s="1" t="str">
        <f>LOOKUP(A326, NPCs!A:A, NPCs!C:C)</f>
        <v>Weak Zombie</v>
      </c>
      <c r="G326" s="1" t="str">
        <f>LOOKUP(B326, Maps!A:A, Maps!B:B)</f>
        <v>Graveyard</v>
      </c>
    </row>
    <row r="327" ht="15.75" customHeight="1">
      <c r="A327" s="1">
        <v>10.0</v>
      </c>
      <c r="B327" s="1">
        <v>3.0</v>
      </c>
      <c r="C327" s="1">
        <v>9.0</v>
      </c>
      <c r="D327" s="1">
        <v>57.0</v>
      </c>
      <c r="F327" s="1" t="str">
        <f>LOOKUP(A327, NPCs!A:A, NPCs!C:C)</f>
        <v>Weak Zombie</v>
      </c>
      <c r="G327" s="1" t="str">
        <f>LOOKUP(B327, Maps!A:A, Maps!B:B)</f>
        <v>Graveyard</v>
      </c>
    </row>
    <row r="328" ht="15.75" customHeight="1">
      <c r="A328" s="1">
        <v>10.0</v>
      </c>
      <c r="B328" s="1">
        <v>3.0</v>
      </c>
      <c r="C328" s="1">
        <v>16.0</v>
      </c>
      <c r="D328" s="1">
        <v>50.0</v>
      </c>
      <c r="F328" s="1" t="str">
        <f>LOOKUP(A328, NPCs!A:A, NPCs!C:C)</f>
        <v>Weak Zombie</v>
      </c>
      <c r="G328" s="1" t="str">
        <f>LOOKUP(B328, Maps!A:A, Maps!B:B)</f>
        <v>Graveyard</v>
      </c>
    </row>
    <row r="329" ht="15.75" customHeight="1">
      <c r="A329" s="1">
        <v>10.0</v>
      </c>
      <c r="B329" s="1">
        <v>3.0</v>
      </c>
      <c r="C329" s="1">
        <v>23.0</v>
      </c>
      <c r="D329" s="1">
        <v>59.0</v>
      </c>
      <c r="F329" s="1" t="str">
        <f>LOOKUP(A329, NPCs!A:A, NPCs!C:C)</f>
        <v>Weak Zombie</v>
      </c>
      <c r="G329" s="1" t="str">
        <f>LOOKUP(B329, Maps!A:A, Maps!B:B)</f>
        <v>Graveyard</v>
      </c>
    </row>
    <row r="330" ht="15.75" customHeight="1">
      <c r="A330" s="1">
        <v>10.0</v>
      </c>
      <c r="B330" s="1">
        <v>3.0</v>
      </c>
      <c r="C330" s="1">
        <v>33.0</v>
      </c>
      <c r="D330" s="1">
        <v>63.0</v>
      </c>
      <c r="F330" s="1" t="str">
        <f>LOOKUP(A330, NPCs!A:A, NPCs!C:C)</f>
        <v>Weak Zombie</v>
      </c>
      <c r="G330" s="1" t="str">
        <f>LOOKUP(B330, Maps!A:A, Maps!B:B)</f>
        <v>Graveyard</v>
      </c>
    </row>
    <row r="331" ht="15.75" customHeight="1">
      <c r="A331" s="1">
        <v>10.0</v>
      </c>
      <c r="B331" s="1">
        <v>3.0</v>
      </c>
      <c r="C331" s="1">
        <v>70.0</v>
      </c>
      <c r="D331" s="1">
        <v>63.0</v>
      </c>
      <c r="F331" s="1" t="str">
        <f>LOOKUP(A331, NPCs!A:A, NPCs!C:C)</f>
        <v>Weak Zombie</v>
      </c>
      <c r="G331" s="1" t="str">
        <f>LOOKUP(B331, Maps!A:A, Maps!B:B)</f>
        <v>Graveyard</v>
      </c>
    </row>
    <row r="332" ht="15.75" customHeight="1">
      <c r="A332" s="1">
        <v>10.0</v>
      </c>
      <c r="B332" s="1">
        <v>3.0</v>
      </c>
      <c r="C332" s="1">
        <v>81.0</v>
      </c>
      <c r="D332" s="1">
        <v>59.0</v>
      </c>
      <c r="F332" s="1" t="str">
        <f>LOOKUP(A332, NPCs!A:A, NPCs!C:C)</f>
        <v>Weak Zombie</v>
      </c>
      <c r="G332" s="1" t="str">
        <f>LOOKUP(B332, Maps!A:A, Maps!B:B)</f>
        <v>Graveyard</v>
      </c>
    </row>
    <row r="333" ht="15.75" customHeight="1">
      <c r="A333" s="1">
        <v>10.0</v>
      </c>
      <c r="B333" s="1">
        <v>3.0</v>
      </c>
      <c r="C333" s="1">
        <v>89.0</v>
      </c>
      <c r="D333" s="1">
        <v>67.0</v>
      </c>
      <c r="F333" s="1" t="str">
        <f>LOOKUP(A333, NPCs!A:A, NPCs!C:C)</f>
        <v>Weak Zombie</v>
      </c>
      <c r="G333" s="1" t="str">
        <f>LOOKUP(B333, Maps!A:A, Maps!B:B)</f>
        <v>Graveyard</v>
      </c>
    </row>
    <row r="334" ht="15.75" customHeight="1">
      <c r="A334" s="1">
        <v>10.0</v>
      </c>
      <c r="B334" s="1">
        <v>3.0</v>
      </c>
      <c r="C334" s="1">
        <v>92.0</v>
      </c>
      <c r="D334" s="1">
        <v>52.0</v>
      </c>
      <c r="F334" s="1" t="str">
        <f>LOOKUP(A334, NPCs!A:A, NPCs!C:C)</f>
        <v>Weak Zombie</v>
      </c>
      <c r="G334" s="1" t="str">
        <f>LOOKUP(B334, Maps!A:A, Maps!B:B)</f>
        <v>Graveyard</v>
      </c>
    </row>
    <row r="335" ht="15.75" customHeight="1">
      <c r="A335" s="1">
        <v>10.0</v>
      </c>
      <c r="B335" s="1">
        <v>3.0</v>
      </c>
      <c r="C335" s="1">
        <v>86.0</v>
      </c>
      <c r="D335" s="1">
        <v>46.0</v>
      </c>
      <c r="F335" s="1" t="str">
        <f>LOOKUP(A335, NPCs!A:A, NPCs!C:C)</f>
        <v>Weak Zombie</v>
      </c>
      <c r="G335" s="1" t="str">
        <f>LOOKUP(B335, Maps!A:A, Maps!B:B)</f>
        <v>Graveyard</v>
      </c>
    </row>
    <row r="336" ht="15.75" customHeight="1">
      <c r="A336" s="1">
        <v>10.0</v>
      </c>
      <c r="B336" s="1">
        <v>3.0</v>
      </c>
      <c r="C336" s="1">
        <v>78.0</v>
      </c>
      <c r="D336" s="1">
        <v>49.0</v>
      </c>
      <c r="F336" s="1" t="str">
        <f>LOOKUP(A336, NPCs!A:A, NPCs!C:C)</f>
        <v>Weak Zombie</v>
      </c>
      <c r="G336" s="1" t="str">
        <f>LOOKUP(B336, Maps!A:A, Maps!B:B)</f>
        <v>Graveyard</v>
      </c>
    </row>
    <row r="337" ht="15.75" customHeight="1">
      <c r="A337" s="1">
        <v>10.0</v>
      </c>
      <c r="B337" s="1">
        <v>3.0</v>
      </c>
      <c r="C337" s="1">
        <v>69.0</v>
      </c>
      <c r="D337" s="1">
        <v>52.0</v>
      </c>
      <c r="F337" s="1" t="str">
        <f>LOOKUP(A337, NPCs!A:A, NPCs!C:C)</f>
        <v>Weak Zombie</v>
      </c>
      <c r="G337" s="1" t="str">
        <f>LOOKUP(B337, Maps!A:A, Maps!B:B)</f>
        <v>Graveyard</v>
      </c>
    </row>
    <row r="338" ht="15.75" customHeight="1">
      <c r="A338" s="1">
        <v>10.0</v>
      </c>
      <c r="B338" s="1">
        <v>3.0</v>
      </c>
      <c r="C338" s="1">
        <v>62.0</v>
      </c>
      <c r="D338" s="1">
        <v>42.0</v>
      </c>
      <c r="F338" s="1" t="str">
        <f>LOOKUP(A338, NPCs!A:A, NPCs!C:C)</f>
        <v>Weak Zombie</v>
      </c>
      <c r="G338" s="1" t="str">
        <f>LOOKUP(B338, Maps!A:A, Maps!B:B)</f>
        <v>Graveyard</v>
      </c>
    </row>
    <row r="339" ht="15.75" customHeight="1">
      <c r="A339" s="1">
        <v>10.0</v>
      </c>
      <c r="B339" s="1">
        <v>3.0</v>
      </c>
      <c r="C339" s="1">
        <v>49.0</v>
      </c>
      <c r="D339" s="1">
        <v>39.0</v>
      </c>
      <c r="F339" s="1" t="str">
        <f>LOOKUP(A339, NPCs!A:A, NPCs!C:C)</f>
        <v>Weak Zombie</v>
      </c>
      <c r="G339" s="1" t="str">
        <f>LOOKUP(B339, Maps!A:A, Maps!B:B)</f>
        <v>Graveyard</v>
      </c>
    </row>
    <row r="340" ht="15.75" customHeight="1">
      <c r="A340" s="1">
        <v>11.0</v>
      </c>
      <c r="B340" s="1">
        <v>6.0</v>
      </c>
      <c r="C340" s="1">
        <v>86.0</v>
      </c>
      <c r="D340" s="1">
        <v>95.0</v>
      </c>
      <c r="F340" s="1" t="str">
        <f>LOOKUP(A340, NPCs!A:A, NPCs!C:C)</f>
        <v>Weak Skeleton</v>
      </c>
      <c r="G340" s="1" t="str">
        <f>LOOKUP(B340, Maps!A:A, Maps!B:B)</f>
        <v>Undead Hallway</v>
      </c>
    </row>
    <row r="341" ht="15.75" customHeight="1">
      <c r="A341" s="1">
        <v>11.0</v>
      </c>
      <c r="B341" s="1">
        <v>6.0</v>
      </c>
      <c r="C341" s="1">
        <v>82.0</v>
      </c>
      <c r="D341" s="1">
        <v>95.0</v>
      </c>
      <c r="F341" s="1" t="str">
        <f>LOOKUP(A341, NPCs!A:A, NPCs!C:C)</f>
        <v>Weak Skeleton</v>
      </c>
      <c r="G341" s="1" t="str">
        <f>LOOKUP(B341, Maps!A:A, Maps!B:B)</f>
        <v>Undead Hallway</v>
      </c>
    </row>
    <row r="342" ht="15.75" customHeight="1">
      <c r="A342" s="1">
        <v>11.0</v>
      </c>
      <c r="B342" s="1">
        <v>6.0</v>
      </c>
      <c r="C342" s="1">
        <v>7.0</v>
      </c>
      <c r="D342" s="1">
        <v>84.0</v>
      </c>
      <c r="F342" s="1" t="str">
        <f>LOOKUP(A342, NPCs!A:A, NPCs!C:C)</f>
        <v>Weak Skeleton</v>
      </c>
      <c r="G342" s="1" t="str">
        <f>LOOKUP(B342, Maps!A:A, Maps!B:B)</f>
        <v>Undead Hallway</v>
      </c>
    </row>
    <row r="343" ht="15.75" customHeight="1">
      <c r="A343" s="1">
        <v>11.0</v>
      </c>
      <c r="B343" s="1">
        <v>6.0</v>
      </c>
      <c r="C343" s="1">
        <v>12.0</v>
      </c>
      <c r="D343" s="1">
        <v>81.0</v>
      </c>
      <c r="F343" s="1" t="str">
        <f>LOOKUP(A343, NPCs!A:A, NPCs!C:C)</f>
        <v>Weak Skeleton</v>
      </c>
      <c r="G343" s="1" t="str">
        <f>LOOKUP(B343, Maps!A:A, Maps!B:B)</f>
        <v>Undead Hallway</v>
      </c>
    </row>
    <row r="344" ht="15.75" customHeight="1">
      <c r="A344" s="1">
        <v>11.0</v>
      </c>
      <c r="B344" s="1">
        <v>6.0</v>
      </c>
      <c r="C344" s="1">
        <v>11.0</v>
      </c>
      <c r="D344" s="1">
        <v>74.0</v>
      </c>
      <c r="F344" s="1" t="str">
        <f>LOOKUP(A344, NPCs!A:A, NPCs!C:C)</f>
        <v>Weak Skeleton</v>
      </c>
      <c r="G344" s="1" t="str">
        <f>LOOKUP(B344, Maps!A:A, Maps!B:B)</f>
        <v>Undead Hallway</v>
      </c>
    </row>
    <row r="345" ht="15.75" customHeight="1">
      <c r="A345" s="1">
        <v>11.0</v>
      </c>
      <c r="B345" s="1">
        <v>6.0</v>
      </c>
      <c r="C345" s="1">
        <v>8.0</v>
      </c>
      <c r="D345" s="1">
        <v>76.0</v>
      </c>
      <c r="F345" s="1" t="str">
        <f>LOOKUP(A345, NPCs!A:A, NPCs!C:C)</f>
        <v>Weak Skeleton</v>
      </c>
      <c r="G345" s="1" t="str">
        <f>LOOKUP(B345, Maps!A:A, Maps!B:B)</f>
        <v>Undead Hallway</v>
      </c>
    </row>
    <row r="346" ht="15.75" customHeight="1">
      <c r="A346" s="1">
        <v>11.0</v>
      </c>
      <c r="B346" s="1">
        <v>6.0</v>
      </c>
      <c r="C346" s="1">
        <v>6.0</v>
      </c>
      <c r="D346" s="1">
        <v>71.0</v>
      </c>
      <c r="F346" s="1" t="str">
        <f>LOOKUP(A346, NPCs!A:A, NPCs!C:C)</f>
        <v>Weak Skeleton</v>
      </c>
      <c r="G346" s="1" t="str">
        <f>LOOKUP(B346, Maps!A:A, Maps!B:B)</f>
        <v>Undead Hallway</v>
      </c>
    </row>
    <row r="347" ht="15.75" customHeight="1">
      <c r="A347" s="1">
        <v>11.0</v>
      </c>
      <c r="B347" s="1">
        <v>6.0</v>
      </c>
      <c r="C347" s="1">
        <v>6.0</v>
      </c>
      <c r="D347" s="1">
        <v>69.0</v>
      </c>
      <c r="F347" s="1" t="str">
        <f>LOOKUP(A347, NPCs!A:A, NPCs!C:C)</f>
        <v>Weak Skeleton</v>
      </c>
      <c r="G347" s="1" t="str">
        <f>LOOKUP(B347, Maps!A:A, Maps!B:B)</f>
        <v>Undead Hallway</v>
      </c>
    </row>
    <row r="348" ht="15.75" customHeight="1">
      <c r="A348" s="1">
        <v>11.0</v>
      </c>
      <c r="B348" s="1">
        <v>6.0</v>
      </c>
      <c r="C348" s="1">
        <v>9.0</v>
      </c>
      <c r="D348" s="1">
        <v>70.0</v>
      </c>
      <c r="F348" s="1" t="str">
        <f>LOOKUP(A348, NPCs!A:A, NPCs!C:C)</f>
        <v>Weak Skeleton</v>
      </c>
      <c r="G348" s="1" t="str">
        <f>LOOKUP(B348, Maps!A:A, Maps!B:B)</f>
        <v>Undead Hallway</v>
      </c>
    </row>
    <row r="349" ht="15.75" customHeight="1">
      <c r="A349" s="1">
        <v>11.0</v>
      </c>
      <c r="B349" s="1">
        <v>6.0</v>
      </c>
      <c r="C349" s="1">
        <v>9.0</v>
      </c>
      <c r="D349" s="1">
        <v>68.0</v>
      </c>
      <c r="F349" s="1" t="str">
        <f>LOOKUP(A349, NPCs!A:A, NPCs!C:C)</f>
        <v>Weak Skeleton</v>
      </c>
      <c r="G349" s="1" t="str">
        <f>LOOKUP(B349, Maps!A:A, Maps!B:B)</f>
        <v>Undead Hallway</v>
      </c>
    </row>
    <row r="350" ht="15.75" customHeight="1">
      <c r="A350" s="1">
        <v>11.0</v>
      </c>
      <c r="B350" s="1">
        <v>6.0</v>
      </c>
      <c r="C350" s="1">
        <v>9.0</v>
      </c>
      <c r="D350" s="1">
        <v>64.0</v>
      </c>
      <c r="F350" s="1" t="str">
        <f>LOOKUP(A350, NPCs!A:A, NPCs!C:C)</f>
        <v>Weak Skeleton</v>
      </c>
      <c r="G350" s="1" t="str">
        <f>LOOKUP(B350, Maps!A:A, Maps!B:B)</f>
        <v>Undead Hallway</v>
      </c>
    </row>
    <row r="351" ht="15.75" customHeight="1">
      <c r="A351" s="1">
        <v>11.0</v>
      </c>
      <c r="B351" s="1">
        <v>6.0</v>
      </c>
      <c r="C351" s="1">
        <v>6.0</v>
      </c>
      <c r="D351" s="1">
        <v>60.0</v>
      </c>
      <c r="F351" s="1" t="str">
        <f>LOOKUP(A351, NPCs!A:A, NPCs!C:C)</f>
        <v>Weak Skeleton</v>
      </c>
      <c r="G351" s="1" t="str">
        <f>LOOKUP(B351, Maps!A:A, Maps!B:B)</f>
        <v>Undead Hallway</v>
      </c>
    </row>
    <row r="352" ht="15.75" customHeight="1">
      <c r="A352" s="1">
        <v>11.0</v>
      </c>
      <c r="B352" s="1">
        <v>6.0</v>
      </c>
      <c r="C352" s="1">
        <v>5.0</v>
      </c>
      <c r="D352" s="1">
        <v>61.0</v>
      </c>
      <c r="F352" s="1" t="str">
        <f>LOOKUP(A352, NPCs!A:A, NPCs!C:C)</f>
        <v>Weak Skeleton</v>
      </c>
      <c r="G352" s="1" t="str">
        <f>LOOKUP(B352, Maps!A:A, Maps!B:B)</f>
        <v>Undead Hallway</v>
      </c>
    </row>
    <row r="353" ht="15.75" customHeight="1">
      <c r="A353" s="1">
        <v>11.0</v>
      </c>
      <c r="B353" s="1">
        <v>6.0</v>
      </c>
      <c r="C353" s="1">
        <v>5.0</v>
      </c>
      <c r="D353" s="1">
        <v>92.0</v>
      </c>
      <c r="F353" s="1" t="str">
        <f>LOOKUP(A353, NPCs!A:A, NPCs!C:C)</f>
        <v>Weak Skeleton</v>
      </c>
      <c r="G353" s="1" t="str">
        <f>LOOKUP(B353, Maps!A:A, Maps!B:B)</f>
        <v>Undead Hallway</v>
      </c>
    </row>
    <row r="354" ht="15.75" customHeight="1">
      <c r="A354" s="1">
        <v>11.0</v>
      </c>
      <c r="B354" s="1">
        <v>6.0</v>
      </c>
      <c r="C354" s="1">
        <v>11.0</v>
      </c>
      <c r="D354" s="1">
        <v>93.0</v>
      </c>
      <c r="F354" s="1" t="str">
        <f>LOOKUP(A354, NPCs!A:A, NPCs!C:C)</f>
        <v>Weak Skeleton</v>
      </c>
      <c r="G354" s="1" t="str">
        <f>LOOKUP(B354, Maps!A:A, Maps!B:B)</f>
        <v>Undead Hallway</v>
      </c>
    </row>
    <row r="355" ht="15.75" customHeight="1">
      <c r="A355" s="1">
        <v>11.0</v>
      </c>
      <c r="B355" s="1">
        <v>6.0</v>
      </c>
      <c r="C355" s="1">
        <v>35.0</v>
      </c>
      <c r="D355" s="1">
        <v>64.0</v>
      </c>
      <c r="F355" s="1" t="str">
        <f>LOOKUP(A355, NPCs!A:A, NPCs!C:C)</f>
        <v>Weak Skeleton</v>
      </c>
      <c r="G355" s="1" t="str">
        <f>LOOKUP(B355, Maps!A:A, Maps!B:B)</f>
        <v>Undead Hallway</v>
      </c>
    </row>
    <row r="356" ht="15.75" customHeight="1">
      <c r="A356" s="1">
        <v>11.0</v>
      </c>
      <c r="B356" s="1">
        <v>6.0</v>
      </c>
      <c r="C356" s="1">
        <v>36.0</v>
      </c>
      <c r="D356" s="1">
        <v>60.0</v>
      </c>
      <c r="F356" s="1" t="str">
        <f>LOOKUP(A356, NPCs!A:A, NPCs!C:C)</f>
        <v>Weak Skeleton</v>
      </c>
      <c r="G356" s="1" t="str">
        <f>LOOKUP(B356, Maps!A:A, Maps!B:B)</f>
        <v>Undead Hallway</v>
      </c>
    </row>
    <row r="357" ht="15.75" customHeight="1">
      <c r="A357" s="1">
        <v>11.0</v>
      </c>
      <c r="B357" s="1">
        <v>6.0</v>
      </c>
      <c r="C357" s="1">
        <v>38.0</v>
      </c>
      <c r="D357" s="1">
        <v>60.0</v>
      </c>
      <c r="F357" s="1" t="str">
        <f>LOOKUP(A357, NPCs!A:A, NPCs!C:C)</f>
        <v>Weak Skeleton</v>
      </c>
      <c r="G357" s="1" t="str">
        <f>LOOKUP(B357, Maps!A:A, Maps!B:B)</f>
        <v>Undead Hallway</v>
      </c>
    </row>
    <row r="358" ht="15.75" customHeight="1">
      <c r="A358" s="1">
        <v>11.0</v>
      </c>
      <c r="B358" s="1">
        <v>6.0</v>
      </c>
      <c r="C358" s="1">
        <v>37.0</v>
      </c>
      <c r="D358" s="1">
        <v>62.0</v>
      </c>
      <c r="F358" s="1" t="str">
        <f>LOOKUP(A358, NPCs!A:A, NPCs!C:C)</f>
        <v>Weak Skeleton</v>
      </c>
      <c r="G358" s="1" t="str">
        <f>LOOKUP(B358, Maps!A:A, Maps!B:B)</f>
        <v>Undead Hallway</v>
      </c>
    </row>
    <row r="359" ht="15.75" customHeight="1">
      <c r="A359" s="1">
        <v>11.0</v>
      </c>
      <c r="B359" s="1">
        <v>6.0</v>
      </c>
      <c r="C359" s="1">
        <v>40.0</v>
      </c>
      <c r="D359" s="1">
        <v>64.0</v>
      </c>
      <c r="F359" s="1" t="str">
        <f>LOOKUP(A359, NPCs!A:A, NPCs!C:C)</f>
        <v>Weak Skeleton</v>
      </c>
      <c r="G359" s="1" t="str">
        <f>LOOKUP(B359, Maps!A:A, Maps!B:B)</f>
        <v>Undead Hallway</v>
      </c>
    </row>
    <row r="360" ht="15.75" customHeight="1">
      <c r="A360" s="1">
        <v>11.0</v>
      </c>
      <c r="B360" s="1">
        <v>6.0</v>
      </c>
      <c r="C360" s="1">
        <v>46.0</v>
      </c>
      <c r="D360" s="1">
        <v>64.0</v>
      </c>
      <c r="F360" s="1" t="str">
        <f>LOOKUP(A360, NPCs!A:A, NPCs!C:C)</f>
        <v>Weak Skeleton</v>
      </c>
      <c r="G360" s="1" t="str">
        <f>LOOKUP(B360, Maps!A:A, Maps!B:B)</f>
        <v>Undead Hallway</v>
      </c>
    </row>
    <row r="361" ht="15.75" customHeight="1">
      <c r="A361" s="1">
        <v>11.0</v>
      </c>
      <c r="B361" s="1">
        <v>6.0</v>
      </c>
      <c r="C361" s="1">
        <v>39.0</v>
      </c>
      <c r="D361" s="1">
        <v>69.0</v>
      </c>
      <c r="F361" s="1" t="str">
        <f>LOOKUP(A361, NPCs!A:A, NPCs!C:C)</f>
        <v>Weak Skeleton</v>
      </c>
      <c r="G361" s="1" t="str">
        <f>LOOKUP(B361, Maps!A:A, Maps!B:B)</f>
        <v>Undead Hallway</v>
      </c>
    </row>
    <row r="362" ht="15.75" customHeight="1">
      <c r="A362" s="1">
        <v>11.0</v>
      </c>
      <c r="B362" s="1">
        <v>6.0</v>
      </c>
      <c r="C362" s="1">
        <v>39.0</v>
      </c>
      <c r="D362" s="1">
        <v>85.0</v>
      </c>
      <c r="F362" s="1" t="str">
        <f>LOOKUP(A362, NPCs!A:A, NPCs!C:C)</f>
        <v>Weak Skeleton</v>
      </c>
      <c r="G362" s="1" t="str">
        <f>LOOKUP(B362, Maps!A:A, Maps!B:B)</f>
        <v>Undead Hallway</v>
      </c>
    </row>
    <row r="363" ht="15.75" customHeight="1">
      <c r="A363" s="1">
        <v>11.0</v>
      </c>
      <c r="B363" s="1">
        <v>6.0</v>
      </c>
      <c r="C363" s="1">
        <v>39.0</v>
      </c>
      <c r="D363" s="1">
        <v>84.0</v>
      </c>
      <c r="F363" s="1" t="str">
        <f>LOOKUP(A363, NPCs!A:A, NPCs!C:C)</f>
        <v>Weak Skeleton</v>
      </c>
      <c r="G363" s="1" t="str">
        <f>LOOKUP(B363, Maps!A:A, Maps!B:B)</f>
        <v>Undead Hallway</v>
      </c>
    </row>
    <row r="364" ht="15.75" customHeight="1">
      <c r="A364" s="1">
        <v>11.0</v>
      </c>
      <c r="B364" s="1">
        <v>6.0</v>
      </c>
      <c r="C364" s="1">
        <v>43.0</v>
      </c>
      <c r="D364" s="1">
        <v>87.0</v>
      </c>
      <c r="F364" s="1" t="str">
        <f>LOOKUP(A364, NPCs!A:A, NPCs!C:C)</f>
        <v>Weak Skeleton</v>
      </c>
      <c r="G364" s="1" t="str">
        <f>LOOKUP(B364, Maps!A:A, Maps!B:B)</f>
        <v>Undead Hallway</v>
      </c>
    </row>
    <row r="365" ht="15.75" customHeight="1">
      <c r="A365" s="1">
        <v>11.0</v>
      </c>
      <c r="B365" s="1">
        <v>6.0</v>
      </c>
      <c r="C365" s="1">
        <v>43.0</v>
      </c>
      <c r="D365" s="1">
        <v>82.0</v>
      </c>
      <c r="F365" s="1" t="str">
        <f>LOOKUP(A365, NPCs!A:A, NPCs!C:C)</f>
        <v>Weak Skeleton</v>
      </c>
      <c r="G365" s="1" t="str">
        <f>LOOKUP(B365, Maps!A:A, Maps!B:B)</f>
        <v>Undead Hallway</v>
      </c>
    </row>
    <row r="366" ht="15.75" customHeight="1">
      <c r="A366" s="1">
        <v>11.0</v>
      </c>
      <c r="B366" s="1">
        <v>6.0</v>
      </c>
      <c r="C366" s="1">
        <v>41.0</v>
      </c>
      <c r="D366" s="1">
        <v>78.0</v>
      </c>
      <c r="F366" s="1" t="str">
        <f>LOOKUP(A366, NPCs!A:A, NPCs!C:C)</f>
        <v>Weak Skeleton</v>
      </c>
      <c r="G366" s="1" t="str">
        <f>LOOKUP(B366, Maps!A:A, Maps!B:B)</f>
        <v>Undead Hallway</v>
      </c>
    </row>
    <row r="367" ht="15.75" customHeight="1">
      <c r="A367" s="1">
        <v>11.0</v>
      </c>
      <c r="B367" s="1">
        <v>6.0</v>
      </c>
      <c r="C367" s="1">
        <v>43.0</v>
      </c>
      <c r="D367" s="1">
        <v>73.0</v>
      </c>
      <c r="F367" s="1" t="str">
        <f>LOOKUP(A367, NPCs!A:A, NPCs!C:C)</f>
        <v>Weak Skeleton</v>
      </c>
      <c r="G367" s="1" t="str">
        <f>LOOKUP(B367, Maps!A:A, Maps!B:B)</f>
        <v>Undead Hallway</v>
      </c>
    </row>
    <row r="368" ht="15.75" customHeight="1">
      <c r="A368" s="1">
        <v>11.0</v>
      </c>
      <c r="B368" s="1">
        <v>6.0</v>
      </c>
      <c r="C368" s="1">
        <v>44.0</v>
      </c>
      <c r="D368" s="1">
        <v>74.0</v>
      </c>
      <c r="F368" s="1" t="str">
        <f>LOOKUP(A368, NPCs!A:A, NPCs!C:C)</f>
        <v>Weak Skeleton</v>
      </c>
      <c r="G368" s="1" t="str">
        <f>LOOKUP(B368, Maps!A:A, Maps!B:B)</f>
        <v>Undead Hallway</v>
      </c>
    </row>
    <row r="369" ht="15.75" customHeight="1">
      <c r="A369" s="1">
        <v>11.0</v>
      </c>
      <c r="B369" s="1">
        <v>6.0</v>
      </c>
      <c r="C369" s="1">
        <v>47.0</v>
      </c>
      <c r="D369" s="1">
        <v>77.0</v>
      </c>
      <c r="F369" s="1" t="str">
        <f>LOOKUP(A369, NPCs!A:A, NPCs!C:C)</f>
        <v>Weak Skeleton</v>
      </c>
      <c r="G369" s="1" t="str">
        <f>LOOKUP(B369, Maps!A:A, Maps!B:B)</f>
        <v>Undead Hallway</v>
      </c>
    </row>
    <row r="370" ht="15.75" customHeight="1">
      <c r="A370" s="1">
        <v>11.0</v>
      </c>
      <c r="B370" s="1">
        <v>6.0</v>
      </c>
      <c r="C370" s="1">
        <v>56.0</v>
      </c>
      <c r="D370" s="1">
        <v>90.0</v>
      </c>
      <c r="F370" s="1" t="str">
        <f>LOOKUP(A370, NPCs!A:A, NPCs!C:C)</f>
        <v>Weak Skeleton</v>
      </c>
      <c r="G370" s="1" t="str">
        <f>LOOKUP(B370, Maps!A:A, Maps!B:B)</f>
        <v>Undead Hallway</v>
      </c>
    </row>
    <row r="371" ht="15.75" customHeight="1">
      <c r="A371" s="1">
        <v>11.0</v>
      </c>
      <c r="B371" s="1">
        <v>6.0</v>
      </c>
      <c r="C371" s="1">
        <v>56.0</v>
      </c>
      <c r="D371" s="1">
        <v>94.0</v>
      </c>
      <c r="F371" s="1" t="str">
        <f>LOOKUP(A371, NPCs!A:A, NPCs!C:C)</f>
        <v>Weak Skeleton</v>
      </c>
      <c r="G371" s="1" t="str">
        <f>LOOKUP(B371, Maps!A:A, Maps!B:B)</f>
        <v>Undead Hallway</v>
      </c>
    </row>
    <row r="372" ht="15.75" customHeight="1">
      <c r="A372" s="1">
        <v>11.0</v>
      </c>
      <c r="B372" s="1">
        <v>6.0</v>
      </c>
      <c r="C372" s="1">
        <v>55.0</v>
      </c>
      <c r="D372" s="1">
        <v>86.0</v>
      </c>
      <c r="F372" s="1" t="str">
        <f>LOOKUP(A372, NPCs!A:A, NPCs!C:C)</f>
        <v>Weak Skeleton</v>
      </c>
      <c r="G372" s="1" t="str">
        <f>LOOKUP(B372, Maps!A:A, Maps!B:B)</f>
        <v>Undead Hallway</v>
      </c>
    </row>
    <row r="373" ht="15.75" customHeight="1">
      <c r="A373" s="1">
        <v>11.0</v>
      </c>
      <c r="B373" s="1">
        <v>6.0</v>
      </c>
      <c r="C373" s="1">
        <v>56.0</v>
      </c>
      <c r="D373" s="1">
        <v>80.0</v>
      </c>
      <c r="F373" s="1" t="str">
        <f>LOOKUP(A373, NPCs!A:A, NPCs!C:C)</f>
        <v>Weak Skeleton</v>
      </c>
      <c r="G373" s="1" t="str">
        <f>LOOKUP(B373, Maps!A:A, Maps!B:B)</f>
        <v>Undead Hallway</v>
      </c>
    </row>
    <row r="374" ht="15.75" customHeight="1">
      <c r="A374" s="1">
        <v>11.0</v>
      </c>
      <c r="B374" s="1">
        <v>6.0</v>
      </c>
      <c r="C374" s="1">
        <v>48.0</v>
      </c>
      <c r="D374" s="1">
        <v>81.0</v>
      </c>
      <c r="F374" s="1" t="str">
        <f>LOOKUP(A374, NPCs!A:A, NPCs!C:C)</f>
        <v>Weak Skeleton</v>
      </c>
      <c r="G374" s="1" t="str">
        <f>LOOKUP(B374, Maps!A:A, Maps!B:B)</f>
        <v>Undead Hallway</v>
      </c>
    </row>
    <row r="375" ht="15.75" customHeight="1">
      <c r="A375" s="1">
        <v>11.0</v>
      </c>
      <c r="B375" s="1">
        <v>6.0</v>
      </c>
      <c r="C375" s="1">
        <v>50.0</v>
      </c>
      <c r="D375" s="1">
        <v>77.0</v>
      </c>
      <c r="F375" s="1" t="str">
        <f>LOOKUP(A375, NPCs!A:A, NPCs!C:C)</f>
        <v>Weak Skeleton</v>
      </c>
      <c r="G375" s="1" t="str">
        <f>LOOKUP(B375, Maps!A:A, Maps!B:B)</f>
        <v>Undead Hallway</v>
      </c>
    </row>
    <row r="376" ht="15.75" customHeight="1">
      <c r="A376" s="1">
        <v>11.0</v>
      </c>
      <c r="B376" s="1">
        <v>6.0</v>
      </c>
      <c r="C376" s="1">
        <v>49.0</v>
      </c>
      <c r="D376" s="1">
        <v>72.0</v>
      </c>
      <c r="F376" s="1" t="str">
        <f>LOOKUP(A376, NPCs!A:A, NPCs!C:C)</f>
        <v>Weak Skeleton</v>
      </c>
      <c r="G376" s="1" t="str">
        <f>LOOKUP(B376, Maps!A:A, Maps!B:B)</f>
        <v>Undead Hallway</v>
      </c>
    </row>
    <row r="377" ht="15.75" customHeight="1">
      <c r="A377" s="1">
        <v>11.0</v>
      </c>
      <c r="B377" s="1">
        <v>6.0</v>
      </c>
      <c r="C377" s="1">
        <v>55.0</v>
      </c>
      <c r="D377" s="1">
        <v>74.0</v>
      </c>
      <c r="F377" s="1" t="str">
        <f>LOOKUP(A377, NPCs!A:A, NPCs!C:C)</f>
        <v>Weak Skeleton</v>
      </c>
      <c r="G377" s="1" t="str">
        <f>LOOKUP(B377, Maps!A:A, Maps!B:B)</f>
        <v>Undead Hallway</v>
      </c>
    </row>
    <row r="378" ht="15.75" customHeight="1">
      <c r="A378" s="1">
        <v>11.0</v>
      </c>
      <c r="B378" s="1">
        <v>6.0</v>
      </c>
      <c r="C378" s="1">
        <v>52.0</v>
      </c>
      <c r="D378" s="1">
        <v>68.0</v>
      </c>
      <c r="F378" s="1" t="str">
        <f>LOOKUP(A378, NPCs!A:A, NPCs!C:C)</f>
        <v>Weak Skeleton</v>
      </c>
      <c r="G378" s="1" t="str">
        <f>LOOKUP(B378, Maps!A:A, Maps!B:B)</f>
        <v>Undead Hallway</v>
      </c>
    </row>
    <row r="379" ht="15.75" customHeight="1">
      <c r="A379" s="1">
        <v>11.0</v>
      </c>
      <c r="B379" s="1">
        <v>6.0</v>
      </c>
      <c r="C379" s="1">
        <v>57.0</v>
      </c>
      <c r="D379" s="1">
        <v>61.0</v>
      </c>
      <c r="F379" s="1" t="str">
        <f>LOOKUP(A379, NPCs!A:A, NPCs!C:C)</f>
        <v>Weak Skeleton</v>
      </c>
      <c r="G379" s="1" t="str">
        <f>LOOKUP(B379, Maps!A:A, Maps!B:B)</f>
        <v>Undead Hallway</v>
      </c>
    </row>
    <row r="380" ht="15.75" customHeight="1">
      <c r="A380" s="1">
        <v>11.0</v>
      </c>
      <c r="B380" s="1">
        <v>6.0</v>
      </c>
      <c r="C380" s="1">
        <v>58.0</v>
      </c>
      <c r="D380" s="1">
        <v>60.0</v>
      </c>
      <c r="F380" s="1" t="str">
        <f>LOOKUP(A380, NPCs!A:A, NPCs!C:C)</f>
        <v>Weak Skeleton</v>
      </c>
      <c r="G380" s="1" t="str">
        <f>LOOKUP(B380, Maps!A:A, Maps!B:B)</f>
        <v>Undead Hallway</v>
      </c>
    </row>
    <row r="381" ht="15.75" customHeight="1">
      <c r="A381" s="1">
        <v>11.0</v>
      </c>
      <c r="B381" s="1">
        <v>6.0</v>
      </c>
      <c r="C381" s="1">
        <v>61.0</v>
      </c>
      <c r="D381" s="1">
        <v>60.0</v>
      </c>
      <c r="F381" s="1" t="str">
        <f>LOOKUP(A381, NPCs!A:A, NPCs!C:C)</f>
        <v>Weak Skeleton</v>
      </c>
      <c r="G381" s="1" t="str">
        <f>LOOKUP(B381, Maps!A:A, Maps!B:B)</f>
        <v>Undead Hallway</v>
      </c>
    </row>
    <row r="382" ht="15.75" customHeight="1">
      <c r="A382" s="1">
        <v>11.0</v>
      </c>
      <c r="B382" s="1">
        <v>6.0</v>
      </c>
      <c r="C382" s="1">
        <v>61.0</v>
      </c>
      <c r="D382" s="1">
        <v>62.0</v>
      </c>
      <c r="F382" s="1" t="str">
        <f>LOOKUP(A382, NPCs!A:A, NPCs!C:C)</f>
        <v>Weak Skeleton</v>
      </c>
      <c r="G382" s="1" t="str">
        <f>LOOKUP(B382, Maps!A:A, Maps!B:B)</f>
        <v>Undead Hallway</v>
      </c>
    </row>
    <row r="383" ht="15.75" customHeight="1">
      <c r="A383" s="1">
        <v>11.0</v>
      </c>
      <c r="B383" s="1">
        <v>6.0</v>
      </c>
      <c r="C383" s="1">
        <v>48.0</v>
      </c>
      <c r="D383" s="1">
        <v>60.0</v>
      </c>
      <c r="F383" s="1" t="str">
        <f>LOOKUP(A383, NPCs!A:A, NPCs!C:C)</f>
        <v>Weak Skeleton</v>
      </c>
      <c r="G383" s="1" t="str">
        <f>LOOKUP(B383, Maps!A:A, Maps!B:B)</f>
        <v>Undead Hallway</v>
      </c>
    </row>
    <row r="384" ht="15.75" customHeight="1">
      <c r="A384" s="1">
        <v>11.0</v>
      </c>
      <c r="B384" s="1">
        <v>6.0</v>
      </c>
      <c r="C384" s="1">
        <v>48.0</v>
      </c>
      <c r="D384" s="1">
        <v>59.0</v>
      </c>
      <c r="F384" s="1" t="str">
        <f>LOOKUP(A384, NPCs!A:A, NPCs!C:C)</f>
        <v>Weak Skeleton</v>
      </c>
      <c r="G384" s="1" t="str">
        <f>LOOKUP(B384, Maps!A:A, Maps!B:B)</f>
        <v>Undead Hallway</v>
      </c>
    </row>
    <row r="385" ht="15.75" customHeight="1">
      <c r="A385" s="1">
        <v>11.0</v>
      </c>
      <c r="B385" s="1">
        <v>6.0</v>
      </c>
      <c r="C385" s="1">
        <v>48.0</v>
      </c>
      <c r="D385" s="1">
        <v>57.0</v>
      </c>
      <c r="F385" s="1" t="str">
        <f>LOOKUP(A385, NPCs!A:A, NPCs!C:C)</f>
        <v>Weak Skeleton</v>
      </c>
      <c r="G385" s="1" t="str">
        <f>LOOKUP(B385, Maps!A:A, Maps!B:B)</f>
        <v>Undead Hallway</v>
      </c>
    </row>
    <row r="386" ht="15.75" customHeight="1">
      <c r="A386" s="1">
        <v>11.0</v>
      </c>
      <c r="B386" s="1">
        <v>6.0</v>
      </c>
      <c r="C386" s="1">
        <v>47.0</v>
      </c>
      <c r="D386" s="1">
        <v>46.0</v>
      </c>
      <c r="F386" s="1" t="str">
        <f>LOOKUP(A386, NPCs!A:A, NPCs!C:C)</f>
        <v>Weak Skeleton</v>
      </c>
      <c r="G386" s="1" t="str">
        <f>LOOKUP(B386, Maps!A:A, Maps!B:B)</f>
        <v>Undead Hallway</v>
      </c>
    </row>
    <row r="387" ht="15.75" customHeight="1">
      <c r="A387" s="1">
        <v>11.0</v>
      </c>
      <c r="B387" s="1">
        <v>6.0</v>
      </c>
      <c r="C387" s="1">
        <v>46.0</v>
      </c>
      <c r="D387" s="1">
        <v>41.0</v>
      </c>
      <c r="F387" s="1" t="str">
        <f>LOOKUP(A387, NPCs!A:A, NPCs!C:C)</f>
        <v>Weak Skeleton</v>
      </c>
      <c r="G387" s="1" t="str">
        <f>LOOKUP(B387, Maps!A:A, Maps!B:B)</f>
        <v>Undead Hallway</v>
      </c>
    </row>
    <row r="388" ht="15.75" customHeight="1">
      <c r="A388" s="1">
        <v>11.0</v>
      </c>
      <c r="B388" s="1">
        <v>6.0</v>
      </c>
      <c r="C388" s="1">
        <v>49.0</v>
      </c>
      <c r="D388" s="1">
        <v>40.0</v>
      </c>
      <c r="F388" s="1" t="str">
        <f>LOOKUP(A388, NPCs!A:A, NPCs!C:C)</f>
        <v>Weak Skeleton</v>
      </c>
      <c r="G388" s="1" t="str">
        <f>LOOKUP(B388, Maps!A:A, Maps!B:B)</f>
        <v>Undead Hallway</v>
      </c>
    </row>
    <row r="389" ht="15.75" customHeight="1">
      <c r="A389" s="1">
        <v>11.0</v>
      </c>
      <c r="B389" s="1">
        <v>6.0</v>
      </c>
      <c r="C389" s="1">
        <v>24.0</v>
      </c>
      <c r="D389" s="1">
        <v>12.0</v>
      </c>
      <c r="F389" s="1" t="str">
        <f>LOOKUP(A389, NPCs!A:A, NPCs!C:C)</f>
        <v>Weak Skeleton</v>
      </c>
      <c r="G389" s="1" t="str">
        <f>LOOKUP(B389, Maps!A:A, Maps!B:B)</f>
        <v>Undead Hallway</v>
      </c>
    </row>
    <row r="390" ht="15.75" customHeight="1">
      <c r="A390" s="1">
        <v>11.0</v>
      </c>
      <c r="B390" s="1">
        <v>6.0</v>
      </c>
      <c r="C390" s="1">
        <v>21.0</v>
      </c>
      <c r="D390" s="1">
        <v>13.0</v>
      </c>
      <c r="F390" s="1" t="str">
        <f>LOOKUP(A390, NPCs!A:A, NPCs!C:C)</f>
        <v>Weak Skeleton</v>
      </c>
      <c r="G390" s="1" t="str">
        <f>LOOKUP(B390, Maps!A:A, Maps!B:B)</f>
        <v>Undead Hallway</v>
      </c>
    </row>
    <row r="391" ht="15.75" customHeight="1">
      <c r="A391" s="1">
        <v>11.0</v>
      </c>
      <c r="B391" s="1">
        <v>6.0</v>
      </c>
      <c r="C391" s="1">
        <v>21.0</v>
      </c>
      <c r="D391" s="1">
        <v>4.0</v>
      </c>
      <c r="F391" s="1" t="str">
        <f>LOOKUP(A391, NPCs!A:A, NPCs!C:C)</f>
        <v>Weak Skeleton</v>
      </c>
      <c r="G391" s="1" t="str">
        <f>LOOKUP(B391, Maps!A:A, Maps!B:B)</f>
        <v>Undead Hallway</v>
      </c>
    </row>
    <row r="392" ht="15.75" customHeight="1">
      <c r="A392" s="1">
        <v>11.0</v>
      </c>
      <c r="B392" s="1">
        <v>6.0</v>
      </c>
      <c r="C392" s="1">
        <v>17.0</v>
      </c>
      <c r="D392" s="1">
        <v>6.0</v>
      </c>
      <c r="F392" s="1" t="str">
        <f>LOOKUP(A392, NPCs!A:A, NPCs!C:C)</f>
        <v>Weak Skeleton</v>
      </c>
      <c r="G392" s="1" t="str">
        <f>LOOKUP(B392, Maps!A:A, Maps!B:B)</f>
        <v>Undead Hallway</v>
      </c>
    </row>
    <row r="393" ht="15.75" customHeight="1">
      <c r="A393" s="1">
        <v>11.0</v>
      </c>
      <c r="B393" s="1">
        <v>6.0</v>
      </c>
      <c r="C393" s="1">
        <v>15.0</v>
      </c>
      <c r="D393" s="1">
        <v>9.0</v>
      </c>
      <c r="F393" s="1" t="str">
        <f>LOOKUP(A393, NPCs!A:A, NPCs!C:C)</f>
        <v>Weak Skeleton</v>
      </c>
      <c r="G393" s="1" t="str">
        <f>LOOKUP(B393, Maps!A:A, Maps!B:B)</f>
        <v>Undead Hallway</v>
      </c>
    </row>
    <row r="394" ht="15.75" customHeight="1">
      <c r="A394" s="1">
        <v>11.0</v>
      </c>
      <c r="B394" s="1">
        <v>6.0</v>
      </c>
      <c r="C394" s="1">
        <v>12.0</v>
      </c>
      <c r="D394" s="1">
        <v>9.0</v>
      </c>
      <c r="F394" s="1" t="str">
        <f>LOOKUP(A394, NPCs!A:A, NPCs!C:C)</f>
        <v>Weak Skeleton</v>
      </c>
      <c r="G394" s="1" t="str">
        <f>LOOKUP(B394, Maps!A:A, Maps!B:B)</f>
        <v>Undead Hallway</v>
      </c>
    </row>
    <row r="395" ht="15.75" customHeight="1">
      <c r="A395" s="1">
        <v>11.0</v>
      </c>
      <c r="B395" s="1">
        <v>6.0</v>
      </c>
      <c r="C395" s="1">
        <v>14.0</v>
      </c>
      <c r="D395" s="1">
        <v>14.0</v>
      </c>
      <c r="F395" s="1" t="str">
        <f>LOOKUP(A395, NPCs!A:A, NPCs!C:C)</f>
        <v>Weak Skeleton</v>
      </c>
      <c r="G395" s="1" t="str">
        <f>LOOKUP(B395, Maps!A:A, Maps!B:B)</f>
        <v>Undead Hallway</v>
      </c>
    </row>
    <row r="396" ht="15.75" customHeight="1">
      <c r="A396" s="1">
        <v>11.0</v>
      </c>
      <c r="B396" s="1">
        <v>6.0</v>
      </c>
      <c r="C396" s="1">
        <v>8.0</v>
      </c>
      <c r="D396" s="1">
        <v>12.0</v>
      </c>
      <c r="F396" s="1" t="str">
        <f>LOOKUP(A396, NPCs!A:A, NPCs!C:C)</f>
        <v>Weak Skeleton</v>
      </c>
      <c r="G396" s="1" t="str">
        <f>LOOKUP(B396, Maps!A:A, Maps!B:B)</f>
        <v>Undead Hallway</v>
      </c>
    </row>
    <row r="397" ht="15.75" customHeight="1">
      <c r="A397" s="1">
        <v>11.0</v>
      </c>
      <c r="B397" s="1">
        <v>6.0</v>
      </c>
      <c r="C397" s="1">
        <v>6.0</v>
      </c>
      <c r="D397" s="1">
        <v>9.0</v>
      </c>
      <c r="F397" s="1" t="str">
        <f>LOOKUP(A397, NPCs!A:A, NPCs!C:C)</f>
        <v>Weak Skeleton</v>
      </c>
      <c r="G397" s="1" t="str">
        <f>LOOKUP(B397, Maps!A:A, Maps!B:B)</f>
        <v>Undead Hallway</v>
      </c>
    </row>
    <row r="398" ht="15.75" customHeight="1">
      <c r="A398" s="1">
        <v>11.0</v>
      </c>
      <c r="B398" s="1">
        <v>6.0</v>
      </c>
      <c r="C398" s="1">
        <v>7.0</v>
      </c>
      <c r="D398" s="1">
        <v>5.0</v>
      </c>
      <c r="F398" s="1" t="str">
        <f>LOOKUP(A398, NPCs!A:A, NPCs!C:C)</f>
        <v>Weak Skeleton</v>
      </c>
      <c r="G398" s="1" t="str">
        <f>LOOKUP(B398, Maps!A:A, Maps!B:B)</f>
        <v>Undead Hallway</v>
      </c>
    </row>
    <row r="399" ht="15.75" customHeight="1">
      <c r="A399" s="1">
        <v>11.0</v>
      </c>
      <c r="B399" s="1">
        <v>6.0</v>
      </c>
      <c r="C399" s="1">
        <v>2.0</v>
      </c>
      <c r="D399" s="1">
        <v>5.0</v>
      </c>
      <c r="F399" s="1" t="str">
        <f>LOOKUP(A399, NPCs!A:A, NPCs!C:C)</f>
        <v>Weak Skeleton</v>
      </c>
      <c r="G399" s="1" t="str">
        <f>LOOKUP(B399, Maps!A:A, Maps!B:B)</f>
        <v>Undead Hallway</v>
      </c>
    </row>
    <row r="400" ht="15.75" customHeight="1">
      <c r="A400" s="1">
        <v>11.0</v>
      </c>
      <c r="B400" s="1">
        <v>6.0</v>
      </c>
      <c r="C400" s="1">
        <v>3.0</v>
      </c>
      <c r="D400" s="1">
        <v>6.0</v>
      </c>
      <c r="F400" s="1" t="str">
        <f>LOOKUP(A400, NPCs!A:A, NPCs!C:C)</f>
        <v>Weak Skeleton</v>
      </c>
      <c r="G400" s="1" t="str">
        <f>LOOKUP(B400, Maps!A:A, Maps!B:B)</f>
        <v>Undead Hallway</v>
      </c>
    </row>
    <row r="401" ht="15.75" customHeight="1">
      <c r="A401" s="1">
        <v>11.0</v>
      </c>
      <c r="B401" s="1">
        <v>6.0</v>
      </c>
      <c r="C401" s="1">
        <v>6.0</v>
      </c>
      <c r="D401" s="1">
        <v>14.0</v>
      </c>
      <c r="F401" s="1" t="str">
        <f>LOOKUP(A401, NPCs!A:A, NPCs!C:C)</f>
        <v>Weak Skeleton</v>
      </c>
      <c r="G401" s="1" t="str">
        <f>LOOKUP(B401, Maps!A:A, Maps!B:B)</f>
        <v>Undead Hallway</v>
      </c>
    </row>
    <row r="402" ht="15.75" customHeight="1">
      <c r="A402" s="1">
        <v>11.0</v>
      </c>
      <c r="B402" s="1">
        <v>6.0</v>
      </c>
      <c r="C402" s="1">
        <v>4.0</v>
      </c>
      <c r="D402" s="1">
        <v>16.0</v>
      </c>
      <c r="F402" s="1" t="str">
        <f>LOOKUP(A402, NPCs!A:A, NPCs!C:C)</f>
        <v>Weak Skeleton</v>
      </c>
      <c r="G402" s="1" t="str">
        <f>LOOKUP(B402, Maps!A:A, Maps!B:B)</f>
        <v>Undead Hallway</v>
      </c>
    </row>
    <row r="403" ht="15.75" customHeight="1">
      <c r="A403" s="1">
        <v>11.0</v>
      </c>
      <c r="B403" s="1">
        <v>6.0</v>
      </c>
      <c r="C403" s="1">
        <v>3.0</v>
      </c>
      <c r="D403" s="1">
        <v>16.0</v>
      </c>
      <c r="F403" s="1" t="str">
        <f>LOOKUP(A403, NPCs!A:A, NPCs!C:C)</f>
        <v>Weak Skeleton</v>
      </c>
      <c r="G403" s="1" t="str">
        <f>LOOKUP(B403, Maps!A:A, Maps!B:B)</f>
        <v>Undead Hallway</v>
      </c>
    </row>
    <row r="404" ht="15.75" customHeight="1">
      <c r="A404" s="1">
        <v>11.0</v>
      </c>
      <c r="B404" s="1">
        <v>6.0</v>
      </c>
      <c r="C404" s="1">
        <v>4.0</v>
      </c>
      <c r="D404" s="1">
        <v>21.0</v>
      </c>
      <c r="F404" s="1" t="str">
        <f>LOOKUP(A404, NPCs!A:A, NPCs!C:C)</f>
        <v>Weak Skeleton</v>
      </c>
      <c r="G404" s="1" t="str">
        <f>LOOKUP(B404, Maps!A:A, Maps!B:B)</f>
        <v>Undead Hallway</v>
      </c>
    </row>
    <row r="405" ht="15.75" customHeight="1">
      <c r="A405" s="1">
        <v>11.0</v>
      </c>
      <c r="B405" s="1">
        <v>6.0</v>
      </c>
      <c r="C405" s="1">
        <v>3.0</v>
      </c>
      <c r="D405" s="1">
        <v>28.0</v>
      </c>
      <c r="F405" s="1" t="str">
        <f>LOOKUP(A405, NPCs!A:A, NPCs!C:C)</f>
        <v>Weak Skeleton</v>
      </c>
      <c r="G405" s="1" t="str">
        <f>LOOKUP(B405, Maps!A:A, Maps!B:B)</f>
        <v>Undead Hallway</v>
      </c>
    </row>
    <row r="406" ht="15.75" customHeight="1">
      <c r="A406" s="1">
        <v>11.0</v>
      </c>
      <c r="B406" s="1">
        <v>6.0</v>
      </c>
      <c r="C406" s="1">
        <v>3.0</v>
      </c>
      <c r="D406" s="1">
        <v>29.0</v>
      </c>
      <c r="F406" s="1" t="str">
        <f>LOOKUP(A406, NPCs!A:A, NPCs!C:C)</f>
        <v>Weak Skeleton</v>
      </c>
      <c r="G406" s="1" t="str">
        <f>LOOKUP(B406, Maps!A:A, Maps!B:B)</f>
        <v>Undead Hallway</v>
      </c>
    </row>
    <row r="407" ht="15.75" customHeight="1">
      <c r="A407" s="1">
        <v>11.0</v>
      </c>
      <c r="B407" s="1">
        <v>6.0</v>
      </c>
      <c r="C407" s="1">
        <v>3.0</v>
      </c>
      <c r="D407" s="1">
        <v>31.0</v>
      </c>
      <c r="F407" s="1" t="str">
        <f>LOOKUP(A407, NPCs!A:A, NPCs!C:C)</f>
        <v>Weak Skeleton</v>
      </c>
      <c r="G407" s="1" t="str">
        <f>LOOKUP(B407, Maps!A:A, Maps!B:B)</f>
        <v>Undead Hallway</v>
      </c>
    </row>
    <row r="408" ht="15.75" customHeight="1">
      <c r="A408" s="1">
        <v>11.0</v>
      </c>
      <c r="B408" s="1">
        <v>6.0</v>
      </c>
      <c r="C408" s="1">
        <v>3.0</v>
      </c>
      <c r="D408" s="1">
        <v>36.0</v>
      </c>
      <c r="F408" s="1" t="str">
        <f>LOOKUP(A408, NPCs!A:A, NPCs!C:C)</f>
        <v>Weak Skeleton</v>
      </c>
      <c r="G408" s="1" t="str">
        <f>LOOKUP(B408, Maps!A:A, Maps!B:B)</f>
        <v>Undead Hallway</v>
      </c>
    </row>
    <row r="409" ht="15.75" customHeight="1">
      <c r="A409" s="1">
        <v>11.0</v>
      </c>
      <c r="B409" s="1">
        <v>6.0</v>
      </c>
      <c r="C409" s="1">
        <v>5.0</v>
      </c>
      <c r="D409" s="1">
        <v>38.0</v>
      </c>
      <c r="F409" s="1" t="str">
        <f>LOOKUP(A409, NPCs!A:A, NPCs!C:C)</f>
        <v>Weak Skeleton</v>
      </c>
      <c r="G409" s="1" t="str">
        <f>LOOKUP(B409, Maps!A:A, Maps!B:B)</f>
        <v>Undead Hallway</v>
      </c>
    </row>
    <row r="410" ht="15.75" customHeight="1">
      <c r="A410" s="1">
        <v>11.0</v>
      </c>
      <c r="B410" s="1">
        <v>6.0</v>
      </c>
      <c r="C410" s="1">
        <v>6.0</v>
      </c>
      <c r="D410" s="1">
        <v>42.0</v>
      </c>
      <c r="F410" s="1" t="str">
        <f>LOOKUP(A410, NPCs!A:A, NPCs!C:C)</f>
        <v>Weak Skeleton</v>
      </c>
      <c r="G410" s="1" t="str">
        <f>LOOKUP(B410, Maps!A:A, Maps!B:B)</f>
        <v>Undead Hallway</v>
      </c>
    </row>
    <row r="411" ht="15.75" customHeight="1">
      <c r="A411" s="1">
        <v>11.0</v>
      </c>
      <c r="B411" s="1">
        <v>6.0</v>
      </c>
      <c r="C411" s="1">
        <v>7.0</v>
      </c>
      <c r="D411" s="1">
        <v>42.0</v>
      </c>
      <c r="F411" s="1" t="str">
        <f>LOOKUP(A411, NPCs!A:A, NPCs!C:C)</f>
        <v>Weak Skeleton</v>
      </c>
      <c r="G411" s="1" t="str">
        <f>LOOKUP(B411, Maps!A:A, Maps!B:B)</f>
        <v>Undead Hallway</v>
      </c>
    </row>
    <row r="412" ht="15.75" customHeight="1">
      <c r="A412" s="1">
        <v>11.0</v>
      </c>
      <c r="B412" s="1">
        <v>6.0</v>
      </c>
      <c r="C412" s="1">
        <v>38.0</v>
      </c>
      <c r="D412" s="1">
        <v>38.0</v>
      </c>
      <c r="F412" s="1" t="str">
        <f>LOOKUP(A412, NPCs!A:A, NPCs!C:C)</f>
        <v>Weak Skeleton</v>
      </c>
      <c r="G412" s="1" t="str">
        <f>LOOKUP(B412, Maps!A:A, Maps!B:B)</f>
        <v>Undead Hallway</v>
      </c>
    </row>
    <row r="413" ht="15.75" customHeight="1">
      <c r="A413" s="1">
        <v>11.0</v>
      </c>
      <c r="B413" s="1">
        <v>6.0</v>
      </c>
      <c r="C413" s="1">
        <v>39.0</v>
      </c>
      <c r="D413" s="1">
        <v>31.0</v>
      </c>
      <c r="F413" s="1" t="str">
        <f>LOOKUP(A413, NPCs!A:A, NPCs!C:C)</f>
        <v>Weak Skeleton</v>
      </c>
      <c r="G413" s="1" t="str">
        <f>LOOKUP(B413, Maps!A:A, Maps!B:B)</f>
        <v>Undead Hallway</v>
      </c>
    </row>
    <row r="414" ht="15.75" customHeight="1">
      <c r="A414" s="1">
        <v>12.0</v>
      </c>
      <c r="B414" s="1">
        <v>6.0</v>
      </c>
      <c r="C414" s="1">
        <v>33.0</v>
      </c>
      <c r="D414" s="1">
        <v>60.0</v>
      </c>
      <c r="F414" s="1" t="str">
        <f>LOOKUP(A414, NPCs!A:A, NPCs!C:C)</f>
        <v>Weak Skeleton</v>
      </c>
      <c r="G414" s="1" t="str">
        <f>LOOKUP(B414, Maps!A:A, Maps!B:B)</f>
        <v>Undead Hallway</v>
      </c>
    </row>
    <row r="415" ht="15.75" customHeight="1">
      <c r="A415" s="1">
        <v>12.0</v>
      </c>
      <c r="B415" s="1">
        <v>6.0</v>
      </c>
      <c r="C415" s="1">
        <v>39.0</v>
      </c>
      <c r="D415" s="1">
        <v>66.0</v>
      </c>
      <c r="F415" s="1" t="str">
        <f>LOOKUP(A415, NPCs!A:A, NPCs!C:C)</f>
        <v>Weak Skeleton</v>
      </c>
      <c r="G415" s="1" t="str">
        <f>LOOKUP(B415, Maps!A:A, Maps!B:B)</f>
        <v>Undead Hallway</v>
      </c>
    </row>
    <row r="416" ht="15.75" customHeight="1">
      <c r="A416" s="1">
        <v>12.0</v>
      </c>
      <c r="B416" s="1">
        <v>6.0</v>
      </c>
      <c r="C416" s="1">
        <v>48.0</v>
      </c>
      <c r="D416" s="1">
        <v>64.0</v>
      </c>
      <c r="F416" s="1" t="str">
        <f>LOOKUP(A416, NPCs!A:A, NPCs!C:C)</f>
        <v>Weak Skeleton</v>
      </c>
      <c r="G416" s="1" t="str">
        <f>LOOKUP(B416, Maps!A:A, Maps!B:B)</f>
        <v>Undead Hallway</v>
      </c>
    </row>
    <row r="417" ht="15.75" customHeight="1">
      <c r="A417" s="1">
        <v>12.0</v>
      </c>
      <c r="B417" s="1">
        <v>6.0</v>
      </c>
      <c r="C417" s="1">
        <v>55.0</v>
      </c>
      <c r="D417" s="1">
        <v>82.0</v>
      </c>
      <c r="F417" s="1" t="str">
        <f>LOOKUP(A417, NPCs!A:A, NPCs!C:C)</f>
        <v>Weak Skeleton</v>
      </c>
      <c r="G417" s="1" t="str">
        <f>LOOKUP(B417, Maps!A:A, Maps!B:B)</f>
        <v>Undead Hallway</v>
      </c>
    </row>
    <row r="418" ht="15.75" customHeight="1">
      <c r="A418" s="1">
        <v>12.0</v>
      </c>
      <c r="B418" s="1">
        <v>6.0</v>
      </c>
      <c r="C418" s="1">
        <v>45.0</v>
      </c>
      <c r="D418" s="1">
        <v>78.0</v>
      </c>
      <c r="F418" s="1" t="str">
        <f>LOOKUP(A418, NPCs!A:A, NPCs!C:C)</f>
        <v>Weak Skeleton</v>
      </c>
      <c r="G418" s="1" t="str">
        <f>LOOKUP(B418, Maps!A:A, Maps!B:B)</f>
        <v>Undead Hallway</v>
      </c>
    </row>
    <row r="419" ht="15.75" customHeight="1">
      <c r="A419" s="1">
        <v>12.0</v>
      </c>
      <c r="B419" s="1">
        <v>6.0</v>
      </c>
      <c r="C419" s="1">
        <v>2.0</v>
      </c>
      <c r="D419" s="1">
        <v>93.0</v>
      </c>
      <c r="F419" s="1" t="str">
        <f>LOOKUP(A419, NPCs!A:A, NPCs!C:C)</f>
        <v>Weak Skeleton</v>
      </c>
      <c r="G419" s="1" t="str">
        <f>LOOKUP(B419, Maps!A:A, Maps!B:B)</f>
        <v>Undead Hallway</v>
      </c>
    </row>
    <row r="420" ht="15.75" customHeight="1">
      <c r="A420" s="1">
        <v>12.0</v>
      </c>
      <c r="B420" s="1">
        <v>6.0</v>
      </c>
      <c r="C420" s="1">
        <v>13.0</v>
      </c>
      <c r="D420" s="1">
        <v>96.0</v>
      </c>
      <c r="F420" s="1" t="str">
        <f>LOOKUP(A420, NPCs!A:A, NPCs!C:C)</f>
        <v>Weak Skeleton</v>
      </c>
      <c r="G420" s="1" t="str">
        <f>LOOKUP(B420, Maps!A:A, Maps!B:B)</f>
        <v>Undead Hallway</v>
      </c>
    </row>
    <row r="421" ht="15.75" customHeight="1">
      <c r="A421" s="1">
        <v>12.0</v>
      </c>
      <c r="B421" s="1">
        <v>6.0</v>
      </c>
      <c r="C421" s="1">
        <v>8.0</v>
      </c>
      <c r="D421" s="1">
        <v>74.0</v>
      </c>
      <c r="F421" s="1" t="str">
        <f>LOOKUP(A421, NPCs!A:A, NPCs!C:C)</f>
        <v>Weak Skeleton</v>
      </c>
      <c r="G421" s="1" t="str">
        <f>LOOKUP(B421, Maps!A:A, Maps!B:B)</f>
        <v>Undead Hallway</v>
      </c>
    </row>
    <row r="422" ht="15.75" customHeight="1">
      <c r="A422" s="1">
        <v>12.0</v>
      </c>
      <c r="B422" s="1">
        <v>6.0</v>
      </c>
      <c r="C422" s="1">
        <v>6.0</v>
      </c>
      <c r="D422" s="1">
        <v>65.0</v>
      </c>
      <c r="F422" s="1" t="str">
        <f>LOOKUP(A422, NPCs!A:A, NPCs!C:C)</f>
        <v>Weak Skeleton</v>
      </c>
      <c r="G422" s="1" t="str">
        <f>LOOKUP(B422, Maps!A:A, Maps!B:B)</f>
        <v>Undead Hallway</v>
      </c>
    </row>
    <row r="423" ht="15.75" customHeight="1">
      <c r="A423" s="1">
        <v>12.0</v>
      </c>
      <c r="B423" s="1">
        <v>6.0</v>
      </c>
      <c r="C423" s="1">
        <v>13.0</v>
      </c>
      <c r="D423" s="1">
        <v>61.0</v>
      </c>
      <c r="F423" s="1" t="str">
        <f>LOOKUP(A423, NPCs!A:A, NPCs!C:C)</f>
        <v>Weak Skeleton</v>
      </c>
      <c r="G423" s="1" t="str">
        <f>LOOKUP(B423, Maps!A:A, Maps!B:B)</f>
        <v>Undead Hallway</v>
      </c>
    </row>
    <row r="424" ht="15.75" customHeight="1">
      <c r="A424" s="1">
        <v>12.0</v>
      </c>
      <c r="B424" s="1">
        <v>6.0</v>
      </c>
      <c r="C424" s="1">
        <v>43.0</v>
      </c>
      <c r="D424" s="1">
        <v>43.0</v>
      </c>
      <c r="F424" s="1" t="str">
        <f>LOOKUP(A424, NPCs!A:A, NPCs!C:C)</f>
        <v>Weak Skeleton</v>
      </c>
      <c r="G424" s="1" t="str">
        <f>LOOKUP(B424, Maps!A:A, Maps!B:B)</f>
        <v>Undead Hallway</v>
      </c>
    </row>
    <row r="425" ht="15.75" customHeight="1">
      <c r="A425" s="1">
        <v>12.0</v>
      </c>
      <c r="B425" s="1">
        <v>6.0</v>
      </c>
      <c r="C425" s="1">
        <v>39.0</v>
      </c>
      <c r="D425" s="1">
        <v>41.0</v>
      </c>
      <c r="F425" s="1" t="str">
        <f>LOOKUP(A425, NPCs!A:A, NPCs!C:C)</f>
        <v>Weak Skeleton</v>
      </c>
      <c r="G425" s="1" t="str">
        <f>LOOKUP(B425, Maps!A:A, Maps!B:B)</f>
        <v>Undead Hallway</v>
      </c>
    </row>
    <row r="426" ht="15.75" customHeight="1">
      <c r="A426" s="1">
        <v>12.0</v>
      </c>
      <c r="B426" s="1">
        <v>6.0</v>
      </c>
      <c r="C426" s="1">
        <v>20.0</v>
      </c>
      <c r="D426" s="1">
        <v>43.0</v>
      </c>
      <c r="F426" s="1" t="str">
        <f>LOOKUP(A426, NPCs!A:A, NPCs!C:C)</f>
        <v>Weak Skeleton</v>
      </c>
      <c r="G426" s="1" t="str">
        <f>LOOKUP(B426, Maps!A:A, Maps!B:B)</f>
        <v>Undead Hallway</v>
      </c>
    </row>
    <row r="427" ht="15.75" customHeight="1">
      <c r="A427" s="1">
        <v>12.0</v>
      </c>
      <c r="B427" s="1">
        <v>6.0</v>
      </c>
      <c r="C427" s="1">
        <v>36.0</v>
      </c>
      <c r="D427" s="1">
        <v>28.0</v>
      </c>
      <c r="F427" s="1" t="str">
        <f>LOOKUP(A427, NPCs!A:A, NPCs!C:C)</f>
        <v>Weak Skeleton</v>
      </c>
      <c r="G427" s="1" t="str">
        <f>LOOKUP(B427, Maps!A:A, Maps!B:B)</f>
        <v>Undead Hallway</v>
      </c>
    </row>
    <row r="428" ht="15.75" customHeight="1">
      <c r="A428" s="1">
        <v>12.0</v>
      </c>
      <c r="B428" s="1">
        <v>6.0</v>
      </c>
      <c r="C428" s="1">
        <v>33.0</v>
      </c>
      <c r="D428" s="1">
        <v>8.0</v>
      </c>
      <c r="F428" s="1" t="str">
        <f>LOOKUP(A428, NPCs!A:A, NPCs!C:C)</f>
        <v>Weak Skeleton</v>
      </c>
      <c r="G428" s="1" t="str">
        <f>LOOKUP(B428, Maps!A:A, Maps!B:B)</f>
        <v>Undead Hallway</v>
      </c>
    </row>
    <row r="429" ht="15.75" customHeight="1">
      <c r="A429" s="1">
        <v>12.0</v>
      </c>
      <c r="B429" s="1">
        <v>6.0</v>
      </c>
      <c r="C429" s="1">
        <v>9.0</v>
      </c>
      <c r="D429" s="1">
        <v>7.0</v>
      </c>
      <c r="F429" s="1" t="str">
        <f>LOOKUP(A429, NPCs!A:A, NPCs!C:C)</f>
        <v>Weak Skeleton</v>
      </c>
      <c r="G429" s="1" t="str">
        <f>LOOKUP(B429, Maps!A:A, Maps!B:B)</f>
        <v>Undead Hallway</v>
      </c>
    </row>
    <row r="430" ht="15.75" customHeight="1">
      <c r="A430" s="1">
        <v>12.0</v>
      </c>
      <c r="B430" s="1">
        <v>6.0</v>
      </c>
      <c r="C430" s="1">
        <v>3.0</v>
      </c>
      <c r="D430" s="1">
        <v>11.0</v>
      </c>
      <c r="F430" s="1" t="str">
        <f>LOOKUP(A430, NPCs!A:A, NPCs!C:C)</f>
        <v>Weak Skeleton</v>
      </c>
      <c r="G430" s="1" t="str">
        <f>LOOKUP(B430, Maps!A:A, Maps!B:B)</f>
        <v>Undead Hallway</v>
      </c>
    </row>
    <row r="431" ht="15.75" customHeight="1">
      <c r="A431" s="1">
        <v>13.0</v>
      </c>
      <c r="B431" s="1">
        <v>6.0</v>
      </c>
      <c r="C431" s="1">
        <v>37.0</v>
      </c>
      <c r="D431" s="1">
        <v>25.0</v>
      </c>
      <c r="F431" s="1" t="str">
        <f>LOOKUP(A431, NPCs!A:A, NPCs!C:C)</f>
        <v>Skeleton</v>
      </c>
      <c r="G431" s="1" t="str">
        <f>LOOKUP(B431, Maps!A:A, Maps!B:B)</f>
        <v>Undead Hallway</v>
      </c>
    </row>
    <row r="432" ht="15.75" customHeight="1">
      <c r="A432" s="1">
        <v>13.0</v>
      </c>
      <c r="B432" s="1">
        <v>6.0</v>
      </c>
      <c r="C432" s="1">
        <v>38.0</v>
      </c>
      <c r="D432" s="1">
        <v>24.0</v>
      </c>
      <c r="F432" s="1" t="str">
        <f>LOOKUP(A432, NPCs!A:A, NPCs!C:C)</f>
        <v>Skeleton</v>
      </c>
      <c r="G432" s="1" t="str">
        <f>LOOKUP(B432, Maps!A:A, Maps!B:B)</f>
        <v>Undead Hallway</v>
      </c>
    </row>
    <row r="433" ht="15.75" customHeight="1">
      <c r="A433" s="1">
        <v>13.0</v>
      </c>
      <c r="B433" s="1">
        <v>6.0</v>
      </c>
      <c r="C433" s="1">
        <v>39.0</v>
      </c>
      <c r="D433" s="1">
        <v>23.0</v>
      </c>
      <c r="F433" s="1" t="str">
        <f>LOOKUP(A433, NPCs!A:A, NPCs!C:C)</f>
        <v>Skeleton</v>
      </c>
      <c r="G433" s="1" t="str">
        <f>LOOKUP(B433, Maps!A:A, Maps!B:B)</f>
        <v>Undead Hallway</v>
      </c>
    </row>
    <row r="434" ht="15.75" customHeight="1">
      <c r="A434" s="1">
        <v>13.0</v>
      </c>
      <c r="B434" s="1">
        <v>6.0</v>
      </c>
      <c r="C434" s="1">
        <v>62.0</v>
      </c>
      <c r="D434" s="1">
        <v>22.0</v>
      </c>
      <c r="F434" s="1" t="str">
        <f>LOOKUP(A434, NPCs!A:A, NPCs!C:C)</f>
        <v>Skeleton</v>
      </c>
      <c r="G434" s="1" t="str">
        <f>LOOKUP(B434, Maps!A:A, Maps!B:B)</f>
        <v>Undead Hallway</v>
      </c>
    </row>
    <row r="435" ht="15.75" customHeight="1">
      <c r="A435" s="1">
        <v>13.0</v>
      </c>
      <c r="B435" s="1">
        <v>6.0</v>
      </c>
      <c r="C435" s="1">
        <v>63.0</v>
      </c>
      <c r="D435" s="1">
        <v>22.0</v>
      </c>
      <c r="F435" s="1" t="str">
        <f>LOOKUP(A435, NPCs!A:A, NPCs!C:C)</f>
        <v>Skeleton</v>
      </c>
      <c r="G435" s="1" t="str">
        <f>LOOKUP(B435, Maps!A:A, Maps!B:B)</f>
        <v>Undead Hallway</v>
      </c>
    </row>
    <row r="436" ht="15.75" customHeight="1">
      <c r="A436" s="1">
        <v>13.0</v>
      </c>
      <c r="B436" s="1">
        <v>6.0</v>
      </c>
      <c r="C436" s="1">
        <v>65.0</v>
      </c>
      <c r="D436" s="1">
        <v>24.0</v>
      </c>
      <c r="F436" s="1" t="str">
        <f>LOOKUP(A436, NPCs!A:A, NPCs!C:C)</f>
        <v>Skeleton</v>
      </c>
      <c r="G436" s="1" t="str">
        <f>LOOKUP(B436, Maps!A:A, Maps!B:B)</f>
        <v>Undead Hallway</v>
      </c>
    </row>
    <row r="437" ht="15.75" customHeight="1">
      <c r="A437" s="1">
        <v>13.0</v>
      </c>
      <c r="B437" s="1">
        <v>6.0</v>
      </c>
      <c r="C437" s="1">
        <v>63.0</v>
      </c>
      <c r="D437" s="1">
        <v>15.0</v>
      </c>
      <c r="F437" s="1" t="str">
        <f>LOOKUP(A437, NPCs!A:A, NPCs!C:C)</f>
        <v>Skeleton</v>
      </c>
      <c r="G437" s="1" t="str">
        <f>LOOKUP(B437, Maps!A:A, Maps!B:B)</f>
        <v>Undead Hallway</v>
      </c>
    </row>
    <row r="438" ht="15.75" customHeight="1">
      <c r="A438" s="1">
        <v>13.0</v>
      </c>
      <c r="B438" s="1">
        <v>6.0</v>
      </c>
      <c r="C438" s="1">
        <v>68.0</v>
      </c>
      <c r="D438" s="1">
        <v>14.0</v>
      </c>
      <c r="F438" s="1" t="str">
        <f>LOOKUP(A438, NPCs!A:A, NPCs!C:C)</f>
        <v>Skeleton</v>
      </c>
      <c r="G438" s="1" t="str">
        <f>LOOKUP(B438, Maps!A:A, Maps!B:B)</f>
        <v>Undead Hallway</v>
      </c>
    </row>
    <row r="439" ht="15.75" customHeight="1">
      <c r="A439" s="1">
        <v>13.0</v>
      </c>
      <c r="B439" s="1">
        <v>6.0</v>
      </c>
      <c r="C439" s="1">
        <v>71.0</v>
      </c>
      <c r="D439" s="1">
        <v>14.0</v>
      </c>
      <c r="F439" s="1" t="str">
        <f>LOOKUP(A439, NPCs!A:A, NPCs!C:C)</f>
        <v>Skeleton</v>
      </c>
      <c r="G439" s="1" t="str">
        <f>LOOKUP(B439, Maps!A:A, Maps!B:B)</f>
        <v>Undead Hallway</v>
      </c>
    </row>
    <row r="440" ht="15.75" customHeight="1">
      <c r="A440" s="1">
        <v>13.0</v>
      </c>
      <c r="B440" s="1">
        <v>6.0</v>
      </c>
      <c r="C440" s="1">
        <v>62.0</v>
      </c>
      <c r="D440" s="1">
        <v>10.0</v>
      </c>
      <c r="F440" s="1" t="str">
        <f>LOOKUP(A440, NPCs!A:A, NPCs!C:C)</f>
        <v>Skeleton</v>
      </c>
      <c r="G440" s="1" t="str">
        <f>LOOKUP(B440, Maps!A:A, Maps!B:B)</f>
        <v>Undead Hallway</v>
      </c>
    </row>
    <row r="441" ht="15.75" customHeight="1">
      <c r="A441" s="1">
        <v>13.0</v>
      </c>
      <c r="B441" s="1">
        <v>6.0</v>
      </c>
      <c r="C441" s="1">
        <v>65.0</v>
      </c>
      <c r="D441" s="1">
        <v>6.0</v>
      </c>
      <c r="F441" s="1" t="str">
        <f>LOOKUP(A441, NPCs!A:A, NPCs!C:C)</f>
        <v>Skeleton</v>
      </c>
      <c r="G441" s="1" t="str">
        <f>LOOKUP(B441, Maps!A:A, Maps!B:B)</f>
        <v>Undead Hallway</v>
      </c>
    </row>
    <row r="442" ht="15.75" customHeight="1">
      <c r="A442" s="1">
        <v>13.0</v>
      </c>
      <c r="B442" s="1">
        <v>6.0</v>
      </c>
      <c r="C442" s="1">
        <v>61.0</v>
      </c>
      <c r="D442" s="1">
        <v>4.0</v>
      </c>
      <c r="F442" s="1" t="str">
        <f>LOOKUP(A442, NPCs!A:A, NPCs!C:C)</f>
        <v>Skeleton</v>
      </c>
      <c r="G442" s="1" t="str">
        <f>LOOKUP(B442, Maps!A:A, Maps!B:B)</f>
        <v>Undead Hallway</v>
      </c>
    </row>
    <row r="443" ht="15.75" customHeight="1">
      <c r="A443" s="1">
        <v>13.0</v>
      </c>
      <c r="B443" s="1">
        <v>6.0</v>
      </c>
      <c r="C443" s="1">
        <v>86.0</v>
      </c>
      <c r="D443" s="1">
        <v>6.0</v>
      </c>
      <c r="F443" s="1" t="str">
        <f>LOOKUP(A443, NPCs!A:A, NPCs!C:C)</f>
        <v>Skeleton</v>
      </c>
      <c r="G443" s="1" t="str">
        <f>LOOKUP(B443, Maps!A:A, Maps!B:B)</f>
        <v>Undead Hallway</v>
      </c>
    </row>
    <row r="444" ht="15.75" customHeight="1">
      <c r="A444" s="1">
        <v>13.0</v>
      </c>
      <c r="B444" s="1">
        <v>6.0</v>
      </c>
      <c r="C444" s="1">
        <v>84.0</v>
      </c>
      <c r="D444" s="1">
        <v>4.0</v>
      </c>
      <c r="F444" s="1" t="str">
        <f>LOOKUP(A444, NPCs!A:A, NPCs!C:C)</f>
        <v>Skeleton</v>
      </c>
      <c r="G444" s="1" t="str">
        <f>LOOKUP(B444, Maps!A:A, Maps!B:B)</f>
        <v>Undead Hallway</v>
      </c>
    </row>
    <row r="445" ht="15.75" customHeight="1">
      <c r="A445" s="1">
        <v>13.0</v>
      </c>
      <c r="B445" s="1">
        <v>6.0</v>
      </c>
      <c r="C445" s="1">
        <v>84.0</v>
      </c>
      <c r="D445" s="1">
        <v>14.0</v>
      </c>
      <c r="F445" s="1" t="str">
        <f>LOOKUP(A445, NPCs!A:A, NPCs!C:C)</f>
        <v>Skeleton</v>
      </c>
      <c r="G445" s="1" t="str">
        <f>LOOKUP(B445, Maps!A:A, Maps!B:B)</f>
        <v>Undead Hallway</v>
      </c>
    </row>
    <row r="446" ht="15.75" customHeight="1">
      <c r="A446" s="1">
        <v>13.0</v>
      </c>
      <c r="B446" s="1">
        <v>6.0</v>
      </c>
      <c r="C446" s="1">
        <v>86.0</v>
      </c>
      <c r="D446" s="1">
        <v>14.0</v>
      </c>
      <c r="F446" s="1" t="str">
        <f>LOOKUP(A446, NPCs!A:A, NPCs!C:C)</f>
        <v>Skeleton</v>
      </c>
      <c r="G446" s="1" t="str">
        <f>LOOKUP(B446, Maps!A:A, Maps!B:B)</f>
        <v>Undead Hallway</v>
      </c>
    </row>
    <row r="447" ht="15.75" customHeight="1">
      <c r="A447" s="1">
        <v>13.0</v>
      </c>
      <c r="B447" s="1">
        <v>6.0</v>
      </c>
      <c r="C447" s="1">
        <v>84.0</v>
      </c>
      <c r="D447" s="1">
        <v>27.0</v>
      </c>
      <c r="F447" s="1" t="str">
        <f>LOOKUP(A447, NPCs!A:A, NPCs!C:C)</f>
        <v>Skeleton</v>
      </c>
      <c r="G447" s="1" t="str">
        <f>LOOKUP(B447, Maps!A:A, Maps!B:B)</f>
        <v>Undead Hallway</v>
      </c>
    </row>
    <row r="448" ht="15.75" customHeight="1">
      <c r="A448" s="1">
        <v>13.0</v>
      </c>
      <c r="B448" s="1">
        <v>6.0</v>
      </c>
      <c r="C448" s="1">
        <v>87.0</v>
      </c>
      <c r="D448" s="1">
        <v>48.0</v>
      </c>
      <c r="F448" s="1" t="str">
        <f>LOOKUP(A448, NPCs!A:A, NPCs!C:C)</f>
        <v>Skeleton</v>
      </c>
      <c r="G448" s="1" t="str">
        <f>LOOKUP(B448, Maps!A:A, Maps!B:B)</f>
        <v>Undead Hallway</v>
      </c>
    </row>
    <row r="449" ht="15.75" customHeight="1">
      <c r="A449" s="1">
        <v>13.0</v>
      </c>
      <c r="B449" s="1">
        <v>6.0</v>
      </c>
      <c r="C449" s="1">
        <v>87.0</v>
      </c>
      <c r="D449" s="1">
        <v>49.0</v>
      </c>
      <c r="F449" s="1" t="str">
        <f>LOOKUP(A449, NPCs!A:A, NPCs!C:C)</f>
        <v>Skeleton</v>
      </c>
      <c r="G449" s="1" t="str">
        <f>LOOKUP(B449, Maps!A:A, Maps!B:B)</f>
        <v>Undead Hallway</v>
      </c>
    </row>
    <row r="450" ht="15.75" customHeight="1">
      <c r="A450" s="1">
        <v>13.0</v>
      </c>
      <c r="B450" s="1">
        <v>6.0</v>
      </c>
      <c r="C450" s="1">
        <v>83.0</v>
      </c>
      <c r="D450" s="1">
        <v>64.0</v>
      </c>
      <c r="F450" s="1" t="str">
        <f>LOOKUP(A450, NPCs!A:A, NPCs!C:C)</f>
        <v>Skeleton</v>
      </c>
      <c r="G450" s="1" t="str">
        <f>LOOKUP(B450, Maps!A:A, Maps!B:B)</f>
        <v>Undead Hallway</v>
      </c>
    </row>
    <row r="451" ht="15.75" customHeight="1">
      <c r="A451" s="1">
        <v>13.0</v>
      </c>
      <c r="B451" s="1">
        <v>6.0</v>
      </c>
      <c r="C451" s="1">
        <v>84.0</v>
      </c>
      <c r="D451" s="1">
        <v>65.0</v>
      </c>
      <c r="F451" s="1" t="str">
        <f>LOOKUP(A451, NPCs!A:A, NPCs!C:C)</f>
        <v>Skeleton</v>
      </c>
      <c r="G451" s="1" t="str">
        <f>LOOKUP(B451, Maps!A:A, Maps!B:B)</f>
        <v>Undead Hallway</v>
      </c>
    </row>
    <row r="452" ht="15.75" customHeight="1">
      <c r="A452" s="1">
        <v>13.0</v>
      </c>
      <c r="B452" s="1">
        <v>6.0</v>
      </c>
      <c r="C452" s="1">
        <v>85.0</v>
      </c>
      <c r="D452" s="1">
        <v>65.0</v>
      </c>
      <c r="F452" s="1" t="str">
        <f>LOOKUP(A452, NPCs!A:A, NPCs!C:C)</f>
        <v>Skeleton</v>
      </c>
      <c r="G452" s="1" t="str">
        <f>LOOKUP(B452, Maps!A:A, Maps!B:B)</f>
        <v>Undead Hallway</v>
      </c>
    </row>
    <row r="453" ht="15.75" customHeight="1">
      <c r="A453" s="1">
        <v>13.0</v>
      </c>
      <c r="B453" s="1">
        <v>6.0</v>
      </c>
      <c r="C453" s="1">
        <v>86.0</v>
      </c>
      <c r="D453" s="1">
        <v>65.0</v>
      </c>
      <c r="F453" s="1" t="str">
        <f>LOOKUP(A453, NPCs!A:A, NPCs!C:C)</f>
        <v>Skeleton</v>
      </c>
      <c r="G453" s="1" t="str">
        <f>LOOKUP(B453, Maps!A:A, Maps!B:B)</f>
        <v>Undead Hallway</v>
      </c>
    </row>
    <row r="454" ht="15.75" customHeight="1">
      <c r="A454" s="1">
        <v>13.0</v>
      </c>
      <c r="B454" s="1">
        <v>6.0</v>
      </c>
      <c r="C454" s="1">
        <v>87.0</v>
      </c>
      <c r="D454" s="1">
        <v>64.0</v>
      </c>
      <c r="F454" s="1" t="str">
        <f>LOOKUP(A454, NPCs!A:A, NPCs!C:C)</f>
        <v>Skeleton</v>
      </c>
      <c r="G454" s="1" t="str">
        <f>LOOKUP(B454, Maps!A:A, Maps!B:B)</f>
        <v>Undead Hallway</v>
      </c>
    </row>
    <row r="455" ht="15.75" customHeight="1">
      <c r="A455" s="1">
        <v>14.0</v>
      </c>
      <c r="B455" s="1">
        <v>6.0</v>
      </c>
      <c r="C455" s="1">
        <v>5.0</v>
      </c>
      <c r="D455" s="1">
        <v>96.0</v>
      </c>
      <c r="F455" s="1" t="str">
        <f>LOOKUP(A455, NPCs!A:A, NPCs!C:C)</f>
        <v>Servant of the Dead</v>
      </c>
      <c r="G455" s="1" t="str">
        <f>LOOKUP(B455, Maps!A:A, Maps!B:B)</f>
        <v>Undead Hallway</v>
      </c>
    </row>
    <row r="456" ht="15.75" customHeight="1">
      <c r="A456" s="1">
        <v>14.0</v>
      </c>
      <c r="B456" s="1">
        <v>6.0</v>
      </c>
      <c r="C456" s="1">
        <v>12.0</v>
      </c>
      <c r="D456" s="1">
        <v>96.0</v>
      </c>
      <c r="F456" s="1" t="str">
        <f>LOOKUP(A456, NPCs!A:A, NPCs!C:C)</f>
        <v>Servant of the Dead</v>
      </c>
      <c r="G456" s="1" t="str">
        <f>LOOKUP(B456, Maps!A:A, Maps!B:B)</f>
        <v>Undead Hallway</v>
      </c>
    </row>
    <row r="457" ht="15.75" customHeight="1">
      <c r="A457" s="1">
        <v>14.0</v>
      </c>
      <c r="B457" s="1">
        <v>6.0</v>
      </c>
      <c r="C457" s="1">
        <v>12.0</v>
      </c>
      <c r="D457" s="1">
        <v>89.0</v>
      </c>
      <c r="F457" s="1" t="str">
        <f>LOOKUP(A457, NPCs!A:A, NPCs!C:C)</f>
        <v>Servant of the Dead</v>
      </c>
      <c r="G457" s="1" t="str">
        <f>LOOKUP(B457, Maps!A:A, Maps!B:B)</f>
        <v>Undead Hallway</v>
      </c>
    </row>
    <row r="458" ht="15.75" customHeight="1">
      <c r="A458" s="1">
        <v>14.0</v>
      </c>
      <c r="B458" s="1">
        <v>6.0</v>
      </c>
      <c r="C458" s="1">
        <v>10.0</v>
      </c>
      <c r="D458" s="1">
        <v>87.0</v>
      </c>
      <c r="F458" s="1" t="str">
        <f>LOOKUP(A458, NPCs!A:A, NPCs!C:C)</f>
        <v>Servant of the Dead</v>
      </c>
      <c r="G458" s="1" t="str">
        <f>LOOKUP(B458, Maps!A:A, Maps!B:B)</f>
        <v>Undead Hallway</v>
      </c>
    </row>
    <row r="459" ht="15.75" customHeight="1">
      <c r="A459" s="1">
        <v>14.0</v>
      </c>
      <c r="B459" s="1">
        <v>6.0</v>
      </c>
      <c r="C459" s="1">
        <v>7.0</v>
      </c>
      <c r="D459" s="1">
        <v>87.0</v>
      </c>
      <c r="F459" s="1" t="str">
        <f>LOOKUP(A459, NPCs!A:A, NPCs!C:C)</f>
        <v>Servant of the Dead</v>
      </c>
      <c r="G459" s="1" t="str">
        <f>LOOKUP(B459, Maps!A:A, Maps!B:B)</f>
        <v>Undead Hallway</v>
      </c>
    </row>
    <row r="460" ht="15.75" customHeight="1">
      <c r="A460" s="1">
        <v>14.0</v>
      </c>
      <c r="B460" s="1">
        <v>6.0</v>
      </c>
      <c r="C460" s="1">
        <v>5.0</v>
      </c>
      <c r="D460" s="1">
        <v>89.0</v>
      </c>
      <c r="F460" s="1" t="str">
        <f>LOOKUP(A460, NPCs!A:A, NPCs!C:C)</f>
        <v>Servant of the Dead</v>
      </c>
      <c r="G460" s="1" t="str">
        <f>LOOKUP(B460, Maps!A:A, Maps!B:B)</f>
        <v>Undead Hallway</v>
      </c>
    </row>
    <row r="461" ht="15.75" customHeight="1">
      <c r="A461" s="1">
        <v>14.0</v>
      </c>
      <c r="B461" s="1">
        <v>6.0</v>
      </c>
      <c r="C461" s="1">
        <v>25.0</v>
      </c>
      <c r="D461" s="1">
        <v>5.0</v>
      </c>
      <c r="F461" s="1" t="str">
        <f>LOOKUP(A461, NPCs!A:A, NPCs!C:C)</f>
        <v>Servant of the Dead</v>
      </c>
      <c r="G461" s="1" t="str">
        <f>LOOKUP(B461, Maps!A:A, Maps!B:B)</f>
        <v>Undead Hallway</v>
      </c>
    </row>
    <row r="462" ht="15.75" customHeight="1">
      <c r="A462" s="1">
        <v>14.0</v>
      </c>
      <c r="B462" s="1">
        <v>6.0</v>
      </c>
      <c r="C462" s="1">
        <v>25.0</v>
      </c>
      <c r="D462" s="1">
        <v>9.0</v>
      </c>
      <c r="F462" s="1" t="str">
        <f>LOOKUP(A462, NPCs!A:A, NPCs!C:C)</f>
        <v>Servant of the Dead</v>
      </c>
      <c r="G462" s="1" t="str">
        <f>LOOKUP(B462, Maps!A:A, Maps!B:B)</f>
        <v>Undead Hallway</v>
      </c>
    </row>
    <row r="463" ht="15.75" customHeight="1">
      <c r="A463" s="1">
        <v>14.0</v>
      </c>
      <c r="B463" s="1">
        <v>6.0</v>
      </c>
      <c r="C463" s="1">
        <v>31.0</v>
      </c>
      <c r="D463" s="1">
        <v>9.0</v>
      </c>
      <c r="F463" s="1" t="str">
        <f>LOOKUP(A463, NPCs!A:A, NPCs!C:C)</f>
        <v>Servant of the Dead</v>
      </c>
      <c r="G463" s="1" t="str">
        <f>LOOKUP(B463, Maps!A:A, Maps!B:B)</f>
        <v>Undead Hallway</v>
      </c>
    </row>
    <row r="464" ht="15.75" customHeight="1">
      <c r="A464" s="1">
        <v>14.0</v>
      </c>
      <c r="B464" s="1">
        <v>6.0</v>
      </c>
      <c r="C464" s="1">
        <v>31.0</v>
      </c>
      <c r="D464" s="1">
        <v>5.0</v>
      </c>
      <c r="F464" s="1" t="str">
        <f>LOOKUP(A464, NPCs!A:A, NPCs!C:C)</f>
        <v>Servant of the Dead</v>
      </c>
      <c r="G464" s="1" t="str">
        <f>LOOKUP(B464, Maps!A:A, Maps!B:B)</f>
        <v>Undead Hallway</v>
      </c>
    </row>
    <row r="465" ht="15.75" customHeight="1">
      <c r="A465" s="1">
        <v>14.0</v>
      </c>
      <c r="B465" s="1">
        <v>6.0</v>
      </c>
      <c r="C465" s="1">
        <v>76.0</v>
      </c>
      <c r="D465" s="1">
        <v>76.0</v>
      </c>
      <c r="F465" s="1" t="str">
        <f>LOOKUP(A465, NPCs!A:A, NPCs!C:C)</f>
        <v>Servant of the Dead</v>
      </c>
      <c r="G465" s="1" t="str">
        <f>LOOKUP(B465, Maps!A:A, Maps!B:B)</f>
        <v>Undead Hallway</v>
      </c>
    </row>
    <row r="466" ht="15.75" customHeight="1">
      <c r="A466" s="1">
        <v>14.0</v>
      </c>
      <c r="B466" s="1">
        <v>6.0</v>
      </c>
      <c r="C466" s="1">
        <v>75.0</v>
      </c>
      <c r="D466" s="1">
        <v>76.0</v>
      </c>
      <c r="F466" s="1" t="str">
        <f>LOOKUP(A466, NPCs!A:A, NPCs!C:C)</f>
        <v>Servant of the Dead</v>
      </c>
      <c r="G466" s="1" t="str">
        <f>LOOKUP(B466, Maps!A:A, Maps!B:B)</f>
        <v>Undead Hallway</v>
      </c>
    </row>
    <row r="467" ht="15.75" customHeight="1">
      <c r="A467" s="1">
        <v>14.0</v>
      </c>
      <c r="B467" s="1">
        <v>6.0</v>
      </c>
      <c r="C467" s="1">
        <v>75.0</v>
      </c>
      <c r="D467" s="1">
        <v>74.0</v>
      </c>
      <c r="F467" s="1" t="str">
        <f>LOOKUP(A467, NPCs!A:A, NPCs!C:C)</f>
        <v>Servant of the Dead</v>
      </c>
      <c r="G467" s="1" t="str">
        <f>LOOKUP(B467, Maps!A:A, Maps!B:B)</f>
        <v>Undead Hallway</v>
      </c>
    </row>
    <row r="468" ht="15.75" customHeight="1">
      <c r="A468" s="1">
        <v>14.0</v>
      </c>
      <c r="B468" s="1">
        <v>6.0</v>
      </c>
      <c r="C468" s="1">
        <v>77.0</v>
      </c>
      <c r="D468" s="1">
        <v>74.0</v>
      </c>
      <c r="F468" s="1" t="str">
        <f>LOOKUP(A468, NPCs!A:A, NPCs!C:C)</f>
        <v>Servant of the Dead</v>
      </c>
      <c r="G468" s="1" t="str">
        <f>LOOKUP(B468, Maps!A:A, Maps!B:B)</f>
        <v>Undead Hallway</v>
      </c>
    </row>
    <row r="469" ht="15.75" customHeight="1">
      <c r="A469" s="1">
        <v>14.0</v>
      </c>
      <c r="B469" s="1">
        <v>6.0</v>
      </c>
      <c r="C469" s="1">
        <v>77.0</v>
      </c>
      <c r="D469" s="1">
        <v>69.0</v>
      </c>
      <c r="F469" s="1" t="str">
        <f>LOOKUP(A469, NPCs!A:A, NPCs!C:C)</f>
        <v>Servant of the Dead</v>
      </c>
      <c r="G469" s="1" t="str">
        <f>LOOKUP(B469, Maps!A:A, Maps!B:B)</f>
        <v>Undead Hallway</v>
      </c>
    </row>
    <row r="470" ht="15.75" customHeight="1">
      <c r="A470" s="1">
        <v>14.0</v>
      </c>
      <c r="B470" s="1">
        <v>6.0</v>
      </c>
      <c r="C470" s="1">
        <v>76.0</v>
      </c>
      <c r="D470" s="1">
        <v>69.0</v>
      </c>
      <c r="F470" s="1" t="str">
        <f>LOOKUP(A470, NPCs!A:A, NPCs!C:C)</f>
        <v>Servant of the Dead</v>
      </c>
      <c r="G470" s="1" t="str">
        <f>LOOKUP(B470, Maps!A:A, Maps!B:B)</f>
        <v>Undead Hallway</v>
      </c>
    </row>
    <row r="471" ht="15.75" customHeight="1">
      <c r="A471" s="1">
        <v>14.0</v>
      </c>
      <c r="B471" s="1">
        <v>6.0</v>
      </c>
      <c r="C471" s="1">
        <v>75.0</v>
      </c>
      <c r="D471" s="1">
        <v>67.0</v>
      </c>
      <c r="F471" s="1" t="str">
        <f>LOOKUP(A471, NPCs!A:A, NPCs!C:C)</f>
        <v>Servant of the Dead</v>
      </c>
      <c r="G471" s="1" t="str">
        <f>LOOKUP(B471, Maps!A:A, Maps!B:B)</f>
        <v>Undead Hallway</v>
      </c>
    </row>
    <row r="472" ht="15.75" customHeight="1">
      <c r="A472" s="1">
        <v>14.0</v>
      </c>
      <c r="B472" s="1">
        <v>6.0</v>
      </c>
      <c r="C472" s="1">
        <v>75.0</v>
      </c>
      <c r="D472" s="1">
        <v>66.0</v>
      </c>
      <c r="F472" s="1" t="str">
        <f>LOOKUP(A472, NPCs!A:A, NPCs!C:C)</f>
        <v>Servant of the Dead</v>
      </c>
      <c r="G472" s="1" t="str">
        <f>LOOKUP(B472, Maps!A:A, Maps!B:B)</f>
        <v>Undead Hallway</v>
      </c>
    </row>
    <row r="473" ht="15.75" customHeight="1">
      <c r="A473" s="1">
        <v>14.0</v>
      </c>
      <c r="B473" s="1">
        <v>6.0</v>
      </c>
      <c r="C473" s="1">
        <v>76.0</v>
      </c>
      <c r="D473" s="1">
        <v>66.0</v>
      </c>
      <c r="F473" s="1" t="str">
        <f>LOOKUP(A473, NPCs!A:A, NPCs!C:C)</f>
        <v>Servant of the Dead</v>
      </c>
      <c r="G473" s="1" t="str">
        <f>LOOKUP(B473, Maps!A:A, Maps!B:B)</f>
        <v>Undead Hallway</v>
      </c>
    </row>
    <row r="474" ht="15.75" customHeight="1">
      <c r="A474" s="1">
        <v>14.0</v>
      </c>
      <c r="B474" s="1">
        <v>6.0</v>
      </c>
      <c r="C474" s="1">
        <v>76.0</v>
      </c>
      <c r="D474" s="1">
        <v>65.0</v>
      </c>
      <c r="F474" s="1" t="str">
        <f>LOOKUP(A474, NPCs!A:A, NPCs!C:C)</f>
        <v>Servant of the Dead</v>
      </c>
      <c r="G474" s="1" t="str">
        <f>LOOKUP(B474, Maps!A:A, Maps!B:B)</f>
        <v>Undead Hallway</v>
      </c>
    </row>
    <row r="475" ht="15.75" customHeight="1">
      <c r="A475" s="1">
        <v>14.0</v>
      </c>
      <c r="B475" s="1">
        <v>6.0</v>
      </c>
      <c r="C475" s="1">
        <v>79.0</v>
      </c>
      <c r="D475" s="1">
        <v>65.0</v>
      </c>
      <c r="F475" s="1" t="str">
        <f>LOOKUP(A475, NPCs!A:A, NPCs!C:C)</f>
        <v>Servant of the Dead</v>
      </c>
      <c r="G475" s="1" t="str">
        <f>LOOKUP(B475, Maps!A:A, Maps!B:B)</f>
        <v>Undead Hallway</v>
      </c>
    </row>
    <row r="476" ht="15.75" customHeight="1">
      <c r="A476" s="1">
        <v>14.0</v>
      </c>
      <c r="B476" s="1">
        <v>6.0</v>
      </c>
      <c r="C476" s="1">
        <v>83.0</v>
      </c>
      <c r="D476" s="1">
        <v>71.0</v>
      </c>
      <c r="F476" s="1" t="str">
        <f>LOOKUP(A476, NPCs!A:A, NPCs!C:C)</f>
        <v>Servant of the Dead</v>
      </c>
      <c r="G476" s="1" t="str">
        <f>LOOKUP(B476, Maps!A:A, Maps!B:B)</f>
        <v>Undead Hallway</v>
      </c>
    </row>
    <row r="477" ht="15.75" customHeight="1">
      <c r="A477" s="1">
        <v>14.0</v>
      </c>
      <c r="B477" s="1">
        <v>6.0</v>
      </c>
      <c r="C477" s="1">
        <v>84.0</v>
      </c>
      <c r="D477" s="1">
        <v>71.0</v>
      </c>
      <c r="F477" s="1" t="str">
        <f>LOOKUP(A477, NPCs!A:A, NPCs!C:C)</f>
        <v>Servant of the Dead</v>
      </c>
      <c r="G477" s="1" t="str">
        <f>LOOKUP(B477, Maps!A:A, Maps!B:B)</f>
        <v>Undead Hallway</v>
      </c>
    </row>
    <row r="478" ht="15.75" customHeight="1">
      <c r="A478" s="1">
        <v>14.0</v>
      </c>
      <c r="B478" s="1">
        <v>6.0</v>
      </c>
      <c r="C478" s="1">
        <v>82.0</v>
      </c>
      <c r="D478" s="1">
        <v>70.0</v>
      </c>
      <c r="F478" s="1" t="str">
        <f>LOOKUP(A478, NPCs!A:A, NPCs!C:C)</f>
        <v>Servant of the Dead</v>
      </c>
      <c r="G478" s="1" t="str">
        <f>LOOKUP(B478, Maps!A:A, Maps!B:B)</f>
        <v>Undead Hallway</v>
      </c>
    </row>
    <row r="479" ht="15.75" customHeight="1">
      <c r="A479" s="1">
        <v>14.0</v>
      </c>
      <c r="B479" s="1">
        <v>6.0</v>
      </c>
      <c r="C479" s="1">
        <v>82.0</v>
      </c>
      <c r="D479" s="1">
        <v>77.0</v>
      </c>
      <c r="F479" s="1" t="str">
        <f>LOOKUP(A479, NPCs!A:A, NPCs!C:C)</f>
        <v>Servant of the Dead</v>
      </c>
      <c r="G479" s="1" t="str">
        <f>LOOKUP(B479, Maps!A:A, Maps!B:B)</f>
        <v>Undead Hallway</v>
      </c>
    </row>
    <row r="480" ht="15.75" customHeight="1">
      <c r="A480" s="1">
        <v>14.0</v>
      </c>
      <c r="B480" s="1">
        <v>6.0</v>
      </c>
      <c r="C480" s="1">
        <v>83.0</v>
      </c>
      <c r="D480" s="1">
        <v>76.0</v>
      </c>
      <c r="F480" s="1" t="str">
        <f>LOOKUP(A480, NPCs!A:A, NPCs!C:C)</f>
        <v>Servant of the Dead</v>
      </c>
      <c r="G480" s="1" t="str">
        <f>LOOKUP(B480, Maps!A:A, Maps!B:B)</f>
        <v>Undead Hallway</v>
      </c>
    </row>
    <row r="481" ht="15.75" customHeight="1">
      <c r="A481" s="1">
        <v>14.0</v>
      </c>
      <c r="B481" s="1">
        <v>6.0</v>
      </c>
      <c r="C481" s="1">
        <v>84.0</v>
      </c>
      <c r="D481" s="1">
        <v>76.0</v>
      </c>
      <c r="F481" s="1" t="str">
        <f>LOOKUP(A481, NPCs!A:A, NPCs!C:C)</f>
        <v>Servant of the Dead</v>
      </c>
      <c r="G481" s="1" t="str">
        <f>LOOKUP(B481, Maps!A:A, Maps!B:B)</f>
        <v>Undead Hallway</v>
      </c>
    </row>
    <row r="482" ht="15.75" customHeight="1">
      <c r="A482" s="1">
        <v>14.0</v>
      </c>
      <c r="B482" s="1">
        <v>6.0</v>
      </c>
      <c r="C482" s="1">
        <v>92.0</v>
      </c>
      <c r="D482" s="1">
        <v>67.0</v>
      </c>
      <c r="F482" s="1" t="str">
        <f>LOOKUP(A482, NPCs!A:A, NPCs!C:C)</f>
        <v>Servant of the Dead</v>
      </c>
      <c r="G482" s="1" t="str">
        <f>LOOKUP(B482, Maps!A:A, Maps!B:B)</f>
        <v>Undead Hallway</v>
      </c>
    </row>
    <row r="483" ht="15.75" customHeight="1">
      <c r="A483" s="1">
        <v>14.0</v>
      </c>
      <c r="B483" s="1">
        <v>6.0</v>
      </c>
      <c r="C483" s="1">
        <v>92.0</v>
      </c>
      <c r="D483" s="1">
        <v>68.0</v>
      </c>
      <c r="F483" s="1" t="str">
        <f>LOOKUP(A483, NPCs!A:A, NPCs!C:C)</f>
        <v>Servant of the Dead</v>
      </c>
      <c r="G483" s="1" t="str">
        <f>LOOKUP(B483, Maps!A:A, Maps!B:B)</f>
        <v>Undead Hallway</v>
      </c>
    </row>
    <row r="484" ht="15.75" customHeight="1">
      <c r="A484" s="1">
        <v>14.0</v>
      </c>
      <c r="B484" s="1">
        <v>6.0</v>
      </c>
      <c r="C484" s="1">
        <v>91.0</v>
      </c>
      <c r="D484" s="1">
        <v>69.0</v>
      </c>
      <c r="F484" s="1" t="str">
        <f>LOOKUP(A484, NPCs!A:A, NPCs!C:C)</f>
        <v>Servant of the Dead</v>
      </c>
      <c r="G484" s="1" t="str">
        <f>LOOKUP(B484, Maps!A:A, Maps!B:B)</f>
        <v>Undead Hallway</v>
      </c>
    </row>
    <row r="485" ht="15.75" customHeight="1">
      <c r="A485" s="1">
        <v>14.0</v>
      </c>
      <c r="B485" s="1">
        <v>6.0</v>
      </c>
      <c r="C485" s="1">
        <v>91.0</v>
      </c>
      <c r="D485" s="1">
        <v>71.0</v>
      </c>
      <c r="F485" s="1" t="str">
        <f>LOOKUP(A485, NPCs!A:A, NPCs!C:C)</f>
        <v>Servant of the Dead</v>
      </c>
      <c r="G485" s="1" t="str">
        <f>LOOKUP(B485, Maps!A:A, Maps!B:B)</f>
        <v>Undead Hallway</v>
      </c>
    </row>
    <row r="486" ht="15.75" customHeight="1">
      <c r="A486" s="1">
        <v>14.0</v>
      </c>
      <c r="B486" s="1">
        <v>6.0</v>
      </c>
      <c r="C486" s="1">
        <v>90.0</v>
      </c>
      <c r="D486" s="1">
        <v>71.0</v>
      </c>
      <c r="F486" s="1" t="str">
        <f>LOOKUP(A486, NPCs!A:A, NPCs!C:C)</f>
        <v>Servant of the Dead</v>
      </c>
      <c r="G486" s="1" t="str">
        <f>LOOKUP(B486, Maps!A:A, Maps!B:B)</f>
        <v>Undead Hallway</v>
      </c>
    </row>
    <row r="487" ht="15.75" customHeight="1">
      <c r="A487" s="1">
        <v>14.0</v>
      </c>
      <c r="B487" s="1">
        <v>6.0</v>
      </c>
      <c r="C487" s="1">
        <v>90.0</v>
      </c>
      <c r="D487" s="1">
        <v>73.0</v>
      </c>
      <c r="F487" s="1" t="str">
        <f>LOOKUP(A487, NPCs!A:A, NPCs!C:C)</f>
        <v>Servant of the Dead</v>
      </c>
      <c r="G487" s="1" t="str">
        <f>LOOKUP(B487, Maps!A:A, Maps!B:B)</f>
        <v>Undead Hallway</v>
      </c>
    </row>
    <row r="488" ht="15.75" customHeight="1">
      <c r="A488" s="1">
        <v>14.0</v>
      </c>
      <c r="B488" s="1">
        <v>6.0</v>
      </c>
      <c r="C488" s="1">
        <v>89.0</v>
      </c>
      <c r="D488" s="1">
        <v>73.0</v>
      </c>
      <c r="F488" s="1" t="str">
        <f>LOOKUP(A488, NPCs!A:A, NPCs!C:C)</f>
        <v>Servant of the Dead</v>
      </c>
      <c r="G488" s="1" t="str">
        <f>LOOKUP(B488, Maps!A:A, Maps!B:B)</f>
        <v>Undead Hallway</v>
      </c>
    </row>
    <row r="489" ht="15.75" customHeight="1">
      <c r="A489" s="1">
        <v>14.0</v>
      </c>
      <c r="B489" s="1">
        <v>6.0</v>
      </c>
      <c r="C489" s="1">
        <v>89.0</v>
      </c>
      <c r="D489" s="1">
        <v>75.0</v>
      </c>
      <c r="F489" s="1" t="str">
        <f>LOOKUP(A489, NPCs!A:A, NPCs!C:C)</f>
        <v>Servant of the Dead</v>
      </c>
      <c r="G489" s="1" t="str">
        <f>LOOKUP(B489, Maps!A:A, Maps!B:B)</f>
        <v>Undead Hallway</v>
      </c>
    </row>
    <row r="490" ht="15.75" customHeight="1">
      <c r="A490" s="1">
        <v>14.0</v>
      </c>
      <c r="B490" s="1">
        <v>6.0</v>
      </c>
      <c r="C490" s="1">
        <v>90.0</v>
      </c>
      <c r="D490" s="1">
        <v>76.0</v>
      </c>
      <c r="F490" s="1" t="str">
        <f>LOOKUP(A490, NPCs!A:A, NPCs!C:C)</f>
        <v>Servant of the Dead</v>
      </c>
      <c r="G490" s="1" t="str">
        <f>LOOKUP(B490, Maps!A:A, Maps!B:B)</f>
        <v>Undead Hallway</v>
      </c>
    </row>
    <row r="491" ht="15.75" customHeight="1">
      <c r="A491" s="1">
        <v>14.0</v>
      </c>
      <c r="B491" s="1">
        <v>6.0</v>
      </c>
      <c r="C491" s="1">
        <v>90.0</v>
      </c>
      <c r="D491" s="1">
        <v>75.0</v>
      </c>
      <c r="F491" s="1" t="str">
        <f>LOOKUP(A491, NPCs!A:A, NPCs!C:C)</f>
        <v>Servant of the Dead</v>
      </c>
      <c r="G491" s="1" t="str">
        <f>LOOKUP(B491, Maps!A:A, Maps!B:B)</f>
        <v>Undead Hallway</v>
      </c>
    </row>
    <row r="492" ht="15.75" customHeight="1">
      <c r="A492" s="1">
        <v>14.0</v>
      </c>
      <c r="B492" s="1">
        <v>6.0</v>
      </c>
      <c r="C492" s="1">
        <v>91.0</v>
      </c>
      <c r="D492" s="1">
        <v>74.0</v>
      </c>
      <c r="F492" s="1" t="str">
        <f>LOOKUP(A492, NPCs!A:A, NPCs!C:C)</f>
        <v>Servant of the Dead</v>
      </c>
      <c r="G492" s="1" t="str">
        <f>LOOKUP(B492, Maps!A:A, Maps!B:B)</f>
        <v>Undead Hallway</v>
      </c>
    </row>
    <row r="493" ht="15.75" customHeight="1">
      <c r="A493" s="1">
        <v>14.0</v>
      </c>
      <c r="B493" s="1">
        <v>6.0</v>
      </c>
      <c r="C493" s="1">
        <v>92.0</v>
      </c>
      <c r="D493" s="1">
        <v>73.0</v>
      </c>
      <c r="F493" s="1" t="str">
        <f>LOOKUP(A493, NPCs!A:A, NPCs!C:C)</f>
        <v>Servant of the Dead</v>
      </c>
      <c r="G493" s="1" t="str">
        <f>LOOKUP(B493, Maps!A:A, Maps!B:B)</f>
        <v>Undead Hallway</v>
      </c>
    </row>
    <row r="494" ht="15.75" customHeight="1">
      <c r="A494" s="1">
        <v>15.0</v>
      </c>
      <c r="B494" s="1">
        <v>6.0</v>
      </c>
      <c r="C494" s="1">
        <v>28.0</v>
      </c>
      <c r="D494" s="1">
        <v>7.0</v>
      </c>
      <c r="F494" s="1" t="str">
        <f>LOOKUP(A494, NPCs!A:A, NPCs!C:C)</f>
        <v>Boney</v>
      </c>
      <c r="G494" s="1" t="str">
        <f>LOOKUP(B494, Maps!A:A, Maps!B:B)</f>
        <v>Undead Hallway</v>
      </c>
    </row>
    <row r="495" ht="15.75" customHeight="1">
      <c r="A495" s="1">
        <v>16.0</v>
      </c>
      <c r="B495" s="1">
        <v>6.0</v>
      </c>
      <c r="C495" s="1">
        <v>9.0</v>
      </c>
      <c r="D495" s="1">
        <v>96.0</v>
      </c>
      <c r="F495" s="1" t="str">
        <f>LOOKUP(A495, NPCs!A:A, NPCs!C:C)</f>
        <v>Misplaced Spouse</v>
      </c>
      <c r="G495" s="1" t="str">
        <f>LOOKUP(B495, Maps!A:A, Maps!B:B)</f>
        <v>Undead Hallway</v>
      </c>
    </row>
    <row r="496" ht="15.75" customHeight="1">
      <c r="A496" s="1">
        <v>17.0</v>
      </c>
      <c r="B496" s="1">
        <v>6.0</v>
      </c>
      <c r="C496" s="1">
        <v>90.0</v>
      </c>
      <c r="D496" s="1">
        <v>74.0</v>
      </c>
      <c r="F496" s="1" t="str">
        <f>LOOKUP(A496, NPCs!A:A, NPCs!C:C)</f>
        <v>Record Keeper</v>
      </c>
      <c r="G496" s="1" t="str">
        <f>LOOKUP(B496, Maps!A:A, Maps!B:B)</f>
        <v>Undead Hallway</v>
      </c>
    </row>
    <row r="497" ht="15.75" customHeight="1">
      <c r="A497" s="1">
        <v>18.0</v>
      </c>
      <c r="B497" s="1">
        <v>25.0</v>
      </c>
      <c r="C497" s="1">
        <v>17.0</v>
      </c>
      <c r="D497" s="1">
        <v>57.0</v>
      </c>
      <c r="F497" s="1" t="str">
        <f>LOOKUP(A497, NPCs!A:A, NPCs!C:C)</f>
        <v>Piglet</v>
      </c>
      <c r="G497" s="1" t="str">
        <f>LOOKUP(B497, Maps!A:A, Maps!B:B)</f>
        <v>Boondocks</v>
      </c>
    </row>
    <row r="498" ht="15.75" customHeight="1">
      <c r="A498" s="1">
        <v>18.0</v>
      </c>
      <c r="B498" s="1">
        <v>25.0</v>
      </c>
      <c r="C498" s="1">
        <v>23.0</v>
      </c>
      <c r="D498" s="1">
        <v>57.0</v>
      </c>
      <c r="F498" s="1" t="str">
        <f>LOOKUP(A498, NPCs!A:A, NPCs!C:C)</f>
        <v>Piglet</v>
      </c>
      <c r="G498" s="1" t="str">
        <f>LOOKUP(B498, Maps!A:A, Maps!B:B)</f>
        <v>Boondocks</v>
      </c>
    </row>
    <row r="499" ht="15.75" customHeight="1">
      <c r="A499" s="1">
        <v>18.0</v>
      </c>
      <c r="B499" s="1">
        <v>25.0</v>
      </c>
      <c r="C499" s="1">
        <v>29.0</v>
      </c>
      <c r="D499" s="1">
        <v>57.0</v>
      </c>
      <c r="F499" s="1" t="str">
        <f>LOOKUP(A499, NPCs!A:A, NPCs!C:C)</f>
        <v>Piglet</v>
      </c>
      <c r="G499" s="1" t="str">
        <f>LOOKUP(B499, Maps!A:A, Maps!B:B)</f>
        <v>Boondocks</v>
      </c>
    </row>
    <row r="500" ht="15.75" customHeight="1">
      <c r="A500" s="1">
        <v>18.0</v>
      </c>
      <c r="B500" s="1">
        <v>25.0</v>
      </c>
      <c r="C500" s="1">
        <v>35.0</v>
      </c>
      <c r="D500" s="1">
        <v>57.0</v>
      </c>
      <c r="F500" s="1" t="str">
        <f>LOOKUP(A500, NPCs!A:A, NPCs!C:C)</f>
        <v>Piglet</v>
      </c>
      <c r="G500" s="1" t="str">
        <f>LOOKUP(B500, Maps!A:A, Maps!B:B)</f>
        <v>Boondocks</v>
      </c>
    </row>
    <row r="501" ht="15.75" customHeight="1">
      <c r="A501" s="1">
        <v>18.0</v>
      </c>
      <c r="B501" s="1">
        <v>25.0</v>
      </c>
      <c r="C501" s="1">
        <v>42.0</v>
      </c>
      <c r="D501" s="1">
        <v>57.0</v>
      </c>
      <c r="F501" s="1" t="str">
        <f>LOOKUP(A501, NPCs!A:A, NPCs!C:C)</f>
        <v>Piglet</v>
      </c>
      <c r="G501" s="1" t="str">
        <f>LOOKUP(B501, Maps!A:A, Maps!B:B)</f>
        <v>Boondocks</v>
      </c>
    </row>
    <row r="502" ht="15.75" customHeight="1">
      <c r="A502" s="1">
        <v>18.0</v>
      </c>
      <c r="B502" s="1">
        <v>25.0</v>
      </c>
      <c r="C502" s="1">
        <v>49.0</v>
      </c>
      <c r="D502" s="1">
        <v>57.0</v>
      </c>
      <c r="F502" s="1" t="str">
        <f>LOOKUP(A502, NPCs!A:A, NPCs!C:C)</f>
        <v>Piglet</v>
      </c>
      <c r="G502" s="1" t="str">
        <f>LOOKUP(B502, Maps!A:A, Maps!B:B)</f>
        <v>Boondocks</v>
      </c>
    </row>
    <row r="503" ht="15.75" customHeight="1">
      <c r="A503" s="1">
        <v>18.0</v>
      </c>
      <c r="B503" s="1">
        <v>25.0</v>
      </c>
      <c r="C503" s="1">
        <v>55.0</v>
      </c>
      <c r="D503" s="1">
        <v>57.0</v>
      </c>
      <c r="F503" s="1" t="str">
        <f>LOOKUP(A503, NPCs!A:A, NPCs!C:C)</f>
        <v>Piglet</v>
      </c>
      <c r="G503" s="1" t="str">
        <f>LOOKUP(B503, Maps!A:A, Maps!B:B)</f>
        <v>Boondocks</v>
      </c>
    </row>
    <row r="504" ht="15.75" customHeight="1">
      <c r="A504" s="1">
        <v>18.0</v>
      </c>
      <c r="B504" s="1">
        <v>25.0</v>
      </c>
      <c r="C504" s="1">
        <v>60.0</v>
      </c>
      <c r="D504" s="1">
        <v>57.0</v>
      </c>
      <c r="F504" s="1" t="str">
        <f>LOOKUP(A504, NPCs!A:A, NPCs!C:C)</f>
        <v>Piglet</v>
      </c>
      <c r="G504" s="1" t="str">
        <f>LOOKUP(B504, Maps!A:A, Maps!B:B)</f>
        <v>Boondocks</v>
      </c>
    </row>
    <row r="505" ht="15.75" customHeight="1">
      <c r="A505" s="1">
        <v>18.0</v>
      </c>
      <c r="B505" s="1">
        <v>25.0</v>
      </c>
      <c r="C505" s="1">
        <v>70.0</v>
      </c>
      <c r="D505" s="1">
        <v>57.0</v>
      </c>
      <c r="F505" s="1" t="str">
        <f>LOOKUP(A505, NPCs!A:A, NPCs!C:C)</f>
        <v>Piglet</v>
      </c>
      <c r="G505" s="1" t="str">
        <f>LOOKUP(B505, Maps!A:A, Maps!B:B)</f>
        <v>Boondocks</v>
      </c>
    </row>
    <row r="506" ht="15.75" customHeight="1">
      <c r="A506" s="1">
        <v>18.0</v>
      </c>
      <c r="B506" s="1">
        <v>25.0</v>
      </c>
      <c r="C506" s="1">
        <v>85.0</v>
      </c>
      <c r="D506" s="1">
        <v>57.0</v>
      </c>
      <c r="F506" s="1" t="str">
        <f>LOOKUP(A506, NPCs!A:A, NPCs!C:C)</f>
        <v>Piglet</v>
      </c>
      <c r="G506" s="1" t="str">
        <f>LOOKUP(B506, Maps!A:A, Maps!B:B)</f>
        <v>Boondocks</v>
      </c>
    </row>
    <row r="507" ht="15.75" customHeight="1">
      <c r="A507" s="1">
        <v>18.0</v>
      </c>
      <c r="B507" s="1">
        <v>25.0</v>
      </c>
      <c r="C507" s="1">
        <v>90.0</v>
      </c>
      <c r="D507" s="1">
        <v>57.0</v>
      </c>
      <c r="F507" s="1" t="str">
        <f>LOOKUP(A507, NPCs!A:A, NPCs!C:C)</f>
        <v>Piglet</v>
      </c>
      <c r="G507" s="1" t="str">
        <f>LOOKUP(B507, Maps!A:A, Maps!B:B)</f>
        <v>Boondocks</v>
      </c>
    </row>
    <row r="508" ht="15.75" customHeight="1">
      <c r="A508" s="1">
        <v>18.0</v>
      </c>
      <c r="B508" s="1">
        <v>25.0</v>
      </c>
      <c r="C508" s="1">
        <v>23.0</v>
      </c>
      <c r="D508" s="1">
        <v>70.0</v>
      </c>
      <c r="F508" s="1" t="str">
        <f>LOOKUP(A508, NPCs!A:A, NPCs!C:C)</f>
        <v>Piglet</v>
      </c>
      <c r="G508" s="1" t="str">
        <f>LOOKUP(B508, Maps!A:A, Maps!B:B)</f>
        <v>Boondocks</v>
      </c>
    </row>
    <row r="509" ht="15.75" customHeight="1">
      <c r="A509" s="1">
        <v>18.0</v>
      </c>
      <c r="B509" s="1">
        <v>25.0</v>
      </c>
      <c r="C509" s="1">
        <v>29.0</v>
      </c>
      <c r="D509" s="1">
        <v>70.0</v>
      </c>
      <c r="F509" s="1" t="str">
        <f>LOOKUP(A509, NPCs!A:A, NPCs!C:C)</f>
        <v>Piglet</v>
      </c>
      <c r="G509" s="1" t="str">
        <f>LOOKUP(B509, Maps!A:A, Maps!B:B)</f>
        <v>Boondocks</v>
      </c>
    </row>
    <row r="510" ht="15.75" customHeight="1">
      <c r="A510" s="1">
        <v>18.0</v>
      </c>
      <c r="B510" s="1">
        <v>25.0</v>
      </c>
      <c r="C510" s="1">
        <v>35.0</v>
      </c>
      <c r="D510" s="1">
        <v>70.0</v>
      </c>
      <c r="F510" s="1" t="str">
        <f>LOOKUP(A510, NPCs!A:A, NPCs!C:C)</f>
        <v>Piglet</v>
      </c>
      <c r="G510" s="1" t="str">
        <f>LOOKUP(B510, Maps!A:A, Maps!B:B)</f>
        <v>Boondocks</v>
      </c>
    </row>
    <row r="511" ht="15.75" customHeight="1">
      <c r="A511" s="1">
        <v>18.0</v>
      </c>
      <c r="B511" s="1">
        <v>25.0</v>
      </c>
      <c r="C511" s="1">
        <v>42.0</v>
      </c>
      <c r="D511" s="1">
        <v>70.0</v>
      </c>
      <c r="F511" s="1" t="str">
        <f>LOOKUP(A511, NPCs!A:A, NPCs!C:C)</f>
        <v>Piglet</v>
      </c>
      <c r="G511" s="1" t="str">
        <f>LOOKUP(B511, Maps!A:A, Maps!B:B)</f>
        <v>Boondocks</v>
      </c>
    </row>
    <row r="512" ht="15.75" customHeight="1">
      <c r="A512" s="1">
        <v>18.0</v>
      </c>
      <c r="B512" s="1">
        <v>25.0</v>
      </c>
      <c r="C512" s="1">
        <v>49.0</v>
      </c>
      <c r="D512" s="1">
        <v>70.0</v>
      </c>
      <c r="F512" s="1" t="str">
        <f>LOOKUP(A512, NPCs!A:A, NPCs!C:C)</f>
        <v>Piglet</v>
      </c>
      <c r="G512" s="1" t="str">
        <f>LOOKUP(B512, Maps!A:A, Maps!B:B)</f>
        <v>Boondocks</v>
      </c>
    </row>
    <row r="513" ht="15.75" customHeight="1">
      <c r="A513" s="1">
        <v>18.0</v>
      </c>
      <c r="B513" s="1">
        <v>25.0</v>
      </c>
      <c r="C513" s="1">
        <v>55.0</v>
      </c>
      <c r="D513" s="1">
        <v>70.0</v>
      </c>
      <c r="F513" s="1" t="str">
        <f>LOOKUP(A513, NPCs!A:A, NPCs!C:C)</f>
        <v>Piglet</v>
      </c>
      <c r="G513" s="1" t="str">
        <f>LOOKUP(B513, Maps!A:A, Maps!B:B)</f>
        <v>Boondocks</v>
      </c>
    </row>
    <row r="514" ht="15.75" customHeight="1">
      <c r="A514" s="1">
        <v>18.0</v>
      </c>
      <c r="B514" s="1">
        <v>25.0</v>
      </c>
      <c r="C514" s="1">
        <v>60.0</v>
      </c>
      <c r="D514" s="1">
        <v>70.0</v>
      </c>
      <c r="F514" s="1" t="str">
        <f>LOOKUP(A514, NPCs!A:A, NPCs!C:C)</f>
        <v>Piglet</v>
      </c>
      <c r="G514" s="1" t="str">
        <f>LOOKUP(B514, Maps!A:A, Maps!B:B)</f>
        <v>Boondocks</v>
      </c>
    </row>
    <row r="515" ht="15.75" customHeight="1">
      <c r="A515" s="1">
        <v>18.0</v>
      </c>
      <c r="B515" s="1">
        <v>25.0</v>
      </c>
      <c r="C515" s="1">
        <v>70.0</v>
      </c>
      <c r="D515" s="1">
        <v>70.0</v>
      </c>
      <c r="F515" s="1" t="str">
        <f>LOOKUP(A515, NPCs!A:A, NPCs!C:C)</f>
        <v>Piglet</v>
      </c>
      <c r="G515" s="1" t="str">
        <f>LOOKUP(B515, Maps!A:A, Maps!B:B)</f>
        <v>Boondocks</v>
      </c>
    </row>
    <row r="516" ht="15.75" customHeight="1">
      <c r="A516" s="1">
        <v>18.0</v>
      </c>
      <c r="B516" s="1">
        <v>25.0</v>
      </c>
      <c r="C516" s="1">
        <v>85.0</v>
      </c>
      <c r="D516" s="1">
        <v>70.0</v>
      </c>
      <c r="F516" s="1" t="str">
        <f>LOOKUP(A516, NPCs!A:A, NPCs!C:C)</f>
        <v>Piglet</v>
      </c>
      <c r="G516" s="1" t="str">
        <f>LOOKUP(B516, Maps!A:A, Maps!B:B)</f>
        <v>Boondocks</v>
      </c>
    </row>
    <row r="517" ht="15.75" customHeight="1">
      <c r="A517" s="1">
        <v>18.0</v>
      </c>
      <c r="B517" s="1">
        <v>25.0</v>
      </c>
      <c r="C517" s="1">
        <v>90.0</v>
      </c>
      <c r="D517" s="1">
        <v>70.0</v>
      </c>
      <c r="F517" s="1" t="str">
        <f>LOOKUP(A517, NPCs!A:A, NPCs!C:C)</f>
        <v>Piglet</v>
      </c>
      <c r="G517" s="1" t="str">
        <f>LOOKUP(B517, Maps!A:A, Maps!B:B)</f>
        <v>Boondocks</v>
      </c>
    </row>
    <row r="518" ht="15.75" customHeight="1">
      <c r="A518" s="1">
        <v>18.0</v>
      </c>
      <c r="B518" s="1">
        <v>25.0</v>
      </c>
      <c r="C518" s="1">
        <v>23.0</v>
      </c>
      <c r="D518" s="1">
        <v>75.0</v>
      </c>
      <c r="F518" s="1" t="str">
        <f>LOOKUP(A518, NPCs!A:A, NPCs!C:C)</f>
        <v>Piglet</v>
      </c>
      <c r="G518" s="1" t="str">
        <f>LOOKUP(B518, Maps!A:A, Maps!B:B)</f>
        <v>Boondocks</v>
      </c>
    </row>
    <row r="519" ht="15.75" customHeight="1">
      <c r="A519" s="1">
        <v>18.0</v>
      </c>
      <c r="B519" s="1">
        <v>25.0</v>
      </c>
      <c r="C519" s="1">
        <v>29.0</v>
      </c>
      <c r="D519" s="1">
        <v>75.0</v>
      </c>
      <c r="F519" s="1" t="str">
        <f>LOOKUP(A519, NPCs!A:A, NPCs!C:C)</f>
        <v>Piglet</v>
      </c>
      <c r="G519" s="1" t="str">
        <f>LOOKUP(B519, Maps!A:A, Maps!B:B)</f>
        <v>Boondocks</v>
      </c>
    </row>
    <row r="520" ht="15.75" customHeight="1">
      <c r="A520" s="1">
        <v>18.0</v>
      </c>
      <c r="B520" s="1">
        <v>25.0</v>
      </c>
      <c r="C520" s="1">
        <v>35.0</v>
      </c>
      <c r="D520" s="1">
        <v>75.0</v>
      </c>
      <c r="F520" s="1" t="str">
        <f>LOOKUP(A520, NPCs!A:A, NPCs!C:C)</f>
        <v>Piglet</v>
      </c>
      <c r="G520" s="1" t="str">
        <f>LOOKUP(B520, Maps!A:A, Maps!B:B)</f>
        <v>Boondocks</v>
      </c>
    </row>
    <row r="521" ht="15.75" customHeight="1">
      <c r="A521" s="1">
        <v>18.0</v>
      </c>
      <c r="B521" s="1">
        <v>25.0</v>
      </c>
      <c r="C521" s="1">
        <v>42.0</v>
      </c>
      <c r="D521" s="1">
        <v>75.0</v>
      </c>
      <c r="F521" s="1" t="str">
        <f>LOOKUP(A521, NPCs!A:A, NPCs!C:C)</f>
        <v>Piglet</v>
      </c>
      <c r="G521" s="1" t="str">
        <f>LOOKUP(B521, Maps!A:A, Maps!B:B)</f>
        <v>Boondocks</v>
      </c>
    </row>
    <row r="522" ht="15.75" customHeight="1">
      <c r="A522" s="1">
        <v>18.0</v>
      </c>
      <c r="B522" s="1">
        <v>25.0</v>
      </c>
      <c r="C522" s="1">
        <v>49.0</v>
      </c>
      <c r="D522" s="1">
        <v>75.0</v>
      </c>
      <c r="F522" s="1" t="str">
        <f>LOOKUP(A522, NPCs!A:A, NPCs!C:C)</f>
        <v>Piglet</v>
      </c>
      <c r="G522" s="1" t="str">
        <f>LOOKUP(B522, Maps!A:A, Maps!B:B)</f>
        <v>Boondocks</v>
      </c>
    </row>
    <row r="523" ht="15.75" customHeight="1">
      <c r="A523" s="1">
        <v>18.0</v>
      </c>
      <c r="B523" s="1">
        <v>25.0</v>
      </c>
      <c r="C523" s="1">
        <v>55.0</v>
      </c>
      <c r="D523" s="1">
        <v>75.0</v>
      </c>
      <c r="F523" s="1" t="str">
        <f>LOOKUP(A523, NPCs!A:A, NPCs!C:C)</f>
        <v>Piglet</v>
      </c>
      <c r="G523" s="1" t="str">
        <f>LOOKUP(B523, Maps!A:A, Maps!B:B)</f>
        <v>Boondocks</v>
      </c>
    </row>
    <row r="524" ht="15.75" customHeight="1">
      <c r="A524" s="1">
        <v>18.0</v>
      </c>
      <c r="B524" s="1">
        <v>25.0</v>
      </c>
      <c r="C524" s="1">
        <v>60.0</v>
      </c>
      <c r="D524" s="1">
        <v>75.0</v>
      </c>
      <c r="F524" s="1" t="str">
        <f>LOOKUP(A524, NPCs!A:A, NPCs!C:C)</f>
        <v>Piglet</v>
      </c>
      <c r="G524" s="1" t="str">
        <f>LOOKUP(B524, Maps!A:A, Maps!B:B)</f>
        <v>Boondocks</v>
      </c>
    </row>
    <row r="525" ht="15.75" customHeight="1">
      <c r="A525" s="1">
        <v>18.0</v>
      </c>
      <c r="B525" s="1">
        <v>25.0</v>
      </c>
      <c r="C525" s="1">
        <v>70.0</v>
      </c>
      <c r="D525" s="1">
        <v>75.0</v>
      </c>
      <c r="F525" s="1" t="str">
        <f>LOOKUP(A525, NPCs!A:A, NPCs!C:C)</f>
        <v>Piglet</v>
      </c>
      <c r="G525" s="1" t="str">
        <f>LOOKUP(B525, Maps!A:A, Maps!B:B)</f>
        <v>Boondocks</v>
      </c>
    </row>
    <row r="526" ht="15.75" customHeight="1">
      <c r="A526" s="1">
        <v>18.0</v>
      </c>
      <c r="B526" s="1">
        <v>25.0</v>
      </c>
      <c r="C526" s="1">
        <v>85.0</v>
      </c>
      <c r="D526" s="1">
        <v>75.0</v>
      </c>
      <c r="F526" s="1" t="str">
        <f>LOOKUP(A526, NPCs!A:A, NPCs!C:C)</f>
        <v>Piglet</v>
      </c>
      <c r="G526" s="1" t="str">
        <f>LOOKUP(B526, Maps!A:A, Maps!B:B)</f>
        <v>Boondocks</v>
      </c>
    </row>
    <row r="527" ht="15.75" customHeight="1">
      <c r="A527" s="1">
        <v>18.0</v>
      </c>
      <c r="B527" s="1">
        <v>25.0</v>
      </c>
      <c r="C527" s="1">
        <v>90.0</v>
      </c>
      <c r="D527" s="1">
        <v>75.0</v>
      </c>
      <c r="F527" s="1" t="str">
        <f>LOOKUP(A527, NPCs!A:A, NPCs!C:C)</f>
        <v>Piglet</v>
      </c>
      <c r="G527" s="1" t="str">
        <f>LOOKUP(B527, Maps!A:A, Maps!B:B)</f>
        <v>Boondocks</v>
      </c>
    </row>
    <row r="528" ht="15.75" customHeight="1">
      <c r="A528" s="1">
        <v>18.0</v>
      </c>
      <c r="B528" s="1">
        <v>25.0</v>
      </c>
      <c r="C528" s="1">
        <v>23.0</v>
      </c>
      <c r="D528" s="1">
        <v>85.0</v>
      </c>
      <c r="F528" s="1" t="str">
        <f>LOOKUP(A528, NPCs!A:A, NPCs!C:C)</f>
        <v>Piglet</v>
      </c>
      <c r="G528" s="1" t="str">
        <f>LOOKUP(B528, Maps!A:A, Maps!B:B)</f>
        <v>Boondocks</v>
      </c>
    </row>
    <row r="529" ht="15.75" customHeight="1">
      <c r="A529" s="1">
        <v>18.0</v>
      </c>
      <c r="B529" s="1">
        <v>25.0</v>
      </c>
      <c r="C529" s="1">
        <v>29.0</v>
      </c>
      <c r="D529" s="1">
        <v>85.0</v>
      </c>
      <c r="F529" s="1" t="str">
        <f>LOOKUP(A529, NPCs!A:A, NPCs!C:C)</f>
        <v>Piglet</v>
      </c>
      <c r="G529" s="1" t="str">
        <f>LOOKUP(B529, Maps!A:A, Maps!B:B)</f>
        <v>Boondocks</v>
      </c>
    </row>
    <row r="530" ht="15.75" customHeight="1">
      <c r="A530" s="1">
        <v>18.0</v>
      </c>
      <c r="B530" s="1">
        <v>25.0</v>
      </c>
      <c r="C530" s="1">
        <v>35.0</v>
      </c>
      <c r="D530" s="1">
        <v>85.0</v>
      </c>
      <c r="F530" s="1" t="str">
        <f>LOOKUP(A530, NPCs!A:A, NPCs!C:C)</f>
        <v>Piglet</v>
      </c>
      <c r="G530" s="1" t="str">
        <f>LOOKUP(B530, Maps!A:A, Maps!B:B)</f>
        <v>Boondocks</v>
      </c>
    </row>
    <row r="531" ht="15.75" customHeight="1">
      <c r="A531" s="1">
        <v>18.0</v>
      </c>
      <c r="B531" s="1">
        <v>25.0</v>
      </c>
      <c r="C531" s="1">
        <v>42.0</v>
      </c>
      <c r="D531" s="1">
        <v>85.0</v>
      </c>
      <c r="F531" s="1" t="str">
        <f>LOOKUP(A531, NPCs!A:A, NPCs!C:C)</f>
        <v>Piglet</v>
      </c>
      <c r="G531" s="1" t="str">
        <f>LOOKUP(B531, Maps!A:A, Maps!B:B)</f>
        <v>Boondocks</v>
      </c>
    </row>
    <row r="532" ht="15.75" customHeight="1">
      <c r="A532" s="1">
        <v>18.0</v>
      </c>
      <c r="B532" s="1">
        <v>25.0</v>
      </c>
      <c r="C532" s="1">
        <v>49.0</v>
      </c>
      <c r="D532" s="1">
        <v>85.0</v>
      </c>
      <c r="F532" s="1" t="str">
        <f>LOOKUP(A532, NPCs!A:A, NPCs!C:C)</f>
        <v>Piglet</v>
      </c>
      <c r="G532" s="1" t="str">
        <f>LOOKUP(B532, Maps!A:A, Maps!B:B)</f>
        <v>Boondocks</v>
      </c>
    </row>
    <row r="533" ht="15.75" customHeight="1">
      <c r="A533" s="1">
        <v>18.0</v>
      </c>
      <c r="B533" s="1">
        <v>25.0</v>
      </c>
      <c r="C533" s="1">
        <v>55.0</v>
      </c>
      <c r="D533" s="1">
        <v>85.0</v>
      </c>
      <c r="F533" s="1" t="str">
        <f>LOOKUP(A533, NPCs!A:A, NPCs!C:C)</f>
        <v>Piglet</v>
      </c>
      <c r="G533" s="1" t="str">
        <f>LOOKUP(B533, Maps!A:A, Maps!B:B)</f>
        <v>Boondocks</v>
      </c>
    </row>
    <row r="534" ht="15.75" customHeight="1">
      <c r="A534" s="1">
        <v>18.0</v>
      </c>
      <c r="B534" s="1">
        <v>25.0</v>
      </c>
      <c r="C534" s="1">
        <v>60.0</v>
      </c>
      <c r="D534" s="1">
        <v>85.0</v>
      </c>
      <c r="F534" s="1" t="str">
        <f>LOOKUP(A534, NPCs!A:A, NPCs!C:C)</f>
        <v>Piglet</v>
      </c>
      <c r="G534" s="1" t="str">
        <f>LOOKUP(B534, Maps!A:A, Maps!B:B)</f>
        <v>Boondocks</v>
      </c>
    </row>
    <row r="535" ht="15.75" customHeight="1">
      <c r="A535" s="1">
        <v>18.0</v>
      </c>
      <c r="B535" s="1">
        <v>25.0</v>
      </c>
      <c r="C535" s="1">
        <v>70.0</v>
      </c>
      <c r="D535" s="1">
        <v>85.0</v>
      </c>
      <c r="F535" s="1" t="str">
        <f>LOOKUP(A535, NPCs!A:A, NPCs!C:C)</f>
        <v>Piglet</v>
      </c>
      <c r="G535" s="1" t="str">
        <f>LOOKUP(B535, Maps!A:A, Maps!B:B)</f>
        <v>Boondocks</v>
      </c>
    </row>
    <row r="536" ht="15.75" customHeight="1">
      <c r="A536" s="1">
        <v>18.0</v>
      </c>
      <c r="B536" s="1">
        <v>25.0</v>
      </c>
      <c r="C536" s="1">
        <v>85.0</v>
      </c>
      <c r="D536" s="1">
        <v>85.0</v>
      </c>
      <c r="F536" s="1" t="str">
        <f>LOOKUP(A536, NPCs!A:A, NPCs!C:C)</f>
        <v>Piglet</v>
      </c>
      <c r="G536" s="1" t="str">
        <f>LOOKUP(B536, Maps!A:A, Maps!B:B)</f>
        <v>Boondocks</v>
      </c>
    </row>
    <row r="537" ht="15.75" customHeight="1">
      <c r="A537" s="1">
        <v>18.0</v>
      </c>
      <c r="B537" s="1">
        <v>25.0</v>
      </c>
      <c r="C537" s="1">
        <v>90.0</v>
      </c>
      <c r="D537" s="1">
        <v>85.0</v>
      </c>
      <c r="F537" s="1" t="str">
        <f>LOOKUP(A537, NPCs!A:A, NPCs!C:C)</f>
        <v>Piglet</v>
      </c>
      <c r="G537" s="1" t="str">
        <f>LOOKUP(B537, Maps!A:A, Maps!B:B)</f>
        <v>Boondocks</v>
      </c>
    </row>
    <row r="538" ht="15.75" customHeight="1">
      <c r="A538" s="1">
        <v>18.0</v>
      </c>
      <c r="B538" s="1">
        <v>25.0</v>
      </c>
      <c r="C538" s="1">
        <v>90.0</v>
      </c>
      <c r="D538" s="1">
        <v>90.0</v>
      </c>
      <c r="F538" s="1" t="str">
        <f>LOOKUP(A538, NPCs!A:A, NPCs!C:C)</f>
        <v>Piglet</v>
      </c>
      <c r="G538" s="1" t="str">
        <f>LOOKUP(B538, Maps!A:A, Maps!B:B)</f>
        <v>Boondocks</v>
      </c>
    </row>
    <row r="539" ht="15.75" customHeight="1">
      <c r="A539" s="1">
        <v>19.0</v>
      </c>
      <c r="B539" s="1">
        <v>25.0</v>
      </c>
      <c r="C539" s="1">
        <v>28.0</v>
      </c>
      <c r="D539" s="1">
        <v>84.0</v>
      </c>
      <c r="F539" s="1" t="str">
        <f>LOOKUP(A539, NPCs!A:A, NPCs!C:C)</f>
        <v>Flying Piglet</v>
      </c>
      <c r="G539" s="1" t="str">
        <f>LOOKUP(B539, Maps!A:A, Maps!B:B)</f>
        <v>Boondocks</v>
      </c>
    </row>
    <row r="540" ht="15.75" customHeight="1">
      <c r="A540" s="1">
        <v>19.0</v>
      </c>
      <c r="B540" s="1">
        <v>25.0</v>
      </c>
      <c r="C540" s="1">
        <v>8.0</v>
      </c>
      <c r="D540" s="1">
        <v>62.0</v>
      </c>
      <c r="F540" s="1" t="str">
        <f>LOOKUP(A540, NPCs!A:A, NPCs!C:C)</f>
        <v>Flying Piglet</v>
      </c>
      <c r="G540" s="1" t="str">
        <f>LOOKUP(B540, Maps!A:A, Maps!B:B)</f>
        <v>Boondocks</v>
      </c>
    </row>
    <row r="541" ht="15.75" customHeight="1">
      <c r="A541" s="1">
        <v>20.0</v>
      </c>
      <c r="B541" s="1">
        <v>19.0</v>
      </c>
      <c r="C541" s="1">
        <v>6.0</v>
      </c>
      <c r="D541" s="1">
        <v>43.0</v>
      </c>
      <c r="F541" s="1" t="str">
        <f>LOOKUP(A541, NPCs!A:A, NPCs!C:C)</f>
        <v>Lost Wabbit</v>
      </c>
      <c r="G541" s="1" t="str">
        <f>LOOKUP(B541, Maps!A:A, Maps!B:B)</f>
        <v>Frigid Maze</v>
      </c>
    </row>
    <row r="542" ht="15.75" customHeight="1">
      <c r="A542" s="1">
        <v>20.0</v>
      </c>
      <c r="B542" s="1">
        <v>19.0</v>
      </c>
      <c r="C542" s="1">
        <v>10.0</v>
      </c>
      <c r="D542" s="1">
        <v>39.0</v>
      </c>
      <c r="F542" s="1" t="str">
        <f>LOOKUP(A542, NPCs!A:A, NPCs!C:C)</f>
        <v>Lost Wabbit</v>
      </c>
      <c r="G542" s="1" t="str">
        <f>LOOKUP(B542, Maps!A:A, Maps!B:B)</f>
        <v>Frigid Maze</v>
      </c>
    </row>
    <row r="543" ht="15.75" customHeight="1">
      <c r="A543" s="1">
        <v>20.0</v>
      </c>
      <c r="B543" s="1">
        <v>19.0</v>
      </c>
      <c r="C543" s="1">
        <v>11.0</v>
      </c>
      <c r="D543" s="1">
        <v>39.0</v>
      </c>
      <c r="F543" s="1" t="str">
        <f>LOOKUP(A543, NPCs!A:A, NPCs!C:C)</f>
        <v>Lost Wabbit</v>
      </c>
      <c r="G543" s="1" t="str">
        <f>LOOKUP(B543, Maps!A:A, Maps!B:B)</f>
        <v>Frigid Maze</v>
      </c>
    </row>
    <row r="544" ht="15.75" customHeight="1">
      <c r="A544" s="1">
        <v>20.0</v>
      </c>
      <c r="B544" s="1">
        <v>19.0</v>
      </c>
      <c r="C544" s="1">
        <v>11.0</v>
      </c>
      <c r="D544" s="1">
        <v>44.0</v>
      </c>
      <c r="F544" s="1" t="str">
        <f>LOOKUP(A544, NPCs!A:A, NPCs!C:C)</f>
        <v>Lost Wabbit</v>
      </c>
      <c r="G544" s="1" t="str">
        <f>LOOKUP(B544, Maps!A:A, Maps!B:B)</f>
        <v>Frigid Maze</v>
      </c>
    </row>
    <row r="545" ht="15.75" customHeight="1">
      <c r="A545" s="1">
        <v>20.0</v>
      </c>
      <c r="B545" s="1">
        <v>19.0</v>
      </c>
      <c r="C545" s="1">
        <v>11.0</v>
      </c>
      <c r="D545" s="1">
        <v>46.0</v>
      </c>
      <c r="F545" s="1" t="str">
        <f>LOOKUP(A545, NPCs!A:A, NPCs!C:C)</f>
        <v>Lost Wabbit</v>
      </c>
      <c r="G545" s="1" t="str">
        <f>LOOKUP(B545, Maps!A:A, Maps!B:B)</f>
        <v>Frigid Maze</v>
      </c>
    </row>
    <row r="546" ht="15.75" customHeight="1">
      <c r="A546" s="1">
        <v>20.0</v>
      </c>
      <c r="B546" s="1">
        <v>19.0</v>
      </c>
      <c r="C546" s="1">
        <v>20.0</v>
      </c>
      <c r="D546" s="1">
        <v>42.0</v>
      </c>
      <c r="F546" s="1" t="str">
        <f>LOOKUP(A546, NPCs!A:A, NPCs!C:C)</f>
        <v>Lost Wabbit</v>
      </c>
      <c r="G546" s="1" t="str">
        <f>LOOKUP(B546, Maps!A:A, Maps!B:B)</f>
        <v>Frigid Maze</v>
      </c>
    </row>
    <row r="547" ht="15.75" customHeight="1">
      <c r="A547" s="1">
        <v>20.0</v>
      </c>
      <c r="B547" s="1">
        <v>19.0</v>
      </c>
      <c r="C547" s="1">
        <v>20.0</v>
      </c>
      <c r="D547" s="1">
        <v>36.0</v>
      </c>
      <c r="F547" s="1" t="str">
        <f>LOOKUP(A547, NPCs!A:A, NPCs!C:C)</f>
        <v>Lost Wabbit</v>
      </c>
      <c r="G547" s="1" t="str">
        <f>LOOKUP(B547, Maps!A:A, Maps!B:B)</f>
        <v>Frigid Maze</v>
      </c>
    </row>
    <row r="548" ht="15.75" customHeight="1">
      <c r="A548" s="1">
        <v>20.0</v>
      </c>
      <c r="B548" s="1">
        <v>19.0</v>
      </c>
      <c r="C548" s="1">
        <v>15.0</v>
      </c>
      <c r="D548" s="1">
        <v>35.0</v>
      </c>
      <c r="F548" s="1" t="str">
        <f>LOOKUP(A548, NPCs!A:A, NPCs!C:C)</f>
        <v>Lost Wabbit</v>
      </c>
      <c r="G548" s="1" t="str">
        <f>LOOKUP(B548, Maps!A:A, Maps!B:B)</f>
        <v>Frigid Maze</v>
      </c>
    </row>
    <row r="549" ht="15.75" customHeight="1">
      <c r="A549" s="1">
        <v>20.0</v>
      </c>
      <c r="B549" s="1">
        <v>19.0</v>
      </c>
      <c r="C549" s="1">
        <v>15.0</v>
      </c>
      <c r="D549" s="1">
        <v>38.0</v>
      </c>
      <c r="F549" s="1" t="str">
        <f>LOOKUP(A549, NPCs!A:A, NPCs!C:C)</f>
        <v>Lost Wabbit</v>
      </c>
      <c r="G549" s="1" t="str">
        <f>LOOKUP(B549, Maps!A:A, Maps!B:B)</f>
        <v>Frigid Maze</v>
      </c>
    </row>
    <row r="550" ht="15.75" customHeight="1">
      <c r="A550" s="1">
        <v>20.0</v>
      </c>
      <c r="B550" s="1">
        <v>19.0</v>
      </c>
      <c r="C550" s="1">
        <v>15.0</v>
      </c>
      <c r="D550" s="1">
        <v>41.0</v>
      </c>
      <c r="F550" s="1" t="str">
        <f>LOOKUP(A550, NPCs!A:A, NPCs!C:C)</f>
        <v>Lost Wabbit</v>
      </c>
      <c r="G550" s="1" t="str">
        <f>LOOKUP(B550, Maps!A:A, Maps!B:B)</f>
        <v>Frigid Maze</v>
      </c>
    </row>
    <row r="551" ht="15.75" customHeight="1">
      <c r="A551" s="1">
        <v>20.0</v>
      </c>
      <c r="B551" s="1">
        <v>19.0</v>
      </c>
      <c r="C551" s="1">
        <v>15.0</v>
      </c>
      <c r="D551" s="1">
        <v>42.0</v>
      </c>
      <c r="F551" s="1" t="str">
        <f>LOOKUP(A551, NPCs!A:A, NPCs!C:C)</f>
        <v>Lost Wabbit</v>
      </c>
      <c r="G551" s="1" t="str">
        <f>LOOKUP(B551, Maps!A:A, Maps!B:B)</f>
        <v>Frigid Maze</v>
      </c>
    </row>
    <row r="552" ht="15.75" customHeight="1">
      <c r="A552" s="1">
        <v>20.0</v>
      </c>
      <c r="B552" s="1">
        <v>19.0</v>
      </c>
      <c r="C552" s="1">
        <v>13.0</v>
      </c>
      <c r="D552" s="1">
        <v>29.0</v>
      </c>
      <c r="F552" s="1" t="str">
        <f>LOOKUP(A552, NPCs!A:A, NPCs!C:C)</f>
        <v>Lost Wabbit</v>
      </c>
      <c r="G552" s="1" t="str">
        <f>LOOKUP(B552, Maps!A:A, Maps!B:B)</f>
        <v>Frigid Maze</v>
      </c>
    </row>
    <row r="553" ht="15.75" customHeight="1">
      <c r="A553" s="1">
        <v>20.0</v>
      </c>
      <c r="B553" s="1">
        <v>19.0</v>
      </c>
      <c r="C553" s="1">
        <v>11.0</v>
      </c>
      <c r="D553" s="1">
        <v>30.0</v>
      </c>
      <c r="F553" s="1" t="str">
        <f>LOOKUP(A553, NPCs!A:A, NPCs!C:C)</f>
        <v>Lost Wabbit</v>
      </c>
      <c r="G553" s="1" t="str">
        <f>LOOKUP(B553, Maps!A:A, Maps!B:B)</f>
        <v>Frigid Maze</v>
      </c>
    </row>
    <row r="554" ht="15.75" customHeight="1">
      <c r="A554" s="1">
        <v>20.0</v>
      </c>
      <c r="B554" s="1">
        <v>19.0</v>
      </c>
      <c r="C554" s="1">
        <v>11.0</v>
      </c>
      <c r="D554" s="1">
        <v>31.0</v>
      </c>
      <c r="F554" s="1" t="str">
        <f>LOOKUP(A554, NPCs!A:A, NPCs!C:C)</f>
        <v>Lost Wabbit</v>
      </c>
      <c r="G554" s="1" t="str">
        <f>LOOKUP(B554, Maps!A:A, Maps!B:B)</f>
        <v>Frigid Maze</v>
      </c>
    </row>
    <row r="555" ht="15.75" customHeight="1">
      <c r="A555" s="1">
        <v>20.0</v>
      </c>
      <c r="B555" s="1">
        <v>19.0</v>
      </c>
      <c r="C555" s="1">
        <v>11.0</v>
      </c>
      <c r="D555" s="1">
        <v>35.0</v>
      </c>
      <c r="F555" s="1" t="str">
        <f>LOOKUP(A555, NPCs!A:A, NPCs!C:C)</f>
        <v>Lost Wabbit</v>
      </c>
      <c r="G555" s="1" t="str">
        <f>LOOKUP(B555, Maps!A:A, Maps!B:B)</f>
        <v>Frigid Maze</v>
      </c>
    </row>
    <row r="556" ht="15.75" customHeight="1">
      <c r="A556" s="1">
        <v>20.0</v>
      </c>
      <c r="B556" s="1">
        <v>19.0</v>
      </c>
      <c r="C556" s="1">
        <v>5.0</v>
      </c>
      <c r="D556" s="1">
        <v>22.0</v>
      </c>
      <c r="F556" s="1" t="str">
        <f>LOOKUP(A556, NPCs!A:A, NPCs!C:C)</f>
        <v>Lost Wabbit</v>
      </c>
      <c r="G556" s="1" t="str">
        <f>LOOKUP(B556, Maps!A:A, Maps!B:B)</f>
        <v>Frigid Maze</v>
      </c>
    </row>
    <row r="557" ht="15.75" customHeight="1">
      <c r="A557" s="1">
        <v>20.0</v>
      </c>
      <c r="B557" s="1">
        <v>19.0</v>
      </c>
      <c r="C557" s="1">
        <v>4.0</v>
      </c>
      <c r="D557" s="1">
        <v>21.0</v>
      </c>
      <c r="F557" s="1" t="str">
        <f>LOOKUP(A557, NPCs!A:A, NPCs!C:C)</f>
        <v>Lost Wabbit</v>
      </c>
      <c r="G557" s="1" t="str">
        <f>LOOKUP(B557, Maps!A:A, Maps!B:B)</f>
        <v>Frigid Maze</v>
      </c>
    </row>
    <row r="558" ht="15.75" customHeight="1">
      <c r="A558" s="1">
        <v>20.0</v>
      </c>
      <c r="B558" s="1">
        <v>19.0</v>
      </c>
      <c r="C558" s="1">
        <v>2.0</v>
      </c>
      <c r="D558" s="1">
        <v>17.0</v>
      </c>
      <c r="F558" s="1" t="str">
        <f>LOOKUP(A558, NPCs!A:A, NPCs!C:C)</f>
        <v>Lost Wabbit</v>
      </c>
      <c r="G558" s="1" t="str">
        <f>LOOKUP(B558, Maps!A:A, Maps!B:B)</f>
        <v>Frigid Maze</v>
      </c>
    </row>
    <row r="559" ht="15.75" customHeight="1">
      <c r="A559" s="1">
        <v>20.0</v>
      </c>
      <c r="B559" s="1">
        <v>19.0</v>
      </c>
      <c r="C559" s="1">
        <v>2.0</v>
      </c>
      <c r="D559" s="1">
        <v>12.0</v>
      </c>
      <c r="F559" s="1" t="str">
        <f>LOOKUP(A559, NPCs!A:A, NPCs!C:C)</f>
        <v>Lost Wabbit</v>
      </c>
      <c r="G559" s="1" t="str">
        <f>LOOKUP(B559, Maps!A:A, Maps!B:B)</f>
        <v>Frigid Maze</v>
      </c>
    </row>
    <row r="560" ht="15.75" customHeight="1">
      <c r="A560" s="1">
        <v>20.0</v>
      </c>
      <c r="B560" s="1">
        <v>19.0</v>
      </c>
      <c r="C560" s="1">
        <v>2.0</v>
      </c>
      <c r="D560" s="1">
        <v>11.0</v>
      </c>
      <c r="F560" s="1" t="str">
        <f>LOOKUP(A560, NPCs!A:A, NPCs!C:C)</f>
        <v>Lost Wabbit</v>
      </c>
      <c r="G560" s="1" t="str">
        <f>LOOKUP(B560, Maps!A:A, Maps!B:B)</f>
        <v>Frigid Maze</v>
      </c>
    </row>
    <row r="561" ht="15.75" customHeight="1">
      <c r="A561" s="1">
        <v>20.0</v>
      </c>
      <c r="B561" s="1">
        <v>19.0</v>
      </c>
      <c r="C561" s="1">
        <v>2.0</v>
      </c>
      <c r="D561" s="1">
        <v>5.0</v>
      </c>
      <c r="F561" s="1" t="str">
        <f>LOOKUP(A561, NPCs!A:A, NPCs!C:C)</f>
        <v>Lost Wabbit</v>
      </c>
      <c r="G561" s="1" t="str">
        <f>LOOKUP(B561, Maps!A:A, Maps!B:B)</f>
        <v>Frigid Maze</v>
      </c>
    </row>
    <row r="562" ht="15.75" customHeight="1">
      <c r="A562" s="1">
        <v>20.0</v>
      </c>
      <c r="B562" s="1">
        <v>19.0</v>
      </c>
      <c r="C562" s="1">
        <v>2.0</v>
      </c>
      <c r="D562" s="1">
        <v>4.0</v>
      </c>
      <c r="F562" s="1" t="str">
        <f>LOOKUP(A562, NPCs!A:A, NPCs!C:C)</f>
        <v>Lost Wabbit</v>
      </c>
      <c r="G562" s="1" t="str">
        <f>LOOKUP(B562, Maps!A:A, Maps!B:B)</f>
        <v>Frigid Maze</v>
      </c>
    </row>
    <row r="563" ht="15.75" customHeight="1">
      <c r="A563" s="1">
        <v>20.0</v>
      </c>
      <c r="B563" s="1">
        <v>19.0</v>
      </c>
      <c r="C563" s="1">
        <v>2.0</v>
      </c>
      <c r="D563" s="1">
        <v>3.0</v>
      </c>
      <c r="F563" s="1" t="str">
        <f>LOOKUP(A563, NPCs!A:A, NPCs!C:C)</f>
        <v>Lost Wabbit</v>
      </c>
      <c r="G563" s="1" t="str">
        <f>LOOKUP(B563, Maps!A:A, Maps!B:B)</f>
        <v>Frigid Maze</v>
      </c>
    </row>
    <row r="564" ht="15.75" customHeight="1">
      <c r="A564" s="1">
        <v>20.0</v>
      </c>
      <c r="B564" s="1">
        <v>19.0</v>
      </c>
      <c r="C564" s="1">
        <v>10.0</v>
      </c>
      <c r="D564" s="1">
        <v>19.0</v>
      </c>
      <c r="F564" s="1" t="str">
        <f>LOOKUP(A564, NPCs!A:A, NPCs!C:C)</f>
        <v>Lost Wabbit</v>
      </c>
      <c r="G564" s="1" t="str">
        <f>LOOKUP(B564, Maps!A:A, Maps!B:B)</f>
        <v>Frigid Maze</v>
      </c>
    </row>
    <row r="565" ht="15.75" customHeight="1">
      <c r="A565" s="1">
        <v>20.0</v>
      </c>
      <c r="B565" s="1">
        <v>19.0</v>
      </c>
      <c r="C565" s="1">
        <v>13.0</v>
      </c>
      <c r="D565" s="1">
        <v>19.0</v>
      </c>
      <c r="F565" s="1" t="str">
        <f>LOOKUP(A565, NPCs!A:A, NPCs!C:C)</f>
        <v>Lost Wabbit</v>
      </c>
      <c r="G565" s="1" t="str">
        <f>LOOKUP(B565, Maps!A:A, Maps!B:B)</f>
        <v>Frigid Maze</v>
      </c>
    </row>
    <row r="566" ht="15.75" customHeight="1">
      <c r="A566" s="1">
        <v>20.0</v>
      </c>
      <c r="B566" s="1">
        <v>19.0</v>
      </c>
      <c r="C566" s="1">
        <v>14.0</v>
      </c>
      <c r="D566" s="1">
        <v>19.0</v>
      </c>
      <c r="F566" s="1" t="str">
        <f>LOOKUP(A566, NPCs!A:A, NPCs!C:C)</f>
        <v>Lost Wabbit</v>
      </c>
      <c r="G566" s="1" t="str">
        <f>LOOKUP(B566, Maps!A:A, Maps!B:B)</f>
        <v>Frigid Maze</v>
      </c>
    </row>
    <row r="567" ht="15.75" customHeight="1">
      <c r="A567" s="1">
        <v>20.0</v>
      </c>
      <c r="B567" s="1">
        <v>19.0</v>
      </c>
      <c r="C567" s="1">
        <v>17.0</v>
      </c>
      <c r="D567" s="1">
        <v>22.0</v>
      </c>
      <c r="F567" s="1" t="str">
        <f>LOOKUP(A567, NPCs!A:A, NPCs!C:C)</f>
        <v>Lost Wabbit</v>
      </c>
      <c r="G567" s="1" t="str">
        <f>LOOKUP(B567, Maps!A:A, Maps!B:B)</f>
        <v>Frigid Maze</v>
      </c>
    </row>
    <row r="568" ht="15.75" customHeight="1">
      <c r="A568" s="1">
        <v>20.0</v>
      </c>
      <c r="B568" s="1">
        <v>19.0</v>
      </c>
      <c r="C568" s="1">
        <v>17.0</v>
      </c>
      <c r="D568" s="1">
        <v>23.0</v>
      </c>
      <c r="F568" s="1" t="str">
        <f>LOOKUP(A568, NPCs!A:A, NPCs!C:C)</f>
        <v>Lost Wabbit</v>
      </c>
      <c r="G568" s="1" t="str">
        <f>LOOKUP(B568, Maps!A:A, Maps!B:B)</f>
        <v>Frigid Maze</v>
      </c>
    </row>
    <row r="569" ht="15.75" customHeight="1">
      <c r="A569" s="1">
        <v>20.0</v>
      </c>
      <c r="B569" s="1">
        <v>19.0</v>
      </c>
      <c r="C569" s="1">
        <v>46.0</v>
      </c>
      <c r="D569" s="1">
        <v>42.0</v>
      </c>
      <c r="F569" s="1" t="str">
        <f>LOOKUP(A569, NPCs!A:A, NPCs!C:C)</f>
        <v>Lost Wabbit</v>
      </c>
      <c r="G569" s="1" t="str">
        <f>LOOKUP(B569, Maps!A:A, Maps!B:B)</f>
        <v>Frigid Maze</v>
      </c>
    </row>
    <row r="570" ht="15.75" customHeight="1">
      <c r="A570" s="1">
        <v>20.0</v>
      </c>
      <c r="B570" s="1">
        <v>19.0</v>
      </c>
      <c r="C570" s="1">
        <v>49.0</v>
      </c>
      <c r="D570" s="1">
        <v>42.0</v>
      </c>
      <c r="F570" s="1" t="str">
        <f>LOOKUP(A570, NPCs!A:A, NPCs!C:C)</f>
        <v>Lost Wabbit</v>
      </c>
      <c r="G570" s="1" t="str">
        <f>LOOKUP(B570, Maps!A:A, Maps!B:B)</f>
        <v>Frigid Maze</v>
      </c>
    </row>
    <row r="571" ht="15.75" customHeight="1">
      <c r="A571" s="1">
        <v>20.0</v>
      </c>
      <c r="B571" s="1">
        <v>19.0</v>
      </c>
      <c r="C571" s="1">
        <v>98.0</v>
      </c>
      <c r="D571" s="1">
        <v>35.0</v>
      </c>
      <c r="F571" s="1" t="str">
        <f>LOOKUP(A571, NPCs!A:A, NPCs!C:C)</f>
        <v>Lost Wabbit</v>
      </c>
      <c r="G571" s="1" t="str">
        <f>LOOKUP(B571, Maps!A:A, Maps!B:B)</f>
        <v>Frigid Maze</v>
      </c>
    </row>
    <row r="572" ht="15.75" customHeight="1">
      <c r="A572" s="1">
        <v>20.0</v>
      </c>
      <c r="B572" s="1">
        <v>19.0</v>
      </c>
      <c r="C572" s="1">
        <v>10.0</v>
      </c>
      <c r="D572" s="1">
        <v>14.0</v>
      </c>
      <c r="F572" s="1" t="str">
        <f>LOOKUP(A572, NPCs!A:A, NPCs!C:C)</f>
        <v>Lost Wabbit</v>
      </c>
      <c r="G572" s="1" t="str">
        <f>LOOKUP(B572, Maps!A:A, Maps!B:B)</f>
        <v>Frigid Maze</v>
      </c>
    </row>
    <row r="573" ht="15.75" customHeight="1">
      <c r="A573" s="1">
        <v>20.0</v>
      </c>
      <c r="B573" s="1">
        <v>19.0</v>
      </c>
      <c r="C573" s="1">
        <v>19.0</v>
      </c>
      <c r="D573" s="1">
        <v>14.0</v>
      </c>
      <c r="F573" s="1" t="str">
        <f>LOOKUP(A573, NPCs!A:A, NPCs!C:C)</f>
        <v>Lost Wabbit</v>
      </c>
      <c r="G573" s="1" t="str">
        <f>LOOKUP(B573, Maps!A:A, Maps!B:B)</f>
        <v>Frigid Maze</v>
      </c>
    </row>
    <row r="574" ht="15.75" customHeight="1">
      <c r="A574" s="1">
        <v>20.0</v>
      </c>
      <c r="B574" s="1">
        <v>19.0</v>
      </c>
      <c r="C574" s="1">
        <v>21.0</v>
      </c>
      <c r="D574" s="1">
        <v>15.0</v>
      </c>
      <c r="F574" s="1" t="str">
        <f>LOOKUP(A574, NPCs!A:A, NPCs!C:C)</f>
        <v>Lost Wabbit</v>
      </c>
      <c r="G574" s="1" t="str">
        <f>LOOKUP(B574, Maps!A:A, Maps!B:B)</f>
        <v>Frigid Maze</v>
      </c>
    </row>
    <row r="575" ht="15.75" customHeight="1">
      <c r="A575" s="1">
        <v>20.0</v>
      </c>
      <c r="B575" s="1">
        <v>19.0</v>
      </c>
      <c r="C575" s="1">
        <v>21.0</v>
      </c>
      <c r="D575" s="1">
        <v>22.0</v>
      </c>
      <c r="F575" s="1" t="str">
        <f>LOOKUP(A575, NPCs!A:A, NPCs!C:C)</f>
        <v>Lost Wabbit</v>
      </c>
      <c r="G575" s="1" t="str">
        <f>LOOKUP(B575, Maps!A:A, Maps!B:B)</f>
        <v>Frigid Maze</v>
      </c>
    </row>
    <row r="576" ht="15.75" customHeight="1">
      <c r="A576" s="1">
        <v>20.0</v>
      </c>
      <c r="B576" s="1">
        <v>19.0</v>
      </c>
      <c r="C576" s="1">
        <v>21.0</v>
      </c>
      <c r="D576" s="1">
        <v>28.0</v>
      </c>
      <c r="F576" s="1" t="str">
        <f>LOOKUP(A576, NPCs!A:A, NPCs!C:C)</f>
        <v>Lost Wabbit</v>
      </c>
      <c r="G576" s="1" t="str">
        <f>LOOKUP(B576, Maps!A:A, Maps!B:B)</f>
        <v>Frigid Maze</v>
      </c>
    </row>
    <row r="577" ht="15.75" customHeight="1">
      <c r="A577" s="1">
        <v>20.0</v>
      </c>
      <c r="B577" s="1">
        <v>19.0</v>
      </c>
      <c r="C577" s="1">
        <v>20.0</v>
      </c>
      <c r="D577" s="1">
        <v>28.0</v>
      </c>
      <c r="F577" s="1" t="str">
        <f>LOOKUP(A577, NPCs!A:A, NPCs!C:C)</f>
        <v>Lost Wabbit</v>
      </c>
      <c r="G577" s="1" t="str">
        <f>LOOKUP(B577, Maps!A:A, Maps!B:B)</f>
        <v>Frigid Maze</v>
      </c>
    </row>
    <row r="578" ht="15.75" customHeight="1">
      <c r="A578" s="1">
        <v>20.0</v>
      </c>
      <c r="B578" s="1">
        <v>19.0</v>
      </c>
      <c r="C578" s="1">
        <v>22.0</v>
      </c>
      <c r="D578" s="1">
        <v>38.0</v>
      </c>
      <c r="F578" s="1" t="str">
        <f>LOOKUP(A578, NPCs!A:A, NPCs!C:C)</f>
        <v>Lost Wabbit</v>
      </c>
      <c r="G578" s="1" t="str">
        <f>LOOKUP(B578, Maps!A:A, Maps!B:B)</f>
        <v>Frigid Maze</v>
      </c>
    </row>
    <row r="579" ht="15.75" customHeight="1">
      <c r="A579" s="1">
        <v>20.0</v>
      </c>
      <c r="B579" s="1">
        <v>19.0</v>
      </c>
      <c r="C579" s="1">
        <v>22.0</v>
      </c>
      <c r="D579" s="1">
        <v>39.0</v>
      </c>
      <c r="F579" s="1" t="str">
        <f>LOOKUP(A579, NPCs!A:A, NPCs!C:C)</f>
        <v>Lost Wabbit</v>
      </c>
      <c r="G579" s="1" t="str">
        <f>LOOKUP(B579, Maps!A:A, Maps!B:B)</f>
        <v>Frigid Maze</v>
      </c>
    </row>
    <row r="580" ht="15.75" customHeight="1">
      <c r="A580" s="1">
        <v>20.0</v>
      </c>
      <c r="B580" s="1">
        <v>19.0</v>
      </c>
      <c r="C580" s="1">
        <v>34.0</v>
      </c>
      <c r="D580" s="1">
        <v>43.0</v>
      </c>
      <c r="F580" s="1" t="str">
        <f>LOOKUP(A580, NPCs!A:A, NPCs!C:C)</f>
        <v>Lost Wabbit</v>
      </c>
      <c r="G580" s="1" t="str">
        <f>LOOKUP(B580, Maps!A:A, Maps!B:B)</f>
        <v>Frigid Maze</v>
      </c>
    </row>
    <row r="581" ht="15.75" customHeight="1">
      <c r="A581" s="1">
        <v>20.0</v>
      </c>
      <c r="B581" s="1">
        <v>19.0</v>
      </c>
      <c r="C581" s="1">
        <v>34.0</v>
      </c>
      <c r="D581" s="1">
        <v>42.0</v>
      </c>
      <c r="F581" s="1" t="str">
        <f>LOOKUP(A581, NPCs!A:A, NPCs!C:C)</f>
        <v>Lost Wabbit</v>
      </c>
      <c r="G581" s="1" t="str">
        <f>LOOKUP(B581, Maps!A:A, Maps!B:B)</f>
        <v>Frigid Maze</v>
      </c>
    </row>
    <row r="582" ht="15.75" customHeight="1">
      <c r="A582" s="1">
        <v>20.0</v>
      </c>
      <c r="B582" s="1">
        <v>19.0</v>
      </c>
      <c r="C582" s="1">
        <v>34.0</v>
      </c>
      <c r="D582" s="1">
        <v>33.0</v>
      </c>
      <c r="F582" s="1" t="str">
        <f>LOOKUP(A582, NPCs!A:A, NPCs!C:C)</f>
        <v>Lost Wabbit</v>
      </c>
      <c r="G582" s="1" t="str">
        <f>LOOKUP(B582, Maps!A:A, Maps!B:B)</f>
        <v>Frigid Maze</v>
      </c>
    </row>
    <row r="583" ht="15.75" customHeight="1">
      <c r="A583" s="1">
        <v>20.0</v>
      </c>
      <c r="B583" s="1">
        <v>19.0</v>
      </c>
      <c r="C583" s="1">
        <v>34.0</v>
      </c>
      <c r="D583" s="1">
        <v>31.0</v>
      </c>
      <c r="F583" s="1" t="str">
        <f>LOOKUP(A583, NPCs!A:A, NPCs!C:C)</f>
        <v>Lost Wabbit</v>
      </c>
      <c r="G583" s="1" t="str">
        <f>LOOKUP(B583, Maps!A:A, Maps!B:B)</f>
        <v>Frigid Maze</v>
      </c>
    </row>
    <row r="584" ht="15.75" customHeight="1">
      <c r="A584" s="1">
        <v>20.0</v>
      </c>
      <c r="B584" s="1">
        <v>19.0</v>
      </c>
      <c r="C584" s="1">
        <v>34.0</v>
      </c>
      <c r="D584" s="1">
        <v>20.0</v>
      </c>
      <c r="F584" s="1" t="str">
        <f>LOOKUP(A584, NPCs!A:A, NPCs!C:C)</f>
        <v>Lost Wabbit</v>
      </c>
      <c r="G584" s="1" t="str">
        <f>LOOKUP(B584, Maps!A:A, Maps!B:B)</f>
        <v>Frigid Maze</v>
      </c>
    </row>
    <row r="585" ht="15.75" customHeight="1">
      <c r="A585" s="1">
        <v>20.0</v>
      </c>
      <c r="B585" s="1">
        <v>19.0</v>
      </c>
      <c r="C585" s="1">
        <v>33.0</v>
      </c>
      <c r="D585" s="1">
        <v>16.0</v>
      </c>
      <c r="F585" s="1" t="str">
        <f>LOOKUP(A585, NPCs!A:A, NPCs!C:C)</f>
        <v>Lost Wabbit</v>
      </c>
      <c r="G585" s="1" t="str">
        <f>LOOKUP(B585, Maps!A:A, Maps!B:B)</f>
        <v>Frigid Maze</v>
      </c>
    </row>
    <row r="586" ht="15.75" customHeight="1">
      <c r="A586" s="1">
        <v>20.0</v>
      </c>
      <c r="B586" s="1">
        <v>19.0</v>
      </c>
      <c r="C586" s="1">
        <v>27.0</v>
      </c>
      <c r="D586" s="1">
        <v>16.0</v>
      </c>
      <c r="F586" s="1" t="str">
        <f>LOOKUP(A586, NPCs!A:A, NPCs!C:C)</f>
        <v>Lost Wabbit</v>
      </c>
      <c r="G586" s="1" t="str">
        <f>LOOKUP(B586, Maps!A:A, Maps!B:B)</f>
        <v>Frigid Maze</v>
      </c>
    </row>
    <row r="587" ht="15.75" customHeight="1">
      <c r="A587" s="1">
        <v>20.0</v>
      </c>
      <c r="B587" s="1">
        <v>19.0</v>
      </c>
      <c r="C587" s="1">
        <v>24.0</v>
      </c>
      <c r="D587" s="1">
        <v>17.0</v>
      </c>
      <c r="F587" s="1" t="str">
        <f>LOOKUP(A587, NPCs!A:A, NPCs!C:C)</f>
        <v>Lost Wabbit</v>
      </c>
      <c r="G587" s="1" t="str">
        <f>LOOKUP(B587, Maps!A:A, Maps!B:B)</f>
        <v>Frigid Maze</v>
      </c>
    </row>
    <row r="588" ht="15.75" customHeight="1">
      <c r="A588" s="1">
        <v>20.0</v>
      </c>
      <c r="B588" s="1">
        <v>19.0</v>
      </c>
      <c r="C588" s="1">
        <v>24.0</v>
      </c>
      <c r="D588" s="1">
        <v>18.0</v>
      </c>
      <c r="F588" s="1" t="str">
        <f>LOOKUP(A588, NPCs!A:A, NPCs!C:C)</f>
        <v>Lost Wabbit</v>
      </c>
      <c r="G588" s="1" t="str">
        <f>LOOKUP(B588, Maps!A:A, Maps!B:B)</f>
        <v>Frigid Maze</v>
      </c>
    </row>
    <row r="589" ht="15.75" customHeight="1">
      <c r="A589" s="1">
        <v>20.0</v>
      </c>
      <c r="B589" s="1">
        <v>19.0</v>
      </c>
      <c r="C589" s="1">
        <v>24.0</v>
      </c>
      <c r="D589" s="1">
        <v>33.0</v>
      </c>
      <c r="F589" s="1" t="str">
        <f>LOOKUP(A589, NPCs!A:A, NPCs!C:C)</f>
        <v>Lost Wabbit</v>
      </c>
      <c r="G589" s="1" t="str">
        <f>LOOKUP(B589, Maps!A:A, Maps!B:B)</f>
        <v>Frigid Maze</v>
      </c>
    </row>
    <row r="590" ht="15.75" customHeight="1">
      <c r="A590" s="1">
        <v>20.0</v>
      </c>
      <c r="B590" s="1">
        <v>19.0</v>
      </c>
      <c r="C590" s="1">
        <v>29.0</v>
      </c>
      <c r="D590" s="1">
        <v>44.0</v>
      </c>
      <c r="F590" s="1" t="str">
        <f>LOOKUP(A590, NPCs!A:A, NPCs!C:C)</f>
        <v>Lost Wabbit</v>
      </c>
      <c r="G590" s="1" t="str">
        <f>LOOKUP(B590, Maps!A:A, Maps!B:B)</f>
        <v>Frigid Maze</v>
      </c>
    </row>
    <row r="591" ht="15.75" customHeight="1">
      <c r="A591" s="1">
        <v>20.0</v>
      </c>
      <c r="B591" s="1">
        <v>19.0</v>
      </c>
      <c r="C591" s="1">
        <v>27.0</v>
      </c>
      <c r="D591" s="1">
        <v>22.0</v>
      </c>
      <c r="F591" s="1" t="str">
        <f>LOOKUP(A591, NPCs!A:A, NPCs!C:C)</f>
        <v>Lost Wabbit</v>
      </c>
      <c r="G591" s="1" t="str">
        <f>LOOKUP(B591, Maps!A:A, Maps!B:B)</f>
        <v>Frigid Maze</v>
      </c>
    </row>
    <row r="592" ht="15.75" customHeight="1">
      <c r="A592" s="1">
        <v>20.0</v>
      </c>
      <c r="B592" s="1">
        <v>19.0</v>
      </c>
      <c r="C592" s="1">
        <v>28.0</v>
      </c>
      <c r="D592" s="1">
        <v>35.0</v>
      </c>
      <c r="F592" s="1" t="str">
        <f>LOOKUP(A592, NPCs!A:A, NPCs!C:C)</f>
        <v>Lost Wabbit</v>
      </c>
      <c r="G592" s="1" t="str">
        <f>LOOKUP(B592, Maps!A:A, Maps!B:B)</f>
        <v>Frigid Maze</v>
      </c>
    </row>
    <row r="593" ht="15.75" customHeight="1">
      <c r="A593" s="1">
        <v>20.0</v>
      </c>
      <c r="B593" s="1">
        <v>19.0</v>
      </c>
      <c r="C593" s="1">
        <v>45.0</v>
      </c>
      <c r="D593" s="1">
        <v>34.0</v>
      </c>
      <c r="F593" s="1" t="str">
        <f>LOOKUP(A593, NPCs!A:A, NPCs!C:C)</f>
        <v>Lost Wabbit</v>
      </c>
      <c r="G593" s="1" t="str">
        <f>LOOKUP(B593, Maps!A:A, Maps!B:B)</f>
        <v>Frigid Maze</v>
      </c>
    </row>
    <row r="594" ht="15.75" customHeight="1">
      <c r="A594" s="1">
        <v>20.0</v>
      </c>
      <c r="B594" s="1">
        <v>19.0</v>
      </c>
      <c r="C594" s="1">
        <v>43.0</v>
      </c>
      <c r="D594" s="1">
        <v>10.0</v>
      </c>
      <c r="F594" s="1" t="str">
        <f>LOOKUP(A594, NPCs!A:A, NPCs!C:C)</f>
        <v>Lost Wabbit</v>
      </c>
      <c r="G594" s="1" t="str">
        <f>LOOKUP(B594, Maps!A:A, Maps!B:B)</f>
        <v>Frigid Maze</v>
      </c>
    </row>
    <row r="595" ht="15.75" customHeight="1">
      <c r="A595" s="1">
        <v>20.0</v>
      </c>
      <c r="B595" s="1">
        <v>19.0</v>
      </c>
      <c r="C595" s="1">
        <v>50.0</v>
      </c>
      <c r="D595" s="1">
        <v>30.0</v>
      </c>
      <c r="F595" s="1" t="str">
        <f>LOOKUP(A595, NPCs!A:A, NPCs!C:C)</f>
        <v>Lost Wabbit</v>
      </c>
      <c r="G595" s="1" t="str">
        <f>LOOKUP(B595, Maps!A:A, Maps!B:B)</f>
        <v>Frigid Maze</v>
      </c>
    </row>
    <row r="596" ht="15.75" customHeight="1">
      <c r="A596" s="1">
        <v>20.0</v>
      </c>
      <c r="B596" s="1">
        <v>19.0</v>
      </c>
      <c r="C596" s="1">
        <v>50.0</v>
      </c>
      <c r="D596" s="1">
        <v>32.0</v>
      </c>
      <c r="F596" s="1" t="str">
        <f>LOOKUP(A596, NPCs!A:A, NPCs!C:C)</f>
        <v>Lost Wabbit</v>
      </c>
      <c r="G596" s="1" t="str">
        <f>LOOKUP(B596, Maps!A:A, Maps!B:B)</f>
        <v>Frigid Maze</v>
      </c>
    </row>
    <row r="597" ht="15.75" customHeight="1">
      <c r="A597" s="1">
        <v>20.0</v>
      </c>
      <c r="B597" s="1">
        <v>19.0</v>
      </c>
      <c r="C597" s="1">
        <v>46.0</v>
      </c>
      <c r="D597" s="1">
        <v>49.0</v>
      </c>
      <c r="F597" s="1" t="str">
        <f>LOOKUP(A597, NPCs!A:A, NPCs!C:C)</f>
        <v>Lost Wabbit</v>
      </c>
      <c r="G597" s="1" t="str">
        <f>LOOKUP(B597, Maps!A:A, Maps!B:B)</f>
        <v>Frigid Maze</v>
      </c>
    </row>
    <row r="598" ht="15.75" customHeight="1">
      <c r="A598" s="1">
        <v>20.0</v>
      </c>
      <c r="B598" s="1">
        <v>19.0</v>
      </c>
      <c r="C598" s="1">
        <v>76.0</v>
      </c>
      <c r="D598" s="1">
        <v>49.0</v>
      </c>
      <c r="F598" s="1" t="str">
        <f>LOOKUP(A598, NPCs!A:A, NPCs!C:C)</f>
        <v>Lost Wabbit</v>
      </c>
      <c r="G598" s="1" t="str">
        <f>LOOKUP(B598, Maps!A:A, Maps!B:B)</f>
        <v>Frigid Maze</v>
      </c>
    </row>
    <row r="599" ht="15.75" customHeight="1">
      <c r="A599" s="1">
        <v>20.0</v>
      </c>
      <c r="B599" s="1">
        <v>19.0</v>
      </c>
      <c r="C599" s="1">
        <v>73.0</v>
      </c>
      <c r="D599" s="1">
        <v>42.0</v>
      </c>
      <c r="F599" s="1" t="str">
        <f>LOOKUP(A599, NPCs!A:A, NPCs!C:C)</f>
        <v>Lost Wabbit</v>
      </c>
      <c r="G599" s="1" t="str">
        <f>LOOKUP(B599, Maps!A:A, Maps!B:B)</f>
        <v>Frigid Maze</v>
      </c>
    </row>
    <row r="600" ht="15.75" customHeight="1">
      <c r="A600" s="1">
        <v>20.0</v>
      </c>
      <c r="B600" s="1">
        <v>19.0</v>
      </c>
      <c r="C600" s="1">
        <v>6.0</v>
      </c>
      <c r="D600" s="1">
        <v>50.0</v>
      </c>
      <c r="F600" s="1" t="str">
        <f>LOOKUP(A600, NPCs!A:A, NPCs!C:C)</f>
        <v>Lost Wabbit</v>
      </c>
      <c r="G600" s="1" t="str">
        <f>LOOKUP(B600, Maps!A:A, Maps!B:B)</f>
        <v>Frigid Maze</v>
      </c>
    </row>
    <row r="601" ht="15.75" customHeight="1">
      <c r="A601" s="1">
        <v>20.0</v>
      </c>
      <c r="B601" s="1">
        <v>19.0</v>
      </c>
      <c r="C601" s="1">
        <v>6.0</v>
      </c>
      <c r="D601" s="1">
        <v>56.0</v>
      </c>
      <c r="F601" s="1" t="str">
        <f>LOOKUP(A601, NPCs!A:A, NPCs!C:C)</f>
        <v>Lost Wabbit</v>
      </c>
      <c r="G601" s="1" t="str">
        <f>LOOKUP(B601, Maps!A:A, Maps!B:B)</f>
        <v>Frigid Maze</v>
      </c>
    </row>
    <row r="602" ht="15.75" customHeight="1">
      <c r="A602" s="1">
        <v>20.0</v>
      </c>
      <c r="B602" s="1">
        <v>19.0</v>
      </c>
      <c r="C602" s="1">
        <v>6.0</v>
      </c>
      <c r="D602" s="1">
        <v>57.0</v>
      </c>
      <c r="F602" s="1" t="str">
        <f>LOOKUP(A602, NPCs!A:A, NPCs!C:C)</f>
        <v>Lost Wabbit</v>
      </c>
      <c r="G602" s="1" t="str">
        <f>LOOKUP(B602, Maps!A:A, Maps!B:B)</f>
        <v>Frigid Maze</v>
      </c>
    </row>
    <row r="603" ht="15.75" customHeight="1">
      <c r="A603" s="1">
        <v>20.0</v>
      </c>
      <c r="B603" s="1">
        <v>19.0</v>
      </c>
      <c r="C603" s="1">
        <v>12.0</v>
      </c>
      <c r="D603" s="1">
        <v>58.0</v>
      </c>
      <c r="F603" s="1" t="str">
        <f>LOOKUP(A603, NPCs!A:A, NPCs!C:C)</f>
        <v>Lost Wabbit</v>
      </c>
      <c r="G603" s="1" t="str">
        <f>LOOKUP(B603, Maps!A:A, Maps!B:B)</f>
        <v>Frigid Maze</v>
      </c>
    </row>
    <row r="604" ht="15.75" customHeight="1">
      <c r="A604" s="1">
        <v>20.0</v>
      </c>
      <c r="B604" s="1">
        <v>19.0</v>
      </c>
      <c r="C604" s="1">
        <v>14.0</v>
      </c>
      <c r="D604" s="1">
        <v>51.0</v>
      </c>
      <c r="F604" s="1" t="str">
        <f>LOOKUP(A604, NPCs!A:A, NPCs!C:C)</f>
        <v>Lost Wabbit</v>
      </c>
      <c r="G604" s="1" t="str">
        <f>LOOKUP(B604, Maps!A:A, Maps!B:B)</f>
        <v>Frigid Maze</v>
      </c>
    </row>
    <row r="605" ht="15.75" customHeight="1">
      <c r="A605" s="1">
        <v>20.0</v>
      </c>
      <c r="B605" s="1">
        <v>19.0</v>
      </c>
      <c r="C605" s="1">
        <v>14.0</v>
      </c>
      <c r="D605" s="1">
        <v>52.0</v>
      </c>
      <c r="F605" s="1" t="str">
        <f>LOOKUP(A605, NPCs!A:A, NPCs!C:C)</f>
        <v>Lost Wabbit</v>
      </c>
      <c r="G605" s="1" t="str">
        <f>LOOKUP(B605, Maps!A:A, Maps!B:B)</f>
        <v>Frigid Maze</v>
      </c>
    </row>
    <row r="606" ht="15.75" customHeight="1">
      <c r="A606" s="1">
        <v>20.0</v>
      </c>
      <c r="B606" s="1">
        <v>19.0</v>
      </c>
      <c r="C606" s="1">
        <v>22.0</v>
      </c>
      <c r="D606" s="1">
        <v>55.0</v>
      </c>
      <c r="F606" s="1" t="str">
        <f>LOOKUP(A606, NPCs!A:A, NPCs!C:C)</f>
        <v>Lost Wabbit</v>
      </c>
      <c r="G606" s="1" t="str">
        <f>LOOKUP(B606, Maps!A:A, Maps!B:B)</f>
        <v>Frigid Maze</v>
      </c>
    </row>
    <row r="607" ht="15.75" customHeight="1">
      <c r="A607" s="1">
        <v>20.0</v>
      </c>
      <c r="B607" s="1">
        <v>19.0</v>
      </c>
      <c r="C607" s="1">
        <v>27.0</v>
      </c>
      <c r="D607" s="1">
        <v>55.0</v>
      </c>
      <c r="F607" s="1" t="str">
        <f>LOOKUP(A607, NPCs!A:A, NPCs!C:C)</f>
        <v>Lost Wabbit</v>
      </c>
      <c r="G607" s="1" t="str">
        <f>LOOKUP(B607, Maps!A:A, Maps!B:B)</f>
        <v>Frigid Maze</v>
      </c>
    </row>
    <row r="608" ht="15.75" customHeight="1">
      <c r="A608" s="1">
        <v>20.0</v>
      </c>
      <c r="B608" s="1">
        <v>19.0</v>
      </c>
      <c r="C608" s="1">
        <v>34.0</v>
      </c>
      <c r="D608" s="1">
        <v>58.0</v>
      </c>
      <c r="F608" s="1" t="str">
        <f>LOOKUP(A608, NPCs!A:A, NPCs!C:C)</f>
        <v>Lost Wabbit</v>
      </c>
      <c r="G608" s="1" t="str">
        <f>LOOKUP(B608, Maps!A:A, Maps!B:B)</f>
        <v>Frigid Maze</v>
      </c>
    </row>
    <row r="609" ht="15.75" customHeight="1">
      <c r="A609" s="1">
        <v>20.0</v>
      </c>
      <c r="B609" s="1">
        <v>19.0</v>
      </c>
      <c r="C609" s="1">
        <v>37.0</v>
      </c>
      <c r="D609" s="1">
        <v>58.0</v>
      </c>
      <c r="F609" s="1" t="str">
        <f>LOOKUP(A609, NPCs!A:A, NPCs!C:C)</f>
        <v>Lost Wabbit</v>
      </c>
      <c r="G609" s="1" t="str">
        <f>LOOKUP(B609, Maps!A:A, Maps!B:B)</f>
        <v>Frigid Maze</v>
      </c>
    </row>
    <row r="610" ht="15.75" customHeight="1">
      <c r="A610" s="1">
        <v>20.0</v>
      </c>
      <c r="B610" s="1">
        <v>19.0</v>
      </c>
      <c r="C610" s="1">
        <v>37.0</v>
      </c>
      <c r="D610" s="1">
        <v>61.0</v>
      </c>
      <c r="F610" s="1" t="str">
        <f>LOOKUP(A610, NPCs!A:A, NPCs!C:C)</f>
        <v>Lost Wabbit</v>
      </c>
      <c r="G610" s="1" t="str">
        <f>LOOKUP(B610, Maps!A:A, Maps!B:B)</f>
        <v>Frigid Maze</v>
      </c>
    </row>
    <row r="611" ht="15.75" customHeight="1">
      <c r="A611" s="1">
        <v>20.0</v>
      </c>
      <c r="B611" s="1">
        <v>19.0</v>
      </c>
      <c r="C611" s="1">
        <v>38.0</v>
      </c>
      <c r="D611" s="1">
        <v>61.0</v>
      </c>
      <c r="F611" s="1" t="str">
        <f>LOOKUP(A611, NPCs!A:A, NPCs!C:C)</f>
        <v>Lost Wabbit</v>
      </c>
      <c r="G611" s="1" t="str">
        <f>LOOKUP(B611, Maps!A:A, Maps!B:B)</f>
        <v>Frigid Maze</v>
      </c>
    </row>
    <row r="612" ht="15.75" customHeight="1">
      <c r="A612" s="1">
        <v>20.0</v>
      </c>
      <c r="B612" s="1">
        <v>19.0</v>
      </c>
      <c r="C612" s="1">
        <v>36.0</v>
      </c>
      <c r="D612" s="1">
        <v>59.0</v>
      </c>
      <c r="F612" s="1" t="str">
        <f>LOOKUP(A612, NPCs!A:A, NPCs!C:C)</f>
        <v>Lost Wabbit</v>
      </c>
      <c r="G612" s="1" t="str">
        <f>LOOKUP(B612, Maps!A:A, Maps!B:B)</f>
        <v>Frigid Maze</v>
      </c>
    </row>
    <row r="613" ht="15.75" customHeight="1">
      <c r="A613" s="1">
        <v>20.0</v>
      </c>
      <c r="B613" s="1">
        <v>19.0</v>
      </c>
      <c r="C613" s="1">
        <v>94.0</v>
      </c>
      <c r="D613" s="1">
        <v>61.0</v>
      </c>
      <c r="F613" s="1" t="str">
        <f>LOOKUP(A613, NPCs!A:A, NPCs!C:C)</f>
        <v>Lost Wabbit</v>
      </c>
      <c r="G613" s="1" t="str">
        <f>LOOKUP(B613, Maps!A:A, Maps!B:B)</f>
        <v>Frigid Maze</v>
      </c>
    </row>
    <row r="614" ht="15.75" customHeight="1">
      <c r="A614" s="1">
        <v>20.0</v>
      </c>
      <c r="B614" s="1">
        <v>19.0</v>
      </c>
      <c r="C614" s="1">
        <v>97.0</v>
      </c>
      <c r="D614" s="1">
        <v>61.0</v>
      </c>
      <c r="F614" s="1" t="str">
        <f>LOOKUP(A614, NPCs!A:A, NPCs!C:C)</f>
        <v>Lost Wabbit</v>
      </c>
      <c r="G614" s="1" t="str">
        <f>LOOKUP(B614, Maps!A:A, Maps!B:B)</f>
        <v>Frigid Maze</v>
      </c>
    </row>
    <row r="615" ht="15.75" customHeight="1">
      <c r="A615" s="1">
        <v>20.0</v>
      </c>
      <c r="B615" s="1">
        <v>19.0</v>
      </c>
      <c r="C615" s="1">
        <v>78.0</v>
      </c>
      <c r="D615" s="1">
        <v>52.0</v>
      </c>
      <c r="F615" s="1" t="str">
        <f>LOOKUP(A615, NPCs!A:A, NPCs!C:C)</f>
        <v>Lost Wabbit</v>
      </c>
      <c r="G615" s="1" t="str">
        <f>LOOKUP(B615, Maps!A:A, Maps!B:B)</f>
        <v>Frigid Maze</v>
      </c>
    </row>
    <row r="616" ht="15.75" customHeight="1">
      <c r="A616" s="1">
        <v>20.0</v>
      </c>
      <c r="B616" s="1">
        <v>19.0</v>
      </c>
      <c r="C616" s="1">
        <v>43.0</v>
      </c>
      <c r="D616" s="1">
        <v>54.0</v>
      </c>
      <c r="F616" s="1" t="str">
        <f>LOOKUP(A616, NPCs!A:A, NPCs!C:C)</f>
        <v>Lost Wabbit</v>
      </c>
      <c r="G616" s="1" t="str">
        <f>LOOKUP(B616, Maps!A:A, Maps!B:B)</f>
        <v>Frigid Maze</v>
      </c>
    </row>
    <row r="617" ht="15.75" customHeight="1">
      <c r="A617" s="1">
        <v>20.0</v>
      </c>
      <c r="B617" s="1">
        <v>19.0</v>
      </c>
      <c r="C617" s="1">
        <v>47.0</v>
      </c>
      <c r="D617" s="1">
        <v>54.0</v>
      </c>
      <c r="F617" s="1" t="str">
        <f>LOOKUP(A617, NPCs!A:A, NPCs!C:C)</f>
        <v>Lost Wabbit</v>
      </c>
      <c r="G617" s="1" t="str">
        <f>LOOKUP(B617, Maps!A:A, Maps!B:B)</f>
        <v>Frigid Maze</v>
      </c>
    </row>
    <row r="618" ht="15.75" customHeight="1">
      <c r="A618" s="1">
        <v>20.0</v>
      </c>
      <c r="B618" s="1">
        <v>19.0</v>
      </c>
      <c r="C618" s="1">
        <v>48.0</v>
      </c>
      <c r="D618" s="1">
        <v>54.0</v>
      </c>
      <c r="F618" s="1" t="str">
        <f>LOOKUP(A618, NPCs!A:A, NPCs!C:C)</f>
        <v>Lost Wabbit</v>
      </c>
      <c r="G618" s="1" t="str">
        <f>LOOKUP(B618, Maps!A:A, Maps!B:B)</f>
        <v>Frigid Maze</v>
      </c>
    </row>
    <row r="619" ht="15.75" customHeight="1">
      <c r="A619" s="1">
        <v>20.0</v>
      </c>
      <c r="B619" s="1">
        <v>19.0</v>
      </c>
      <c r="C619" s="1">
        <v>53.0</v>
      </c>
      <c r="D619" s="1">
        <v>56.0</v>
      </c>
      <c r="F619" s="1" t="str">
        <f>LOOKUP(A619, NPCs!A:A, NPCs!C:C)</f>
        <v>Lost Wabbit</v>
      </c>
      <c r="G619" s="1" t="str">
        <f>LOOKUP(B619, Maps!A:A, Maps!B:B)</f>
        <v>Frigid Maze</v>
      </c>
    </row>
    <row r="620" ht="15.75" customHeight="1">
      <c r="A620" s="1">
        <v>20.0</v>
      </c>
      <c r="B620" s="1">
        <v>19.0</v>
      </c>
      <c r="C620" s="1">
        <v>64.0</v>
      </c>
      <c r="D620" s="1">
        <v>60.0</v>
      </c>
      <c r="F620" s="1" t="str">
        <f>LOOKUP(A620, NPCs!A:A, NPCs!C:C)</f>
        <v>Lost Wabbit</v>
      </c>
      <c r="G620" s="1" t="str">
        <f>LOOKUP(B620, Maps!A:A, Maps!B:B)</f>
        <v>Frigid Maze</v>
      </c>
    </row>
    <row r="621" ht="15.75" customHeight="1">
      <c r="A621" s="1">
        <v>20.0</v>
      </c>
      <c r="B621" s="1">
        <v>19.0</v>
      </c>
      <c r="C621" s="1">
        <v>65.0</v>
      </c>
      <c r="D621" s="1">
        <v>56.0</v>
      </c>
      <c r="F621" s="1" t="str">
        <f>LOOKUP(A621, NPCs!A:A, NPCs!C:C)</f>
        <v>Lost Wabbit</v>
      </c>
      <c r="G621" s="1" t="str">
        <f>LOOKUP(B621, Maps!A:A, Maps!B:B)</f>
        <v>Frigid Maze</v>
      </c>
    </row>
    <row r="622" ht="15.75" customHeight="1">
      <c r="A622" s="1">
        <v>20.0</v>
      </c>
      <c r="B622" s="1">
        <v>19.0</v>
      </c>
      <c r="C622" s="1">
        <v>75.0</v>
      </c>
      <c r="D622" s="1">
        <v>56.0</v>
      </c>
      <c r="F622" s="1" t="str">
        <f>LOOKUP(A622, NPCs!A:A, NPCs!C:C)</f>
        <v>Lost Wabbit</v>
      </c>
      <c r="G622" s="1" t="str">
        <f>LOOKUP(B622, Maps!A:A, Maps!B:B)</f>
        <v>Frigid Maze</v>
      </c>
    </row>
    <row r="623" ht="15.75" customHeight="1">
      <c r="A623" s="1">
        <v>20.0</v>
      </c>
      <c r="B623" s="1">
        <v>19.0</v>
      </c>
      <c r="C623" s="1">
        <v>85.0</v>
      </c>
      <c r="D623" s="1">
        <v>56.0</v>
      </c>
      <c r="F623" s="1" t="str">
        <f>LOOKUP(A623, NPCs!A:A, NPCs!C:C)</f>
        <v>Lost Wabbit</v>
      </c>
      <c r="G623" s="1" t="str">
        <f>LOOKUP(B623, Maps!A:A, Maps!B:B)</f>
        <v>Frigid Maze</v>
      </c>
    </row>
    <row r="624" ht="15.75" customHeight="1">
      <c r="A624" s="1">
        <v>20.0</v>
      </c>
      <c r="B624" s="1">
        <v>19.0</v>
      </c>
      <c r="C624" s="1">
        <v>90.0</v>
      </c>
      <c r="D624" s="1">
        <v>56.0</v>
      </c>
      <c r="F624" s="1" t="str">
        <f>LOOKUP(A624, NPCs!A:A, NPCs!C:C)</f>
        <v>Lost Wabbit</v>
      </c>
      <c r="G624" s="1" t="str">
        <f>LOOKUP(B624, Maps!A:A, Maps!B:B)</f>
        <v>Frigid Maze</v>
      </c>
    </row>
    <row r="625" ht="15.75" customHeight="1">
      <c r="A625" s="1">
        <v>20.0</v>
      </c>
      <c r="B625" s="1">
        <v>19.0</v>
      </c>
      <c r="C625" s="1">
        <v>30.0</v>
      </c>
      <c r="D625" s="1">
        <v>59.0</v>
      </c>
      <c r="F625" s="1" t="str">
        <f>LOOKUP(A625, NPCs!A:A, NPCs!C:C)</f>
        <v>Lost Wabbit</v>
      </c>
      <c r="G625" s="1" t="str">
        <f>LOOKUP(B625, Maps!A:A, Maps!B:B)</f>
        <v>Frigid Maze</v>
      </c>
    </row>
    <row r="626" ht="15.75" customHeight="1">
      <c r="A626" s="1">
        <v>20.0</v>
      </c>
      <c r="B626" s="1">
        <v>19.0</v>
      </c>
      <c r="C626" s="1">
        <v>30.0</v>
      </c>
      <c r="D626" s="1">
        <v>60.0</v>
      </c>
      <c r="F626" s="1" t="str">
        <f>LOOKUP(A626, NPCs!A:A, NPCs!C:C)</f>
        <v>Lost Wabbit</v>
      </c>
      <c r="G626" s="1" t="str">
        <f>LOOKUP(B626, Maps!A:A, Maps!B:B)</f>
        <v>Frigid Maze</v>
      </c>
    </row>
    <row r="627" ht="15.75" customHeight="1">
      <c r="A627" s="1">
        <v>20.0</v>
      </c>
      <c r="B627" s="1">
        <v>19.0</v>
      </c>
      <c r="C627" s="1">
        <v>26.0</v>
      </c>
      <c r="D627" s="1">
        <v>60.0</v>
      </c>
      <c r="F627" s="1" t="str">
        <f>LOOKUP(A627, NPCs!A:A, NPCs!C:C)</f>
        <v>Lost Wabbit</v>
      </c>
      <c r="G627" s="1" t="str">
        <f>LOOKUP(B627, Maps!A:A, Maps!B:B)</f>
        <v>Frigid Maze</v>
      </c>
    </row>
    <row r="628" ht="15.75" customHeight="1">
      <c r="A628" s="1">
        <v>20.0</v>
      </c>
      <c r="B628" s="1">
        <v>19.0</v>
      </c>
      <c r="C628" s="1">
        <v>18.0</v>
      </c>
      <c r="D628" s="1">
        <v>60.0</v>
      </c>
      <c r="F628" s="1" t="str">
        <f>LOOKUP(A628, NPCs!A:A, NPCs!C:C)</f>
        <v>Lost Wabbit</v>
      </c>
      <c r="G628" s="1" t="str">
        <f>LOOKUP(B628, Maps!A:A, Maps!B:B)</f>
        <v>Frigid Maze</v>
      </c>
    </row>
    <row r="629" ht="15.75" customHeight="1">
      <c r="A629" s="1">
        <v>20.0</v>
      </c>
      <c r="B629" s="1">
        <v>19.0</v>
      </c>
      <c r="C629" s="1">
        <v>19.0</v>
      </c>
      <c r="D629" s="1">
        <v>59.0</v>
      </c>
      <c r="F629" s="1" t="str">
        <f>LOOKUP(A629, NPCs!A:A, NPCs!C:C)</f>
        <v>Lost Wabbit</v>
      </c>
      <c r="G629" s="1" t="str">
        <f>LOOKUP(B629, Maps!A:A, Maps!B:B)</f>
        <v>Frigid Maze</v>
      </c>
    </row>
    <row r="630" ht="15.75" customHeight="1">
      <c r="A630" s="1">
        <v>20.0</v>
      </c>
      <c r="B630" s="1">
        <v>19.0</v>
      </c>
      <c r="C630" s="1">
        <v>35.0</v>
      </c>
      <c r="D630" s="1">
        <v>65.0</v>
      </c>
      <c r="F630" s="1" t="str">
        <f>LOOKUP(A630, NPCs!A:A, NPCs!C:C)</f>
        <v>Lost Wabbit</v>
      </c>
      <c r="G630" s="1" t="str">
        <f>LOOKUP(B630, Maps!A:A, Maps!B:B)</f>
        <v>Frigid Maze</v>
      </c>
    </row>
    <row r="631" ht="15.75" customHeight="1">
      <c r="A631" s="1">
        <v>20.0</v>
      </c>
      <c r="B631" s="1">
        <v>19.0</v>
      </c>
      <c r="C631" s="1">
        <v>41.0</v>
      </c>
      <c r="D631" s="1">
        <v>65.0</v>
      </c>
      <c r="F631" s="1" t="str">
        <f>LOOKUP(A631, NPCs!A:A, NPCs!C:C)</f>
        <v>Lost Wabbit</v>
      </c>
      <c r="G631" s="1" t="str">
        <f>LOOKUP(B631, Maps!A:A, Maps!B:B)</f>
        <v>Frigid Maze</v>
      </c>
    </row>
    <row r="632" ht="15.75" customHeight="1">
      <c r="A632" s="1">
        <v>20.0</v>
      </c>
      <c r="B632" s="1">
        <v>19.0</v>
      </c>
      <c r="C632" s="1">
        <v>51.0</v>
      </c>
      <c r="D632" s="1">
        <v>65.0</v>
      </c>
      <c r="F632" s="1" t="str">
        <f>LOOKUP(A632, NPCs!A:A, NPCs!C:C)</f>
        <v>Lost Wabbit</v>
      </c>
      <c r="G632" s="1" t="str">
        <f>LOOKUP(B632, Maps!A:A, Maps!B:B)</f>
        <v>Frigid Maze</v>
      </c>
    </row>
    <row r="633" ht="15.75" customHeight="1">
      <c r="A633" s="1">
        <v>20.0</v>
      </c>
      <c r="B633" s="1">
        <v>19.0</v>
      </c>
      <c r="C633" s="1">
        <v>25.0</v>
      </c>
      <c r="D633" s="1">
        <v>48.0</v>
      </c>
      <c r="F633" s="1" t="str">
        <f>LOOKUP(A633, NPCs!A:A, NPCs!C:C)</f>
        <v>Lost Wabbit</v>
      </c>
      <c r="G633" s="1" t="str">
        <f>LOOKUP(B633, Maps!A:A, Maps!B:B)</f>
        <v>Frigid Maze</v>
      </c>
    </row>
    <row r="634" ht="15.75" customHeight="1">
      <c r="A634" s="1">
        <v>20.0</v>
      </c>
      <c r="B634" s="1">
        <v>19.0</v>
      </c>
      <c r="C634" s="1">
        <v>28.0</v>
      </c>
      <c r="D634" s="1">
        <v>48.0</v>
      </c>
      <c r="F634" s="1" t="str">
        <f>LOOKUP(A634, NPCs!A:A, NPCs!C:C)</f>
        <v>Lost Wabbit</v>
      </c>
      <c r="G634" s="1" t="str">
        <f>LOOKUP(B634, Maps!A:A, Maps!B:B)</f>
        <v>Frigid Maze</v>
      </c>
    </row>
    <row r="635" ht="15.75" customHeight="1">
      <c r="A635" s="1">
        <v>20.0</v>
      </c>
      <c r="B635" s="1">
        <v>19.0</v>
      </c>
      <c r="C635" s="1">
        <v>31.0</v>
      </c>
      <c r="D635" s="1">
        <v>51.0</v>
      </c>
      <c r="F635" s="1" t="str">
        <f>LOOKUP(A635, NPCs!A:A, NPCs!C:C)</f>
        <v>Lost Wabbit</v>
      </c>
      <c r="G635" s="1" t="str">
        <f>LOOKUP(B635, Maps!A:A, Maps!B:B)</f>
        <v>Frigid Maze</v>
      </c>
    </row>
    <row r="636" ht="15.75" customHeight="1">
      <c r="A636" s="1">
        <v>20.0</v>
      </c>
      <c r="B636" s="1">
        <v>19.0</v>
      </c>
      <c r="C636" s="1">
        <v>19.0</v>
      </c>
      <c r="D636" s="1">
        <v>53.0</v>
      </c>
      <c r="F636" s="1" t="str">
        <f>LOOKUP(A636, NPCs!A:A, NPCs!C:C)</f>
        <v>Lost Wabbit</v>
      </c>
      <c r="G636" s="1" t="str">
        <f>LOOKUP(B636, Maps!A:A, Maps!B:B)</f>
        <v>Frigid Maze</v>
      </c>
    </row>
    <row r="637" ht="15.75" customHeight="1">
      <c r="A637" s="1">
        <v>20.0</v>
      </c>
      <c r="B637" s="1">
        <v>19.0</v>
      </c>
      <c r="C637" s="1">
        <v>33.0</v>
      </c>
      <c r="D637" s="1">
        <v>53.0</v>
      </c>
      <c r="F637" s="1" t="str">
        <f>LOOKUP(A637, NPCs!A:A, NPCs!C:C)</f>
        <v>Lost Wabbit</v>
      </c>
      <c r="G637" s="1" t="str">
        <f>LOOKUP(B637, Maps!A:A, Maps!B:B)</f>
        <v>Frigid Maze</v>
      </c>
    </row>
    <row r="638" ht="15.75" customHeight="1">
      <c r="A638" s="1">
        <v>20.0</v>
      </c>
      <c r="B638" s="1">
        <v>19.0</v>
      </c>
      <c r="C638" s="1">
        <v>34.0</v>
      </c>
      <c r="D638" s="1">
        <v>53.0</v>
      </c>
      <c r="F638" s="1" t="str">
        <f>LOOKUP(A638, NPCs!A:A, NPCs!C:C)</f>
        <v>Lost Wabbit</v>
      </c>
      <c r="G638" s="1" t="str">
        <f>LOOKUP(B638, Maps!A:A, Maps!B:B)</f>
        <v>Frigid Maze</v>
      </c>
    </row>
    <row r="639" ht="15.75" customHeight="1">
      <c r="A639" s="1">
        <v>20.0</v>
      </c>
      <c r="B639" s="1">
        <v>19.0</v>
      </c>
      <c r="C639" s="1">
        <v>40.0</v>
      </c>
      <c r="D639" s="1">
        <v>53.0</v>
      </c>
      <c r="F639" s="1" t="str">
        <f>LOOKUP(A639, NPCs!A:A, NPCs!C:C)</f>
        <v>Lost Wabbit</v>
      </c>
      <c r="G639" s="1" t="str">
        <f>LOOKUP(B639, Maps!A:A, Maps!B:B)</f>
        <v>Frigid Maze</v>
      </c>
    </row>
    <row r="640" ht="15.75" customHeight="1">
      <c r="A640" s="1">
        <v>20.0</v>
      </c>
      <c r="B640" s="1">
        <v>19.0</v>
      </c>
      <c r="C640" s="1">
        <v>43.0</v>
      </c>
      <c r="D640" s="1">
        <v>50.0</v>
      </c>
      <c r="F640" s="1" t="str">
        <f>LOOKUP(A640, NPCs!A:A, NPCs!C:C)</f>
        <v>Lost Wabbit</v>
      </c>
      <c r="G640" s="1" t="str">
        <f>LOOKUP(B640, Maps!A:A, Maps!B:B)</f>
        <v>Frigid Maze</v>
      </c>
    </row>
    <row r="641" ht="15.75" customHeight="1">
      <c r="A641" s="1">
        <v>20.0</v>
      </c>
      <c r="B641" s="1">
        <v>19.0</v>
      </c>
      <c r="C641" s="1">
        <v>43.0</v>
      </c>
      <c r="D641" s="1">
        <v>52.0</v>
      </c>
      <c r="F641" s="1" t="str">
        <f>LOOKUP(A641, NPCs!A:A, NPCs!C:C)</f>
        <v>Lost Wabbit</v>
      </c>
      <c r="G641" s="1" t="str">
        <f>LOOKUP(B641, Maps!A:A, Maps!B:B)</f>
        <v>Frigid Maze</v>
      </c>
    </row>
    <row r="642" ht="15.75" customHeight="1">
      <c r="A642" s="1">
        <v>20.0</v>
      </c>
      <c r="B642" s="1">
        <v>19.0</v>
      </c>
      <c r="C642" s="1">
        <v>44.0</v>
      </c>
      <c r="D642" s="1">
        <v>52.0</v>
      </c>
      <c r="F642" s="1" t="str">
        <f>LOOKUP(A642, NPCs!A:A, NPCs!C:C)</f>
        <v>Lost Wabbit</v>
      </c>
      <c r="G642" s="1" t="str">
        <f>LOOKUP(B642, Maps!A:A, Maps!B:B)</f>
        <v>Frigid Maze</v>
      </c>
    </row>
    <row r="643" ht="15.75" customHeight="1">
      <c r="A643" s="1">
        <v>20.0</v>
      </c>
      <c r="B643" s="1">
        <v>19.0</v>
      </c>
      <c r="C643" s="1">
        <v>45.0</v>
      </c>
      <c r="D643" s="1">
        <v>50.0</v>
      </c>
      <c r="F643" s="1" t="str">
        <f>LOOKUP(A643, NPCs!A:A, NPCs!C:C)</f>
        <v>Lost Wabbit</v>
      </c>
      <c r="G643" s="1" t="str">
        <f>LOOKUP(B643, Maps!A:A, Maps!B:B)</f>
        <v>Frigid Maze</v>
      </c>
    </row>
    <row r="644" ht="15.75" customHeight="1">
      <c r="A644" s="1">
        <v>20.0</v>
      </c>
      <c r="B644" s="1">
        <v>19.0</v>
      </c>
      <c r="C644" s="1">
        <v>48.0</v>
      </c>
      <c r="D644" s="1">
        <v>50.0</v>
      </c>
      <c r="F644" s="1" t="str">
        <f>LOOKUP(A644, NPCs!A:A, NPCs!C:C)</f>
        <v>Lost Wabbit</v>
      </c>
      <c r="G644" s="1" t="str">
        <f>LOOKUP(B644, Maps!A:A, Maps!B:B)</f>
        <v>Frigid Maze</v>
      </c>
    </row>
    <row r="645" ht="15.75" customHeight="1">
      <c r="A645" s="1">
        <v>20.0</v>
      </c>
      <c r="B645" s="1">
        <v>19.0</v>
      </c>
      <c r="C645" s="1">
        <v>54.0</v>
      </c>
      <c r="D645" s="1">
        <v>52.0</v>
      </c>
      <c r="F645" s="1" t="str">
        <f>LOOKUP(A645, NPCs!A:A, NPCs!C:C)</f>
        <v>Lost Wabbit</v>
      </c>
      <c r="G645" s="1" t="str">
        <f>LOOKUP(B645, Maps!A:A, Maps!B:B)</f>
        <v>Frigid Maze</v>
      </c>
    </row>
    <row r="646" ht="15.75" customHeight="1">
      <c r="A646" s="1">
        <v>20.0</v>
      </c>
      <c r="B646" s="1">
        <v>19.0</v>
      </c>
      <c r="C646" s="1">
        <v>53.0</v>
      </c>
      <c r="D646" s="1">
        <v>52.0</v>
      </c>
      <c r="F646" s="1" t="str">
        <f>LOOKUP(A646, NPCs!A:A, NPCs!C:C)</f>
        <v>Lost Wabbit</v>
      </c>
      <c r="G646" s="1" t="str">
        <f>LOOKUP(B646, Maps!A:A, Maps!B:B)</f>
        <v>Frigid Maze</v>
      </c>
    </row>
    <row r="647" ht="15.75" customHeight="1">
      <c r="A647" s="1">
        <v>20.0</v>
      </c>
      <c r="B647" s="1">
        <v>19.0</v>
      </c>
      <c r="C647" s="1">
        <v>52.0</v>
      </c>
      <c r="D647" s="1">
        <v>52.0</v>
      </c>
      <c r="F647" s="1" t="str">
        <f>LOOKUP(A647, NPCs!A:A, NPCs!C:C)</f>
        <v>Lost Wabbit</v>
      </c>
      <c r="G647" s="1" t="str">
        <f>LOOKUP(B647, Maps!A:A, Maps!B:B)</f>
        <v>Frigid Maze</v>
      </c>
    </row>
    <row r="648" ht="15.75" customHeight="1">
      <c r="A648" s="1">
        <v>20.0</v>
      </c>
      <c r="B648" s="1">
        <v>19.0</v>
      </c>
      <c r="C648" s="1">
        <v>52.0</v>
      </c>
      <c r="D648" s="1">
        <v>48.0</v>
      </c>
      <c r="F648" s="1" t="str">
        <f>LOOKUP(A648, NPCs!A:A, NPCs!C:C)</f>
        <v>Lost Wabbit</v>
      </c>
      <c r="G648" s="1" t="str">
        <f>LOOKUP(B648, Maps!A:A, Maps!B:B)</f>
        <v>Frigid Maze</v>
      </c>
    </row>
    <row r="649" ht="15.75" customHeight="1">
      <c r="A649" s="1">
        <v>20.0</v>
      </c>
      <c r="B649" s="1">
        <v>19.0</v>
      </c>
      <c r="C649" s="1">
        <v>70.0</v>
      </c>
      <c r="D649" s="1">
        <v>52.0</v>
      </c>
      <c r="F649" s="1" t="str">
        <f>LOOKUP(A649, NPCs!A:A, NPCs!C:C)</f>
        <v>Lost Wabbit</v>
      </c>
      <c r="G649" s="1" t="str">
        <f>LOOKUP(B649, Maps!A:A, Maps!B:B)</f>
        <v>Frigid Maze</v>
      </c>
    </row>
    <row r="650" ht="15.75" customHeight="1">
      <c r="A650" s="1">
        <v>20.0</v>
      </c>
      <c r="B650" s="1">
        <v>19.0</v>
      </c>
      <c r="C650" s="1">
        <v>85.0</v>
      </c>
      <c r="D650" s="1">
        <v>52.0</v>
      </c>
      <c r="F650" s="1" t="str">
        <f>LOOKUP(A650, NPCs!A:A, NPCs!C:C)</f>
        <v>Lost Wabbit</v>
      </c>
      <c r="G650" s="1" t="str">
        <f>LOOKUP(B650, Maps!A:A, Maps!B:B)</f>
        <v>Frigid Maze</v>
      </c>
    </row>
    <row r="651" ht="15.75" customHeight="1">
      <c r="A651" s="1">
        <v>20.0</v>
      </c>
      <c r="B651" s="1">
        <v>19.0</v>
      </c>
      <c r="C651" s="1">
        <v>62.0</v>
      </c>
      <c r="D651" s="1">
        <v>61.0</v>
      </c>
      <c r="F651" s="1" t="str">
        <f>LOOKUP(A651, NPCs!A:A, NPCs!C:C)</f>
        <v>Lost Wabbit</v>
      </c>
      <c r="G651" s="1" t="str">
        <f>LOOKUP(B651, Maps!A:A, Maps!B:B)</f>
        <v>Frigid Maze</v>
      </c>
    </row>
    <row r="652" ht="15.75" customHeight="1">
      <c r="A652" s="1">
        <v>20.0</v>
      </c>
      <c r="B652" s="1">
        <v>19.0</v>
      </c>
      <c r="C652" s="1">
        <v>60.0</v>
      </c>
      <c r="D652" s="1">
        <v>59.0</v>
      </c>
      <c r="F652" s="1" t="str">
        <f>LOOKUP(A652, NPCs!A:A, NPCs!C:C)</f>
        <v>Lost Wabbit</v>
      </c>
      <c r="G652" s="1" t="str">
        <f>LOOKUP(B652, Maps!A:A, Maps!B:B)</f>
        <v>Frigid Maze</v>
      </c>
    </row>
    <row r="653" ht="15.75" customHeight="1">
      <c r="A653" s="1">
        <v>20.0</v>
      </c>
      <c r="B653" s="1">
        <v>19.0</v>
      </c>
      <c r="C653" s="1">
        <v>59.0</v>
      </c>
      <c r="D653" s="1">
        <v>59.0</v>
      </c>
      <c r="F653" s="1" t="str">
        <f>LOOKUP(A653, NPCs!A:A, NPCs!C:C)</f>
        <v>Lost Wabbit</v>
      </c>
      <c r="G653" s="1" t="str">
        <f>LOOKUP(B653, Maps!A:A, Maps!B:B)</f>
        <v>Frigid Maze</v>
      </c>
    </row>
    <row r="654" ht="15.75" customHeight="1">
      <c r="A654" s="1">
        <v>20.0</v>
      </c>
      <c r="B654" s="1">
        <v>19.0</v>
      </c>
      <c r="C654" s="1">
        <v>55.0</v>
      </c>
      <c r="D654" s="1">
        <v>59.0</v>
      </c>
      <c r="F654" s="1" t="str">
        <f>LOOKUP(A654, NPCs!A:A, NPCs!C:C)</f>
        <v>Lost Wabbit</v>
      </c>
      <c r="G654" s="1" t="str">
        <f>LOOKUP(B654, Maps!A:A, Maps!B:B)</f>
        <v>Frigid Maze</v>
      </c>
    </row>
    <row r="655" ht="15.75" customHeight="1">
      <c r="A655" s="1">
        <v>21.0</v>
      </c>
      <c r="B655" s="1">
        <v>19.0</v>
      </c>
      <c r="C655" s="1">
        <v>34.0</v>
      </c>
      <c r="D655" s="1">
        <v>32.0</v>
      </c>
      <c r="F655" s="1" t="str">
        <f>LOOKUP(A655, NPCs!A:A, NPCs!C:C)</f>
        <v>Cute Defenseless Stalker</v>
      </c>
      <c r="G655" s="1" t="str">
        <f>LOOKUP(B655, Maps!A:A, Maps!B:B)</f>
        <v>Frigid Maze</v>
      </c>
    </row>
    <row r="656" ht="15.75" customHeight="1">
      <c r="A656" s="1">
        <v>21.0</v>
      </c>
      <c r="B656" s="1">
        <v>19.0</v>
      </c>
      <c r="C656" s="1">
        <v>32.0</v>
      </c>
      <c r="D656" s="1">
        <v>30.0</v>
      </c>
      <c r="F656" s="1" t="str">
        <f>LOOKUP(A656, NPCs!A:A, NPCs!C:C)</f>
        <v>Cute Defenseless Stalker</v>
      </c>
      <c r="G656" s="1" t="str">
        <f>LOOKUP(B656, Maps!A:A, Maps!B:B)</f>
        <v>Frigid Maze</v>
      </c>
    </row>
    <row r="657" ht="15.75" customHeight="1">
      <c r="A657" s="1">
        <v>21.0</v>
      </c>
      <c r="B657" s="1">
        <v>19.0</v>
      </c>
      <c r="C657" s="1">
        <v>32.0</v>
      </c>
      <c r="D657" s="1">
        <v>36.0</v>
      </c>
      <c r="F657" s="1" t="str">
        <f>LOOKUP(A657, NPCs!A:A, NPCs!C:C)</f>
        <v>Cute Defenseless Stalker</v>
      </c>
      <c r="G657" s="1" t="str">
        <f>LOOKUP(B657, Maps!A:A, Maps!B:B)</f>
        <v>Frigid Maze</v>
      </c>
    </row>
    <row r="658" ht="15.75" customHeight="1">
      <c r="A658" s="1">
        <v>21.0</v>
      </c>
      <c r="B658" s="1">
        <v>19.0</v>
      </c>
      <c r="C658" s="1">
        <v>32.0</v>
      </c>
      <c r="D658" s="1">
        <v>37.0</v>
      </c>
      <c r="F658" s="1" t="str">
        <f>LOOKUP(A658, NPCs!A:A, NPCs!C:C)</f>
        <v>Cute Defenseless Stalker</v>
      </c>
      <c r="G658" s="1" t="str">
        <f>LOOKUP(B658, Maps!A:A, Maps!B:B)</f>
        <v>Frigid Maze</v>
      </c>
    </row>
    <row r="659" ht="15.75" customHeight="1">
      <c r="A659" s="1">
        <v>21.0</v>
      </c>
      <c r="B659" s="1">
        <v>19.0</v>
      </c>
      <c r="C659" s="1">
        <v>30.0</v>
      </c>
      <c r="D659" s="1">
        <v>44.0</v>
      </c>
      <c r="F659" s="1" t="str">
        <f>LOOKUP(A659, NPCs!A:A, NPCs!C:C)</f>
        <v>Cute Defenseless Stalker</v>
      </c>
      <c r="G659" s="1" t="str">
        <f>LOOKUP(B659, Maps!A:A, Maps!B:B)</f>
        <v>Frigid Maze</v>
      </c>
    </row>
    <row r="660" ht="15.75" customHeight="1">
      <c r="A660" s="1">
        <v>21.0</v>
      </c>
      <c r="B660" s="1">
        <v>19.0</v>
      </c>
      <c r="C660" s="1">
        <v>24.0</v>
      </c>
      <c r="D660" s="1">
        <v>44.0</v>
      </c>
      <c r="F660" s="1" t="str">
        <f>LOOKUP(A660, NPCs!A:A, NPCs!C:C)</f>
        <v>Cute Defenseless Stalker</v>
      </c>
      <c r="G660" s="1" t="str">
        <f>LOOKUP(B660, Maps!A:A, Maps!B:B)</f>
        <v>Frigid Maze</v>
      </c>
    </row>
    <row r="661" ht="15.75" customHeight="1">
      <c r="A661" s="1">
        <v>21.0</v>
      </c>
      <c r="B661" s="1">
        <v>19.0</v>
      </c>
      <c r="C661" s="1">
        <v>26.0</v>
      </c>
      <c r="D661" s="1">
        <v>23.0</v>
      </c>
      <c r="F661" s="1" t="str">
        <f>LOOKUP(A661, NPCs!A:A, NPCs!C:C)</f>
        <v>Cute Defenseless Stalker</v>
      </c>
      <c r="G661" s="1" t="str">
        <f>LOOKUP(B661, Maps!A:A, Maps!B:B)</f>
        <v>Frigid Maze</v>
      </c>
    </row>
    <row r="662" ht="15.75" customHeight="1">
      <c r="A662" s="1">
        <v>21.0</v>
      </c>
      <c r="B662" s="1">
        <v>19.0</v>
      </c>
      <c r="C662" s="1">
        <v>26.0</v>
      </c>
      <c r="D662" s="1">
        <v>24.0</v>
      </c>
      <c r="F662" s="1" t="str">
        <f>LOOKUP(A662, NPCs!A:A, NPCs!C:C)</f>
        <v>Cute Defenseless Stalker</v>
      </c>
      <c r="G662" s="1" t="str">
        <f>LOOKUP(B662, Maps!A:A, Maps!B:B)</f>
        <v>Frigid Maze</v>
      </c>
    </row>
    <row r="663" ht="15.75" customHeight="1">
      <c r="A663" s="1">
        <v>21.0</v>
      </c>
      <c r="B663" s="1">
        <v>19.0</v>
      </c>
      <c r="C663" s="1">
        <v>28.0</v>
      </c>
      <c r="D663" s="1">
        <v>34.0</v>
      </c>
      <c r="F663" s="1" t="str">
        <f>LOOKUP(A663, NPCs!A:A, NPCs!C:C)</f>
        <v>Cute Defenseless Stalker</v>
      </c>
      <c r="G663" s="1" t="str">
        <f>LOOKUP(B663, Maps!A:A, Maps!B:B)</f>
        <v>Frigid Maze</v>
      </c>
    </row>
    <row r="664" ht="15.75" customHeight="1">
      <c r="A664" s="1">
        <v>21.0</v>
      </c>
      <c r="B664" s="1">
        <v>19.0</v>
      </c>
      <c r="C664" s="1">
        <v>28.0</v>
      </c>
      <c r="D664" s="1">
        <v>36.0</v>
      </c>
      <c r="F664" s="1" t="str">
        <f>LOOKUP(A664, NPCs!A:A, NPCs!C:C)</f>
        <v>Cute Defenseless Stalker</v>
      </c>
      <c r="G664" s="1" t="str">
        <f>LOOKUP(B664, Maps!A:A, Maps!B:B)</f>
        <v>Frigid Maze</v>
      </c>
    </row>
    <row r="665" ht="15.75" customHeight="1">
      <c r="A665" s="1">
        <v>21.0</v>
      </c>
      <c r="B665" s="1">
        <v>19.0</v>
      </c>
      <c r="C665" s="1">
        <v>28.0</v>
      </c>
      <c r="D665" s="1">
        <v>37.0</v>
      </c>
      <c r="F665" s="1" t="str">
        <f>LOOKUP(A665, NPCs!A:A, NPCs!C:C)</f>
        <v>Cute Defenseless Stalker</v>
      </c>
      <c r="G665" s="1" t="str">
        <f>LOOKUP(B665, Maps!A:A, Maps!B:B)</f>
        <v>Frigid Maze</v>
      </c>
    </row>
    <row r="666" ht="15.75" customHeight="1">
      <c r="A666" s="1">
        <v>21.0</v>
      </c>
      <c r="B666" s="1">
        <v>19.0</v>
      </c>
      <c r="C666" s="1">
        <v>37.0</v>
      </c>
      <c r="D666" s="1">
        <v>40.0</v>
      </c>
      <c r="F666" s="1" t="str">
        <f>LOOKUP(A666, NPCs!A:A, NPCs!C:C)</f>
        <v>Cute Defenseless Stalker</v>
      </c>
      <c r="G666" s="1" t="str">
        <f>LOOKUP(B666, Maps!A:A, Maps!B:B)</f>
        <v>Frigid Maze</v>
      </c>
    </row>
    <row r="667" ht="15.75" customHeight="1">
      <c r="A667" s="1">
        <v>21.0</v>
      </c>
      <c r="B667" s="1">
        <v>19.0</v>
      </c>
      <c r="C667" s="1">
        <v>45.0</v>
      </c>
      <c r="D667" s="1">
        <v>33.0</v>
      </c>
      <c r="F667" s="1" t="str">
        <f>LOOKUP(A667, NPCs!A:A, NPCs!C:C)</f>
        <v>Cute Defenseless Stalker</v>
      </c>
      <c r="G667" s="1" t="str">
        <f>LOOKUP(B667, Maps!A:A, Maps!B:B)</f>
        <v>Frigid Maze</v>
      </c>
    </row>
    <row r="668" ht="15.75" customHeight="1">
      <c r="A668" s="1">
        <v>21.0</v>
      </c>
      <c r="B668" s="1">
        <v>19.0</v>
      </c>
      <c r="C668" s="1">
        <v>45.0</v>
      </c>
      <c r="D668" s="1">
        <v>19.0</v>
      </c>
      <c r="F668" s="1" t="str">
        <f>LOOKUP(A668, NPCs!A:A, NPCs!C:C)</f>
        <v>Cute Defenseless Stalker</v>
      </c>
      <c r="G668" s="1" t="str">
        <f>LOOKUP(B668, Maps!A:A, Maps!B:B)</f>
        <v>Frigid Maze</v>
      </c>
    </row>
    <row r="669" ht="15.75" customHeight="1">
      <c r="A669" s="1">
        <v>21.0</v>
      </c>
      <c r="B669" s="1">
        <v>19.0</v>
      </c>
      <c r="C669" s="1">
        <v>47.0</v>
      </c>
      <c r="D669" s="1">
        <v>10.0</v>
      </c>
      <c r="F669" s="1" t="str">
        <f>LOOKUP(A669, NPCs!A:A, NPCs!C:C)</f>
        <v>Cute Defenseless Stalker</v>
      </c>
      <c r="G669" s="1" t="str">
        <f>LOOKUP(B669, Maps!A:A, Maps!B:B)</f>
        <v>Frigid Maze</v>
      </c>
    </row>
    <row r="670" ht="15.75" customHeight="1">
      <c r="A670" s="1">
        <v>21.0</v>
      </c>
      <c r="B670" s="1">
        <v>19.0</v>
      </c>
      <c r="C670" s="1">
        <v>48.0</v>
      </c>
      <c r="D670" s="1">
        <v>10.0</v>
      </c>
      <c r="F670" s="1" t="str">
        <f>LOOKUP(A670, NPCs!A:A, NPCs!C:C)</f>
        <v>Cute Defenseless Stalker</v>
      </c>
      <c r="G670" s="1" t="str">
        <f>LOOKUP(B670, Maps!A:A, Maps!B:B)</f>
        <v>Frigid Maze</v>
      </c>
    </row>
    <row r="671" ht="15.75" customHeight="1">
      <c r="A671" s="1">
        <v>21.0</v>
      </c>
      <c r="B671" s="1">
        <v>19.0</v>
      </c>
      <c r="C671" s="1">
        <v>46.0</v>
      </c>
      <c r="D671" s="1">
        <v>38.0</v>
      </c>
      <c r="F671" s="1" t="str">
        <f>LOOKUP(A671, NPCs!A:A, NPCs!C:C)</f>
        <v>Cute Defenseless Stalker</v>
      </c>
      <c r="G671" s="1" t="str">
        <f>LOOKUP(B671, Maps!A:A, Maps!B:B)</f>
        <v>Frigid Maze</v>
      </c>
    </row>
    <row r="672" ht="15.75" customHeight="1">
      <c r="A672" s="1">
        <v>21.0</v>
      </c>
      <c r="B672" s="1">
        <v>19.0</v>
      </c>
      <c r="C672" s="1">
        <v>42.0</v>
      </c>
      <c r="D672" s="1">
        <v>46.0</v>
      </c>
      <c r="F672" s="1" t="str">
        <f>LOOKUP(A672, NPCs!A:A, NPCs!C:C)</f>
        <v>Cute Defenseless Stalker</v>
      </c>
      <c r="G672" s="1" t="str">
        <f>LOOKUP(B672, Maps!A:A, Maps!B:B)</f>
        <v>Frigid Maze</v>
      </c>
    </row>
    <row r="673" ht="15.75" customHeight="1">
      <c r="A673" s="1">
        <v>21.0</v>
      </c>
      <c r="B673" s="1">
        <v>19.0</v>
      </c>
      <c r="C673" s="1">
        <v>51.0</v>
      </c>
      <c r="D673" s="1">
        <v>46.0</v>
      </c>
      <c r="F673" s="1" t="str">
        <f>LOOKUP(A673, NPCs!A:A, NPCs!C:C)</f>
        <v>Cute Defenseless Stalker</v>
      </c>
      <c r="G673" s="1" t="str">
        <f>LOOKUP(B673, Maps!A:A, Maps!B:B)</f>
        <v>Frigid Maze</v>
      </c>
    </row>
    <row r="674" ht="15.75" customHeight="1">
      <c r="A674" s="1">
        <v>21.0</v>
      </c>
      <c r="B674" s="1">
        <v>19.0</v>
      </c>
      <c r="C674" s="1">
        <v>52.0</v>
      </c>
      <c r="D674" s="1">
        <v>46.0</v>
      </c>
      <c r="F674" s="1" t="str">
        <f>LOOKUP(A674, NPCs!A:A, NPCs!C:C)</f>
        <v>Cute Defenseless Stalker</v>
      </c>
      <c r="G674" s="1" t="str">
        <f>LOOKUP(B674, Maps!A:A, Maps!B:B)</f>
        <v>Frigid Maze</v>
      </c>
    </row>
    <row r="675" ht="15.75" customHeight="1">
      <c r="A675" s="1">
        <v>21.0</v>
      </c>
      <c r="B675" s="1">
        <v>19.0</v>
      </c>
      <c r="C675" s="1">
        <v>59.0</v>
      </c>
      <c r="D675" s="1">
        <v>46.0</v>
      </c>
      <c r="F675" s="1" t="str">
        <f>LOOKUP(A675, NPCs!A:A, NPCs!C:C)</f>
        <v>Cute Defenseless Stalker</v>
      </c>
      <c r="G675" s="1" t="str">
        <f>LOOKUP(B675, Maps!A:A, Maps!B:B)</f>
        <v>Frigid Maze</v>
      </c>
    </row>
    <row r="676" ht="15.75" customHeight="1">
      <c r="A676" s="1">
        <v>21.0</v>
      </c>
      <c r="B676" s="1">
        <v>19.0</v>
      </c>
      <c r="C676" s="1">
        <v>65.0</v>
      </c>
      <c r="D676" s="1">
        <v>49.0</v>
      </c>
      <c r="F676" s="1" t="str">
        <f>LOOKUP(A676, NPCs!A:A, NPCs!C:C)</f>
        <v>Cute Defenseless Stalker</v>
      </c>
      <c r="G676" s="1" t="str">
        <f>LOOKUP(B676, Maps!A:A, Maps!B:B)</f>
        <v>Frigid Maze</v>
      </c>
    </row>
    <row r="677" ht="15.75" customHeight="1">
      <c r="A677" s="1">
        <v>21.0</v>
      </c>
      <c r="B677" s="1">
        <v>19.0</v>
      </c>
      <c r="C677" s="1">
        <v>77.0</v>
      </c>
      <c r="D677" s="1">
        <v>49.0</v>
      </c>
      <c r="F677" s="1" t="str">
        <f>LOOKUP(A677, NPCs!A:A, NPCs!C:C)</f>
        <v>Cute Defenseless Stalker</v>
      </c>
      <c r="G677" s="1" t="str">
        <f>LOOKUP(B677, Maps!A:A, Maps!B:B)</f>
        <v>Frigid Maze</v>
      </c>
    </row>
    <row r="678" ht="15.75" customHeight="1">
      <c r="A678" s="1">
        <v>21.0</v>
      </c>
      <c r="B678" s="1">
        <v>19.0</v>
      </c>
      <c r="C678" s="1">
        <v>48.0</v>
      </c>
      <c r="D678" s="1">
        <v>42.0</v>
      </c>
      <c r="F678" s="1" t="str">
        <f>LOOKUP(A678, NPCs!A:A, NPCs!C:C)</f>
        <v>Cute Defenseless Stalker</v>
      </c>
      <c r="G678" s="1" t="str">
        <f>LOOKUP(B678, Maps!A:A, Maps!B:B)</f>
        <v>Frigid Maze</v>
      </c>
    </row>
    <row r="679" ht="15.75" customHeight="1">
      <c r="A679" s="1">
        <v>21.0</v>
      </c>
      <c r="B679" s="1">
        <v>19.0</v>
      </c>
      <c r="C679" s="1">
        <v>47.0</v>
      </c>
      <c r="D679" s="1">
        <v>42.0</v>
      </c>
      <c r="F679" s="1" t="str">
        <f>LOOKUP(A679, NPCs!A:A, NPCs!C:C)</f>
        <v>Cute Defenseless Stalker</v>
      </c>
      <c r="G679" s="1" t="str">
        <f>LOOKUP(B679, Maps!A:A, Maps!B:B)</f>
        <v>Frigid Maze</v>
      </c>
    </row>
    <row r="680" ht="15.75" customHeight="1">
      <c r="A680" s="1">
        <v>21.0</v>
      </c>
      <c r="B680" s="1">
        <v>19.0</v>
      </c>
      <c r="C680" s="1">
        <v>72.0</v>
      </c>
      <c r="D680" s="1">
        <v>42.0</v>
      </c>
      <c r="F680" s="1" t="str">
        <f>LOOKUP(A680, NPCs!A:A, NPCs!C:C)</f>
        <v>Cute Defenseless Stalker</v>
      </c>
      <c r="G680" s="1" t="str">
        <f>LOOKUP(B680, Maps!A:A, Maps!B:B)</f>
        <v>Frigid Maze</v>
      </c>
    </row>
    <row r="681" ht="15.75" customHeight="1">
      <c r="A681" s="1">
        <v>21.0</v>
      </c>
      <c r="B681" s="1">
        <v>19.0</v>
      </c>
      <c r="C681" s="1">
        <v>75.0</v>
      </c>
      <c r="D681" s="1">
        <v>42.0</v>
      </c>
      <c r="F681" s="1" t="str">
        <f>LOOKUP(A681, NPCs!A:A, NPCs!C:C)</f>
        <v>Cute Defenseless Stalker</v>
      </c>
      <c r="G681" s="1" t="str">
        <f>LOOKUP(B681, Maps!A:A, Maps!B:B)</f>
        <v>Frigid Maze</v>
      </c>
    </row>
    <row r="682" ht="15.75" customHeight="1">
      <c r="A682" s="1">
        <v>21.0</v>
      </c>
      <c r="B682" s="1">
        <v>19.0</v>
      </c>
      <c r="C682" s="1">
        <v>81.0</v>
      </c>
      <c r="D682" s="1">
        <v>37.0</v>
      </c>
      <c r="F682" s="1" t="str">
        <f>LOOKUP(A682, NPCs!A:A, NPCs!C:C)</f>
        <v>Cute Defenseless Stalker</v>
      </c>
      <c r="G682" s="1" t="str">
        <f>LOOKUP(B682, Maps!A:A, Maps!B:B)</f>
        <v>Frigid Maze</v>
      </c>
    </row>
    <row r="683" ht="15.75" customHeight="1">
      <c r="A683" s="1">
        <v>21.0</v>
      </c>
      <c r="B683" s="1">
        <v>19.0</v>
      </c>
      <c r="C683" s="1">
        <v>81.0</v>
      </c>
      <c r="D683" s="1">
        <v>35.0</v>
      </c>
      <c r="F683" s="1" t="str">
        <f>LOOKUP(A683, NPCs!A:A, NPCs!C:C)</f>
        <v>Cute Defenseless Stalker</v>
      </c>
      <c r="G683" s="1" t="str">
        <f>LOOKUP(B683, Maps!A:A, Maps!B:B)</f>
        <v>Frigid Maze</v>
      </c>
    </row>
    <row r="684" ht="15.75" customHeight="1">
      <c r="A684" s="1">
        <v>21.0</v>
      </c>
      <c r="B684" s="1">
        <v>19.0</v>
      </c>
      <c r="C684" s="1">
        <v>81.0</v>
      </c>
      <c r="D684" s="1">
        <v>44.0</v>
      </c>
      <c r="F684" s="1" t="str">
        <f>LOOKUP(A684, NPCs!A:A, NPCs!C:C)</f>
        <v>Cute Defenseless Stalker</v>
      </c>
      <c r="G684" s="1" t="str">
        <f>LOOKUP(B684, Maps!A:A, Maps!B:B)</f>
        <v>Frigid Maze</v>
      </c>
    </row>
    <row r="685" ht="15.75" customHeight="1">
      <c r="A685" s="1">
        <v>21.0</v>
      </c>
      <c r="B685" s="1">
        <v>19.0</v>
      </c>
      <c r="C685" s="1">
        <v>84.0</v>
      </c>
      <c r="D685" s="1">
        <v>45.0</v>
      </c>
      <c r="F685" s="1" t="str">
        <f>LOOKUP(A685, NPCs!A:A, NPCs!C:C)</f>
        <v>Cute Defenseless Stalker</v>
      </c>
      <c r="G685" s="1" t="str">
        <f>LOOKUP(B685, Maps!A:A, Maps!B:B)</f>
        <v>Frigid Maze</v>
      </c>
    </row>
    <row r="686" ht="15.75" customHeight="1">
      <c r="A686" s="1">
        <v>21.0</v>
      </c>
      <c r="B686" s="1">
        <v>19.0</v>
      </c>
      <c r="C686" s="1">
        <v>99.0</v>
      </c>
      <c r="D686" s="1">
        <v>49.0</v>
      </c>
      <c r="F686" s="1" t="str">
        <f>LOOKUP(A686, NPCs!A:A, NPCs!C:C)</f>
        <v>Cute Defenseless Stalker</v>
      </c>
      <c r="G686" s="1" t="str">
        <f>LOOKUP(B686, Maps!A:A, Maps!B:B)</f>
        <v>Frigid Maze</v>
      </c>
    </row>
    <row r="687" ht="15.75" customHeight="1">
      <c r="A687" s="1">
        <v>21.0</v>
      </c>
      <c r="B687" s="1">
        <v>19.0</v>
      </c>
      <c r="C687" s="1">
        <v>93.0</v>
      </c>
      <c r="D687" s="1">
        <v>42.0</v>
      </c>
      <c r="F687" s="1" t="str">
        <f>LOOKUP(A687, NPCs!A:A, NPCs!C:C)</f>
        <v>Cute Defenseless Stalker</v>
      </c>
      <c r="G687" s="1" t="str">
        <f>LOOKUP(B687, Maps!A:A, Maps!B:B)</f>
        <v>Frigid Maze</v>
      </c>
    </row>
    <row r="688" ht="15.75" customHeight="1">
      <c r="A688" s="1">
        <v>21.0</v>
      </c>
      <c r="B688" s="1">
        <v>19.0</v>
      </c>
      <c r="C688" s="1">
        <v>89.0</v>
      </c>
      <c r="D688" s="1">
        <v>42.0</v>
      </c>
      <c r="F688" s="1" t="str">
        <f>LOOKUP(A688, NPCs!A:A, NPCs!C:C)</f>
        <v>Cute Defenseless Stalker</v>
      </c>
      <c r="G688" s="1" t="str">
        <f>LOOKUP(B688, Maps!A:A, Maps!B:B)</f>
        <v>Frigid Maze</v>
      </c>
    </row>
    <row r="689" ht="15.75" customHeight="1">
      <c r="A689" s="1">
        <v>21.0</v>
      </c>
      <c r="B689" s="1">
        <v>19.0</v>
      </c>
      <c r="C689" s="1">
        <v>91.0</v>
      </c>
      <c r="D689" s="1">
        <v>44.0</v>
      </c>
      <c r="F689" s="1" t="str">
        <f>LOOKUP(A689, NPCs!A:A, NPCs!C:C)</f>
        <v>Cute Defenseless Stalker</v>
      </c>
      <c r="G689" s="1" t="str">
        <f>LOOKUP(B689, Maps!A:A, Maps!B:B)</f>
        <v>Frigid Maze</v>
      </c>
    </row>
    <row r="690" ht="15.75" customHeight="1">
      <c r="A690" s="1">
        <v>21.0</v>
      </c>
      <c r="B690" s="1">
        <v>19.0</v>
      </c>
      <c r="C690" s="1">
        <v>91.0</v>
      </c>
      <c r="D690" s="1">
        <v>40.0</v>
      </c>
      <c r="F690" s="1" t="str">
        <f>LOOKUP(A690, NPCs!A:A, NPCs!C:C)</f>
        <v>Cute Defenseless Stalker</v>
      </c>
      <c r="G690" s="1" t="str">
        <f>LOOKUP(B690, Maps!A:A, Maps!B:B)</f>
        <v>Frigid Maze</v>
      </c>
    </row>
    <row r="691" ht="15.75" customHeight="1">
      <c r="A691" s="1">
        <v>21.0</v>
      </c>
      <c r="B691" s="1">
        <v>19.0</v>
      </c>
      <c r="C691" s="1">
        <v>90.0</v>
      </c>
      <c r="D691" s="1">
        <v>39.0</v>
      </c>
      <c r="F691" s="1" t="str">
        <f>LOOKUP(A691, NPCs!A:A, NPCs!C:C)</f>
        <v>Cute Defenseless Stalker</v>
      </c>
      <c r="G691" s="1" t="str">
        <f>LOOKUP(B691, Maps!A:A, Maps!B:B)</f>
        <v>Frigid Maze</v>
      </c>
    </row>
    <row r="692" ht="15.75" customHeight="1">
      <c r="A692" s="1">
        <v>21.0</v>
      </c>
      <c r="B692" s="1">
        <v>19.0</v>
      </c>
      <c r="C692" s="1">
        <v>84.0</v>
      </c>
      <c r="D692" s="1">
        <v>40.0</v>
      </c>
      <c r="F692" s="1" t="str">
        <f>LOOKUP(A692, NPCs!A:A, NPCs!C:C)</f>
        <v>Cute Defenseless Stalker</v>
      </c>
      <c r="G692" s="1" t="str">
        <f>LOOKUP(B692, Maps!A:A, Maps!B:B)</f>
        <v>Frigid Maze</v>
      </c>
    </row>
    <row r="693" ht="15.75" customHeight="1">
      <c r="A693" s="1">
        <v>21.0</v>
      </c>
      <c r="B693" s="1">
        <v>19.0</v>
      </c>
      <c r="C693" s="1">
        <v>86.0</v>
      </c>
      <c r="D693" s="1">
        <v>47.0</v>
      </c>
      <c r="F693" s="1" t="str">
        <f>LOOKUP(A693, NPCs!A:A, NPCs!C:C)</f>
        <v>Cute Defenseless Stalker</v>
      </c>
      <c r="G693" s="1" t="str">
        <f>LOOKUP(B693, Maps!A:A, Maps!B:B)</f>
        <v>Frigid Maze</v>
      </c>
    </row>
    <row r="694" ht="15.75" customHeight="1">
      <c r="A694" s="1">
        <v>21.0</v>
      </c>
      <c r="B694" s="1">
        <v>19.0</v>
      </c>
      <c r="C694" s="1">
        <v>37.0</v>
      </c>
      <c r="D694" s="1">
        <v>60.0</v>
      </c>
      <c r="F694" s="1" t="str">
        <f>LOOKUP(A694, NPCs!A:A, NPCs!C:C)</f>
        <v>Cute Defenseless Stalker</v>
      </c>
      <c r="G694" s="1" t="str">
        <f>LOOKUP(B694, Maps!A:A, Maps!B:B)</f>
        <v>Frigid Maze</v>
      </c>
    </row>
    <row r="695" ht="15.75" customHeight="1">
      <c r="A695" s="1">
        <v>21.0</v>
      </c>
      <c r="B695" s="1">
        <v>19.0</v>
      </c>
      <c r="C695" s="1">
        <v>45.0</v>
      </c>
      <c r="D695" s="1">
        <v>63.0</v>
      </c>
      <c r="F695" s="1" t="str">
        <f>LOOKUP(A695, NPCs!A:A, NPCs!C:C)</f>
        <v>Cute Defenseless Stalker</v>
      </c>
      <c r="G695" s="1" t="str">
        <f>LOOKUP(B695, Maps!A:A, Maps!B:B)</f>
        <v>Frigid Maze</v>
      </c>
    </row>
    <row r="696" ht="15.75" customHeight="1">
      <c r="A696" s="1">
        <v>21.0</v>
      </c>
      <c r="B696" s="1">
        <v>19.0</v>
      </c>
      <c r="C696" s="1">
        <v>61.0</v>
      </c>
      <c r="D696" s="1">
        <v>56.0</v>
      </c>
      <c r="F696" s="1" t="str">
        <f>LOOKUP(A696, NPCs!A:A, NPCs!C:C)</f>
        <v>Cute Defenseless Stalker</v>
      </c>
      <c r="G696" s="1" t="str">
        <f>LOOKUP(B696, Maps!A:A, Maps!B:B)</f>
        <v>Frigid Maze</v>
      </c>
    </row>
    <row r="697" ht="15.75" customHeight="1">
      <c r="A697" s="1">
        <v>21.0</v>
      </c>
      <c r="B697" s="1">
        <v>19.0</v>
      </c>
      <c r="C697" s="1">
        <v>64.0</v>
      </c>
      <c r="D697" s="1">
        <v>56.0</v>
      </c>
      <c r="F697" s="1" t="str">
        <f>LOOKUP(A697, NPCs!A:A, NPCs!C:C)</f>
        <v>Cute Defenseless Stalker</v>
      </c>
      <c r="G697" s="1" t="str">
        <f>LOOKUP(B697, Maps!A:A, Maps!B:B)</f>
        <v>Frigid Maze</v>
      </c>
    </row>
    <row r="698" ht="15.75" customHeight="1">
      <c r="A698" s="1">
        <v>21.0</v>
      </c>
      <c r="B698" s="1">
        <v>19.0</v>
      </c>
      <c r="C698" s="1">
        <v>70.0</v>
      </c>
      <c r="D698" s="1">
        <v>56.0</v>
      </c>
      <c r="F698" s="1" t="str">
        <f>LOOKUP(A698, NPCs!A:A, NPCs!C:C)</f>
        <v>Cute Defenseless Stalker</v>
      </c>
      <c r="G698" s="1" t="str">
        <f>LOOKUP(B698, Maps!A:A, Maps!B:B)</f>
        <v>Frigid Maze</v>
      </c>
    </row>
    <row r="699" ht="15.75" customHeight="1">
      <c r="A699" s="1">
        <v>21.0</v>
      </c>
      <c r="B699" s="1">
        <v>19.0</v>
      </c>
      <c r="C699" s="1">
        <v>91.0</v>
      </c>
      <c r="D699" s="1">
        <v>56.0</v>
      </c>
      <c r="F699" s="1" t="str">
        <f>LOOKUP(A699, NPCs!A:A, NPCs!C:C)</f>
        <v>Cute Defenseless Stalker</v>
      </c>
      <c r="G699" s="1" t="str">
        <f>LOOKUP(B699, Maps!A:A, Maps!B:B)</f>
        <v>Frigid Maze</v>
      </c>
    </row>
    <row r="700" ht="15.75" customHeight="1">
      <c r="A700" s="1">
        <v>21.0</v>
      </c>
      <c r="B700" s="1">
        <v>19.0</v>
      </c>
      <c r="C700" s="1">
        <v>92.0</v>
      </c>
      <c r="D700" s="1">
        <v>56.0</v>
      </c>
      <c r="F700" s="1" t="str">
        <f>LOOKUP(A700, NPCs!A:A, NPCs!C:C)</f>
        <v>Cute Defenseless Stalker</v>
      </c>
      <c r="G700" s="1" t="str">
        <f>LOOKUP(B700, Maps!A:A, Maps!B:B)</f>
        <v>Frigid Maze</v>
      </c>
    </row>
    <row r="701" ht="15.75" customHeight="1">
      <c r="A701" s="1">
        <v>21.0</v>
      </c>
      <c r="B701" s="1">
        <v>19.0</v>
      </c>
      <c r="C701" s="1">
        <v>93.0</v>
      </c>
      <c r="D701" s="1">
        <v>56.0</v>
      </c>
      <c r="F701" s="1" t="str">
        <f>LOOKUP(A701, NPCs!A:A, NPCs!C:C)</f>
        <v>Cute Defenseless Stalker</v>
      </c>
      <c r="G701" s="1" t="str">
        <f>LOOKUP(B701, Maps!A:A, Maps!B:B)</f>
        <v>Frigid Maze</v>
      </c>
    </row>
    <row r="702" ht="15.75" customHeight="1">
      <c r="A702" s="1">
        <v>21.0</v>
      </c>
      <c r="B702" s="1">
        <v>19.0</v>
      </c>
      <c r="C702" s="1">
        <v>25.0</v>
      </c>
      <c r="D702" s="1">
        <v>60.0</v>
      </c>
      <c r="F702" s="1" t="str">
        <f>LOOKUP(A702, NPCs!A:A, NPCs!C:C)</f>
        <v>Cute Defenseless Stalker</v>
      </c>
      <c r="G702" s="1" t="str">
        <f>LOOKUP(B702, Maps!A:A, Maps!B:B)</f>
        <v>Frigid Maze</v>
      </c>
    </row>
    <row r="703" ht="15.75" customHeight="1">
      <c r="A703" s="1">
        <v>21.0</v>
      </c>
      <c r="B703" s="1">
        <v>19.0</v>
      </c>
      <c r="C703" s="1">
        <v>23.0</v>
      </c>
      <c r="D703" s="1">
        <v>59.0</v>
      </c>
      <c r="F703" s="1" t="str">
        <f>LOOKUP(A703, NPCs!A:A, NPCs!C:C)</f>
        <v>Cute Defenseless Stalker</v>
      </c>
      <c r="G703" s="1" t="str">
        <f>LOOKUP(B703, Maps!A:A, Maps!B:B)</f>
        <v>Frigid Maze</v>
      </c>
    </row>
    <row r="704" ht="15.75" customHeight="1">
      <c r="A704" s="1">
        <v>21.0</v>
      </c>
      <c r="B704" s="1">
        <v>19.0</v>
      </c>
      <c r="C704" s="1">
        <v>34.0</v>
      </c>
      <c r="D704" s="1">
        <v>65.0</v>
      </c>
      <c r="F704" s="1" t="str">
        <f>LOOKUP(A704, NPCs!A:A, NPCs!C:C)</f>
        <v>Cute Defenseless Stalker</v>
      </c>
      <c r="G704" s="1" t="str">
        <f>LOOKUP(B704, Maps!A:A, Maps!B:B)</f>
        <v>Frigid Maze</v>
      </c>
    </row>
    <row r="705" ht="15.75" customHeight="1">
      <c r="A705" s="1">
        <v>21.0</v>
      </c>
      <c r="B705" s="1">
        <v>19.0</v>
      </c>
      <c r="C705" s="1">
        <v>36.0</v>
      </c>
      <c r="D705" s="1">
        <v>65.0</v>
      </c>
      <c r="F705" s="1" t="str">
        <f>LOOKUP(A705, NPCs!A:A, NPCs!C:C)</f>
        <v>Cute Defenseless Stalker</v>
      </c>
      <c r="G705" s="1" t="str">
        <f>LOOKUP(B705, Maps!A:A, Maps!B:B)</f>
        <v>Frigid Maze</v>
      </c>
    </row>
    <row r="706" ht="15.75" customHeight="1">
      <c r="A706" s="1">
        <v>21.0</v>
      </c>
      <c r="B706" s="1">
        <v>19.0</v>
      </c>
      <c r="C706" s="1">
        <v>52.0</v>
      </c>
      <c r="D706" s="1">
        <v>65.0</v>
      </c>
      <c r="F706" s="1" t="str">
        <f>LOOKUP(A706, NPCs!A:A, NPCs!C:C)</f>
        <v>Cute Defenseless Stalker</v>
      </c>
      <c r="G706" s="1" t="str">
        <f>LOOKUP(B706, Maps!A:A, Maps!B:B)</f>
        <v>Frigid Maze</v>
      </c>
    </row>
    <row r="707" ht="15.75" customHeight="1">
      <c r="A707" s="1">
        <v>21.0</v>
      </c>
      <c r="B707" s="1">
        <v>19.0</v>
      </c>
      <c r="C707" s="1">
        <v>68.0</v>
      </c>
      <c r="D707" s="1">
        <v>65.0</v>
      </c>
      <c r="F707" s="1" t="str">
        <f>LOOKUP(A707, NPCs!A:A, NPCs!C:C)</f>
        <v>Cute Defenseless Stalker</v>
      </c>
      <c r="G707" s="1" t="str">
        <f>LOOKUP(B707, Maps!A:A, Maps!B:B)</f>
        <v>Frigid Maze</v>
      </c>
    </row>
    <row r="708" ht="15.75" customHeight="1">
      <c r="A708" s="1">
        <v>21.0</v>
      </c>
      <c r="B708" s="1">
        <v>19.0</v>
      </c>
      <c r="C708" s="1">
        <v>66.0</v>
      </c>
      <c r="D708" s="1">
        <v>60.0</v>
      </c>
      <c r="F708" s="1" t="str">
        <f>LOOKUP(A708, NPCs!A:A, NPCs!C:C)</f>
        <v>Cute Defenseless Stalker</v>
      </c>
      <c r="G708" s="1" t="str">
        <f>LOOKUP(B708, Maps!A:A, Maps!B:B)</f>
        <v>Frigid Maze</v>
      </c>
    </row>
    <row r="709" ht="15.75" customHeight="1">
      <c r="A709" s="1">
        <v>21.0</v>
      </c>
      <c r="B709" s="1">
        <v>19.0</v>
      </c>
      <c r="C709" s="1">
        <v>66.0</v>
      </c>
      <c r="D709" s="1">
        <v>59.0</v>
      </c>
      <c r="F709" s="1" t="str">
        <f>LOOKUP(A709, NPCs!A:A, NPCs!C:C)</f>
        <v>Cute Defenseless Stalker</v>
      </c>
      <c r="G709" s="1" t="str">
        <f>LOOKUP(B709, Maps!A:A, Maps!B:B)</f>
        <v>Frigid Maze</v>
      </c>
    </row>
    <row r="710" ht="15.75" customHeight="1">
      <c r="A710" s="1">
        <v>21.0</v>
      </c>
      <c r="B710" s="1">
        <v>19.0</v>
      </c>
      <c r="C710" s="1">
        <v>73.0</v>
      </c>
      <c r="D710" s="1">
        <v>61.0</v>
      </c>
      <c r="F710" s="1" t="str">
        <f>LOOKUP(A710, NPCs!A:A, NPCs!C:C)</f>
        <v>Cute Defenseless Stalker</v>
      </c>
      <c r="G710" s="1" t="str">
        <f>LOOKUP(B710, Maps!A:A, Maps!B:B)</f>
        <v>Frigid Maze</v>
      </c>
    </row>
    <row r="711" ht="15.75" customHeight="1">
      <c r="A711" s="1">
        <v>21.0</v>
      </c>
      <c r="B711" s="1">
        <v>19.0</v>
      </c>
      <c r="C711" s="1">
        <v>80.0</v>
      </c>
      <c r="D711" s="1">
        <v>61.0</v>
      </c>
      <c r="F711" s="1" t="str">
        <f>LOOKUP(A711, NPCs!A:A, NPCs!C:C)</f>
        <v>Cute Defenseless Stalker</v>
      </c>
      <c r="G711" s="1" t="str">
        <f>LOOKUP(B711, Maps!A:A, Maps!B:B)</f>
        <v>Frigid Maze</v>
      </c>
    </row>
    <row r="712" ht="15.75" customHeight="1">
      <c r="A712" s="1">
        <v>21.0</v>
      </c>
      <c r="B712" s="1">
        <v>19.0</v>
      </c>
      <c r="C712" s="1">
        <v>81.0</v>
      </c>
      <c r="D712" s="1">
        <v>61.0</v>
      </c>
      <c r="F712" s="1" t="str">
        <f>LOOKUP(A712, NPCs!A:A, NPCs!C:C)</f>
        <v>Cute Defenseless Stalker</v>
      </c>
      <c r="G712" s="1" t="str">
        <f>LOOKUP(B712, Maps!A:A, Maps!B:B)</f>
        <v>Frigid Maze</v>
      </c>
    </row>
    <row r="713" ht="15.75" customHeight="1">
      <c r="A713" s="1">
        <v>21.0</v>
      </c>
      <c r="B713" s="1">
        <v>19.0</v>
      </c>
      <c r="C713" s="1">
        <v>82.0</v>
      </c>
      <c r="D713" s="1">
        <v>61.0</v>
      </c>
      <c r="F713" s="1" t="str">
        <f>LOOKUP(A713, NPCs!A:A, NPCs!C:C)</f>
        <v>Cute Defenseless Stalker</v>
      </c>
      <c r="G713" s="1" t="str">
        <f>LOOKUP(B713, Maps!A:A, Maps!B:B)</f>
        <v>Frigid Maze</v>
      </c>
    </row>
    <row r="714" ht="15.75" customHeight="1">
      <c r="A714" s="1">
        <v>21.0</v>
      </c>
      <c r="B714" s="1">
        <v>19.0</v>
      </c>
      <c r="C714" s="1">
        <v>95.0</v>
      </c>
      <c r="D714" s="1">
        <v>61.0</v>
      </c>
      <c r="F714" s="1" t="str">
        <f>LOOKUP(A714, NPCs!A:A, NPCs!C:C)</f>
        <v>Cute Defenseless Stalker</v>
      </c>
      <c r="G714" s="1" t="str">
        <f>LOOKUP(B714, Maps!A:A, Maps!B:B)</f>
        <v>Frigid Maze</v>
      </c>
    </row>
    <row r="715" ht="15.75" customHeight="1">
      <c r="A715" s="1">
        <v>21.0</v>
      </c>
      <c r="B715" s="1">
        <v>19.0</v>
      </c>
      <c r="C715" s="1">
        <v>96.0</v>
      </c>
      <c r="D715" s="1">
        <v>61.0</v>
      </c>
      <c r="F715" s="1" t="str">
        <f>LOOKUP(A715, NPCs!A:A, NPCs!C:C)</f>
        <v>Cute Defenseless Stalker</v>
      </c>
      <c r="G715" s="1" t="str">
        <f>LOOKUP(B715, Maps!A:A, Maps!B:B)</f>
        <v>Frigid Maze</v>
      </c>
    </row>
    <row r="716" ht="15.75" customHeight="1">
      <c r="A716" s="1">
        <v>21.0</v>
      </c>
      <c r="B716" s="1">
        <v>19.0</v>
      </c>
      <c r="C716" s="1">
        <v>98.0</v>
      </c>
      <c r="D716" s="1">
        <v>56.0</v>
      </c>
      <c r="F716" s="1" t="str">
        <f>LOOKUP(A716, NPCs!A:A, NPCs!C:C)</f>
        <v>Cute Defenseless Stalker</v>
      </c>
      <c r="G716" s="1" t="str">
        <f>LOOKUP(B716, Maps!A:A, Maps!B:B)</f>
        <v>Frigid Maze</v>
      </c>
    </row>
    <row r="717" ht="15.75" customHeight="1">
      <c r="A717" s="1">
        <v>21.0</v>
      </c>
      <c r="B717" s="1">
        <v>19.0</v>
      </c>
      <c r="C717" s="1">
        <v>98.0</v>
      </c>
      <c r="D717" s="1">
        <v>55.0</v>
      </c>
      <c r="F717" s="1" t="str">
        <f>LOOKUP(A717, NPCs!A:A, NPCs!C:C)</f>
        <v>Cute Defenseless Stalker</v>
      </c>
      <c r="G717" s="1" t="str">
        <f>LOOKUP(B717, Maps!A:A, Maps!B:B)</f>
        <v>Frigid Maze</v>
      </c>
    </row>
    <row r="718" ht="15.75" customHeight="1">
      <c r="A718" s="1">
        <v>21.0</v>
      </c>
      <c r="B718" s="1">
        <v>19.0</v>
      </c>
      <c r="C718" s="1">
        <v>98.0</v>
      </c>
      <c r="D718" s="1">
        <v>54.0</v>
      </c>
      <c r="F718" s="1" t="str">
        <f>LOOKUP(A718, NPCs!A:A, NPCs!C:C)</f>
        <v>Cute Defenseless Stalker</v>
      </c>
      <c r="G718" s="1" t="str">
        <f>LOOKUP(B718, Maps!A:A, Maps!B:B)</f>
        <v>Frigid Maze</v>
      </c>
    </row>
    <row r="719" ht="15.75" customHeight="1">
      <c r="A719" s="1">
        <v>21.0</v>
      </c>
      <c r="B719" s="1">
        <v>19.0</v>
      </c>
      <c r="C719" s="1">
        <v>98.0</v>
      </c>
      <c r="D719" s="1">
        <v>53.0</v>
      </c>
      <c r="F719" s="1" t="str">
        <f>LOOKUP(A719, NPCs!A:A, NPCs!C:C)</f>
        <v>Cute Defenseless Stalker</v>
      </c>
      <c r="G719" s="1" t="str">
        <f>LOOKUP(B719, Maps!A:A, Maps!B:B)</f>
        <v>Frigid Maze</v>
      </c>
    </row>
    <row r="720" ht="15.75" customHeight="1">
      <c r="A720" s="1">
        <v>21.0</v>
      </c>
      <c r="B720" s="1">
        <v>19.0</v>
      </c>
      <c r="C720" s="1">
        <v>61.0</v>
      </c>
      <c r="D720" s="1">
        <v>52.0</v>
      </c>
      <c r="F720" s="1" t="str">
        <f>LOOKUP(A720, NPCs!A:A, NPCs!C:C)</f>
        <v>Cute Defenseless Stalker</v>
      </c>
      <c r="G720" s="1" t="str">
        <f>LOOKUP(B720, Maps!A:A, Maps!B:B)</f>
        <v>Frigid Maze</v>
      </c>
    </row>
    <row r="721" ht="15.75" customHeight="1">
      <c r="A721" s="1">
        <v>21.0</v>
      </c>
      <c r="B721" s="1">
        <v>19.0</v>
      </c>
      <c r="C721" s="1">
        <v>62.0</v>
      </c>
      <c r="D721" s="1">
        <v>52.0</v>
      </c>
      <c r="F721" s="1" t="str">
        <f>LOOKUP(A721, NPCs!A:A, NPCs!C:C)</f>
        <v>Cute Defenseless Stalker</v>
      </c>
      <c r="G721" s="1" t="str">
        <f>LOOKUP(B721, Maps!A:A, Maps!B:B)</f>
        <v>Frigid Maze</v>
      </c>
    </row>
    <row r="722" ht="15.75" customHeight="1">
      <c r="A722" s="1">
        <v>21.0</v>
      </c>
      <c r="B722" s="1">
        <v>19.0</v>
      </c>
      <c r="C722" s="1">
        <v>77.0</v>
      </c>
      <c r="D722" s="1">
        <v>52.0</v>
      </c>
      <c r="F722" s="1" t="str">
        <f>LOOKUP(A722, NPCs!A:A, NPCs!C:C)</f>
        <v>Cute Defenseless Stalker</v>
      </c>
      <c r="G722" s="1" t="str">
        <f>LOOKUP(B722, Maps!A:A, Maps!B:B)</f>
        <v>Frigid Maze</v>
      </c>
    </row>
    <row r="723" ht="15.75" customHeight="1">
      <c r="A723" s="1">
        <v>21.0</v>
      </c>
      <c r="B723" s="1">
        <v>19.0</v>
      </c>
      <c r="C723" s="1">
        <v>84.0</v>
      </c>
      <c r="D723" s="1">
        <v>52.0</v>
      </c>
      <c r="F723" s="1" t="str">
        <f>LOOKUP(A723, NPCs!A:A, NPCs!C:C)</f>
        <v>Cute Defenseless Stalker</v>
      </c>
      <c r="G723" s="1" t="str">
        <f>LOOKUP(B723, Maps!A:A, Maps!B:B)</f>
        <v>Frigid Maze</v>
      </c>
    </row>
    <row r="724" ht="15.75" customHeight="1">
      <c r="A724" s="1">
        <v>21.0</v>
      </c>
      <c r="B724" s="1">
        <v>19.0</v>
      </c>
      <c r="C724" s="1">
        <v>86.0</v>
      </c>
      <c r="D724" s="1">
        <v>52.0</v>
      </c>
      <c r="F724" s="1" t="str">
        <f>LOOKUP(A724, NPCs!A:A, NPCs!C:C)</f>
        <v>Cute Defenseless Stalker</v>
      </c>
      <c r="G724" s="1" t="str">
        <f>LOOKUP(B724, Maps!A:A, Maps!B:B)</f>
        <v>Frigid Maze</v>
      </c>
    </row>
    <row r="725" ht="15.75" customHeight="1">
      <c r="A725" s="1">
        <v>21.0</v>
      </c>
      <c r="B725" s="1">
        <v>19.0</v>
      </c>
      <c r="C725" s="1">
        <v>92.0</v>
      </c>
      <c r="D725" s="1">
        <v>52.0</v>
      </c>
      <c r="F725" s="1" t="str">
        <f>LOOKUP(A725, NPCs!A:A, NPCs!C:C)</f>
        <v>Cute Defenseless Stalker</v>
      </c>
      <c r="G725" s="1" t="str">
        <f>LOOKUP(B725, Maps!A:A, Maps!B:B)</f>
        <v>Frigid Maze</v>
      </c>
    </row>
    <row r="726" ht="15.75" customHeight="1">
      <c r="A726" s="1">
        <v>21.0</v>
      </c>
      <c r="B726" s="1">
        <v>19.0</v>
      </c>
      <c r="C726" s="1">
        <v>93.0</v>
      </c>
      <c r="D726" s="1">
        <v>52.0</v>
      </c>
      <c r="F726" s="1" t="str">
        <f>LOOKUP(A726, NPCs!A:A, NPCs!C:C)</f>
        <v>Cute Defenseless Stalker</v>
      </c>
      <c r="G726" s="1" t="str">
        <f>LOOKUP(B726, Maps!A:A, Maps!B:B)</f>
        <v>Frigid Maze</v>
      </c>
    </row>
    <row r="727" ht="15.75" customHeight="1">
      <c r="A727" s="1">
        <v>22.0</v>
      </c>
      <c r="B727" s="1">
        <v>19.0</v>
      </c>
      <c r="C727" s="1">
        <v>36.0</v>
      </c>
      <c r="D727" s="1">
        <v>60.0</v>
      </c>
      <c r="F727" s="1" t="str">
        <f>LOOKUP(A727, NPCs!A:A, NPCs!C:C)</f>
        <v>Roger</v>
      </c>
      <c r="G727" s="1" t="str">
        <f>LOOKUP(B727, Maps!A:A, Maps!B:B)</f>
        <v>Frigid Maze</v>
      </c>
    </row>
    <row r="728" ht="15.75" customHeight="1">
      <c r="A728" s="1">
        <v>23.0</v>
      </c>
      <c r="B728" s="1">
        <v>19.0</v>
      </c>
      <c r="C728" s="1">
        <v>91.0</v>
      </c>
      <c r="D728" s="1">
        <v>42.0</v>
      </c>
      <c r="F728" s="1" t="str">
        <f>LOOKUP(A728, NPCs!A:A, NPCs!C:C)</f>
        <v>Leafeater</v>
      </c>
      <c r="G728" s="1" t="str">
        <f>LOOKUP(B728, Maps!A:A, Maps!B:B)</f>
        <v>Frigid Maze</v>
      </c>
    </row>
    <row r="729" ht="15.75" customHeight="1">
      <c r="A729" s="1">
        <v>24.0</v>
      </c>
      <c r="B729" s="1">
        <v>25.0</v>
      </c>
      <c r="C729" s="1">
        <v>7.0</v>
      </c>
      <c r="D729" s="1">
        <v>7.0</v>
      </c>
      <c r="F729" s="1" t="str">
        <f>LOOKUP(A729, NPCs!A:A, NPCs!C:C)</f>
        <v>Pipsqueek</v>
      </c>
      <c r="G729" s="1" t="str">
        <f>LOOKUP(B729, Maps!A:A, Maps!B:B)</f>
        <v>Boondocks</v>
      </c>
    </row>
    <row r="730" ht="15.75" customHeight="1">
      <c r="A730" s="1">
        <v>24.0</v>
      </c>
      <c r="B730" s="1">
        <v>25.0</v>
      </c>
      <c r="C730" s="1">
        <v>12.0</v>
      </c>
      <c r="D730" s="1">
        <v>7.0</v>
      </c>
      <c r="F730" s="1" t="str">
        <f>LOOKUP(A730, NPCs!A:A, NPCs!C:C)</f>
        <v>Pipsqueek</v>
      </c>
      <c r="G730" s="1" t="str">
        <f>LOOKUP(B730, Maps!A:A, Maps!B:B)</f>
        <v>Boondocks</v>
      </c>
    </row>
    <row r="731" ht="15.75" customHeight="1">
      <c r="A731" s="1">
        <v>24.0</v>
      </c>
      <c r="B731" s="1">
        <v>25.0</v>
      </c>
      <c r="C731" s="1">
        <v>14.0</v>
      </c>
      <c r="D731" s="1">
        <v>7.0</v>
      </c>
      <c r="F731" s="1" t="str">
        <f>LOOKUP(A731, NPCs!A:A, NPCs!C:C)</f>
        <v>Pipsqueek</v>
      </c>
      <c r="G731" s="1" t="str">
        <f>LOOKUP(B731, Maps!A:A, Maps!B:B)</f>
        <v>Boondocks</v>
      </c>
    </row>
    <row r="732" ht="15.75" customHeight="1">
      <c r="A732" s="1">
        <v>24.0</v>
      </c>
      <c r="B732" s="1">
        <v>25.0</v>
      </c>
      <c r="C732" s="1">
        <v>17.0</v>
      </c>
      <c r="D732" s="1">
        <v>7.0</v>
      </c>
      <c r="F732" s="1" t="str">
        <f>LOOKUP(A732, NPCs!A:A, NPCs!C:C)</f>
        <v>Pipsqueek</v>
      </c>
      <c r="G732" s="1" t="str">
        <f>LOOKUP(B732, Maps!A:A, Maps!B:B)</f>
        <v>Boondocks</v>
      </c>
    </row>
    <row r="733" ht="15.75" customHeight="1">
      <c r="A733" s="1">
        <v>24.0</v>
      </c>
      <c r="B733" s="1">
        <v>25.0</v>
      </c>
      <c r="C733" s="1">
        <v>20.0</v>
      </c>
      <c r="D733" s="1">
        <v>7.0</v>
      </c>
      <c r="F733" s="1" t="str">
        <f>LOOKUP(A733, NPCs!A:A, NPCs!C:C)</f>
        <v>Pipsqueek</v>
      </c>
      <c r="G733" s="1" t="str">
        <f>LOOKUP(B733, Maps!A:A, Maps!B:B)</f>
        <v>Boondocks</v>
      </c>
    </row>
    <row r="734" ht="15.75" customHeight="1">
      <c r="A734" s="1">
        <v>24.0</v>
      </c>
      <c r="B734" s="1">
        <v>25.0</v>
      </c>
      <c r="C734" s="1">
        <v>25.0</v>
      </c>
      <c r="D734" s="1">
        <v>7.0</v>
      </c>
      <c r="F734" s="1" t="str">
        <f>LOOKUP(A734, NPCs!A:A, NPCs!C:C)</f>
        <v>Pipsqueek</v>
      </c>
      <c r="G734" s="1" t="str">
        <f>LOOKUP(B734, Maps!A:A, Maps!B:B)</f>
        <v>Boondocks</v>
      </c>
    </row>
    <row r="735" ht="15.75" customHeight="1">
      <c r="A735" s="1">
        <v>24.0</v>
      </c>
      <c r="B735" s="1">
        <v>25.0</v>
      </c>
      <c r="C735" s="1">
        <v>40.0</v>
      </c>
      <c r="D735" s="1">
        <v>7.0</v>
      </c>
      <c r="F735" s="1" t="str">
        <f>LOOKUP(A735, NPCs!A:A, NPCs!C:C)</f>
        <v>Pipsqueek</v>
      </c>
      <c r="G735" s="1" t="str">
        <f>LOOKUP(B735, Maps!A:A, Maps!B:B)</f>
        <v>Boondocks</v>
      </c>
    </row>
    <row r="736" ht="15.75" customHeight="1">
      <c r="A736" s="1">
        <v>24.0</v>
      </c>
      <c r="B736" s="1">
        <v>25.0</v>
      </c>
      <c r="C736" s="1">
        <v>45.0</v>
      </c>
      <c r="D736" s="1">
        <v>7.0</v>
      </c>
      <c r="F736" s="1" t="str">
        <f>LOOKUP(A736, NPCs!A:A, NPCs!C:C)</f>
        <v>Pipsqueek</v>
      </c>
      <c r="G736" s="1" t="str">
        <f>LOOKUP(B736, Maps!A:A, Maps!B:B)</f>
        <v>Boondocks</v>
      </c>
    </row>
    <row r="737" ht="15.75" customHeight="1">
      <c r="A737" s="1">
        <v>24.0</v>
      </c>
      <c r="B737" s="1">
        <v>25.0</v>
      </c>
      <c r="C737" s="1">
        <v>48.0</v>
      </c>
      <c r="D737" s="1">
        <v>7.0</v>
      </c>
      <c r="F737" s="1" t="str">
        <f>LOOKUP(A737, NPCs!A:A, NPCs!C:C)</f>
        <v>Pipsqueek</v>
      </c>
      <c r="G737" s="1" t="str">
        <f>LOOKUP(B737, Maps!A:A, Maps!B:B)</f>
        <v>Boondocks</v>
      </c>
    </row>
    <row r="738" ht="15.75" customHeight="1">
      <c r="A738" s="1">
        <v>24.0</v>
      </c>
      <c r="B738" s="1">
        <v>25.0</v>
      </c>
      <c r="C738" s="1">
        <v>51.0</v>
      </c>
      <c r="D738" s="1">
        <v>7.0</v>
      </c>
      <c r="F738" s="1" t="str">
        <f>LOOKUP(A738, NPCs!A:A, NPCs!C:C)</f>
        <v>Pipsqueek</v>
      </c>
      <c r="G738" s="1" t="str">
        <f>LOOKUP(B738, Maps!A:A, Maps!B:B)</f>
        <v>Boondocks</v>
      </c>
    </row>
    <row r="739" ht="15.75" customHeight="1">
      <c r="A739" s="1">
        <v>24.0</v>
      </c>
      <c r="B739" s="1">
        <v>25.0</v>
      </c>
      <c r="C739" s="1">
        <v>57.0</v>
      </c>
      <c r="D739" s="1">
        <v>7.0</v>
      </c>
      <c r="F739" s="1" t="str">
        <f>LOOKUP(A739, NPCs!A:A, NPCs!C:C)</f>
        <v>Pipsqueek</v>
      </c>
      <c r="G739" s="1" t="str">
        <f>LOOKUP(B739, Maps!A:A, Maps!B:B)</f>
        <v>Boondocks</v>
      </c>
    </row>
    <row r="740" ht="15.75" customHeight="1">
      <c r="A740" s="1">
        <v>24.0</v>
      </c>
      <c r="B740" s="1">
        <v>25.0</v>
      </c>
      <c r="C740" s="1">
        <v>75.0</v>
      </c>
      <c r="D740" s="1">
        <v>7.0</v>
      </c>
      <c r="F740" s="1" t="str">
        <f>LOOKUP(A740, NPCs!A:A, NPCs!C:C)</f>
        <v>Pipsqueek</v>
      </c>
      <c r="G740" s="1" t="str">
        <f>LOOKUP(B740, Maps!A:A, Maps!B:B)</f>
        <v>Boondocks</v>
      </c>
    </row>
    <row r="741" ht="15.75" customHeight="1">
      <c r="A741" s="1">
        <v>24.0</v>
      </c>
      <c r="B741" s="1">
        <v>25.0</v>
      </c>
      <c r="C741" s="1">
        <v>80.0</v>
      </c>
      <c r="D741" s="1">
        <v>7.0</v>
      </c>
      <c r="F741" s="1" t="str">
        <f>LOOKUP(A741, NPCs!A:A, NPCs!C:C)</f>
        <v>Pipsqueek</v>
      </c>
      <c r="G741" s="1" t="str">
        <f>LOOKUP(B741, Maps!A:A, Maps!B:B)</f>
        <v>Boondocks</v>
      </c>
    </row>
    <row r="742" ht="15.75" customHeight="1">
      <c r="A742" s="1">
        <v>24.0</v>
      </c>
      <c r="B742" s="1">
        <v>25.0</v>
      </c>
      <c r="C742" s="1">
        <v>85.0</v>
      </c>
      <c r="D742" s="1">
        <v>7.0</v>
      </c>
      <c r="F742" s="1" t="str">
        <f>LOOKUP(A742, NPCs!A:A, NPCs!C:C)</f>
        <v>Pipsqueek</v>
      </c>
      <c r="G742" s="1" t="str">
        <f>LOOKUP(B742, Maps!A:A, Maps!B:B)</f>
        <v>Boondocks</v>
      </c>
    </row>
    <row r="743" ht="15.75" customHeight="1">
      <c r="A743" s="1">
        <v>24.0</v>
      </c>
      <c r="B743" s="1">
        <v>25.0</v>
      </c>
      <c r="C743" s="1">
        <v>90.0</v>
      </c>
      <c r="D743" s="1">
        <v>7.0</v>
      </c>
      <c r="F743" s="1" t="str">
        <f>LOOKUP(A743, NPCs!A:A, NPCs!C:C)</f>
        <v>Pipsqueek</v>
      </c>
      <c r="G743" s="1" t="str">
        <f>LOOKUP(B743, Maps!A:A, Maps!B:B)</f>
        <v>Boondocks</v>
      </c>
    </row>
    <row r="744" ht="15.75" customHeight="1">
      <c r="A744" s="1">
        <v>24.0</v>
      </c>
      <c r="B744" s="1">
        <v>25.0</v>
      </c>
      <c r="C744" s="1">
        <v>12.0</v>
      </c>
      <c r="D744" s="1">
        <v>15.0</v>
      </c>
      <c r="F744" s="1" t="str">
        <f>LOOKUP(A744, NPCs!A:A, NPCs!C:C)</f>
        <v>Pipsqueek</v>
      </c>
      <c r="G744" s="1" t="str">
        <f>LOOKUP(B744, Maps!A:A, Maps!B:B)</f>
        <v>Boondocks</v>
      </c>
    </row>
    <row r="745" ht="15.75" customHeight="1">
      <c r="A745" s="1">
        <v>24.0</v>
      </c>
      <c r="B745" s="1">
        <v>25.0</v>
      </c>
      <c r="C745" s="1">
        <v>14.0</v>
      </c>
      <c r="D745" s="1">
        <v>15.0</v>
      </c>
      <c r="F745" s="1" t="str">
        <f>LOOKUP(A745, NPCs!A:A, NPCs!C:C)</f>
        <v>Pipsqueek</v>
      </c>
      <c r="G745" s="1" t="str">
        <f>LOOKUP(B745, Maps!A:A, Maps!B:B)</f>
        <v>Boondocks</v>
      </c>
    </row>
    <row r="746" ht="15.75" customHeight="1">
      <c r="A746" s="1">
        <v>24.0</v>
      </c>
      <c r="B746" s="1">
        <v>25.0</v>
      </c>
      <c r="C746" s="1">
        <v>17.0</v>
      </c>
      <c r="D746" s="1">
        <v>15.0</v>
      </c>
      <c r="F746" s="1" t="str">
        <f>LOOKUP(A746, NPCs!A:A, NPCs!C:C)</f>
        <v>Pipsqueek</v>
      </c>
      <c r="G746" s="1" t="str">
        <f>LOOKUP(B746, Maps!A:A, Maps!B:B)</f>
        <v>Boondocks</v>
      </c>
    </row>
    <row r="747" ht="15.75" customHeight="1">
      <c r="A747" s="1">
        <v>24.0</v>
      </c>
      <c r="B747" s="1">
        <v>25.0</v>
      </c>
      <c r="C747" s="1">
        <v>20.0</v>
      </c>
      <c r="D747" s="1">
        <v>15.0</v>
      </c>
      <c r="F747" s="1" t="str">
        <f>LOOKUP(A747, NPCs!A:A, NPCs!C:C)</f>
        <v>Pipsqueek</v>
      </c>
      <c r="G747" s="1" t="str">
        <f>LOOKUP(B747, Maps!A:A, Maps!B:B)</f>
        <v>Boondocks</v>
      </c>
    </row>
    <row r="748" ht="15.75" customHeight="1">
      <c r="A748" s="1">
        <v>24.0</v>
      </c>
      <c r="B748" s="1">
        <v>25.0</v>
      </c>
      <c r="C748" s="1">
        <v>25.0</v>
      </c>
      <c r="D748" s="1">
        <v>15.0</v>
      </c>
      <c r="F748" s="1" t="str">
        <f>LOOKUP(A748, NPCs!A:A, NPCs!C:C)</f>
        <v>Pipsqueek</v>
      </c>
      <c r="G748" s="1" t="str">
        <f>LOOKUP(B748, Maps!A:A, Maps!B:B)</f>
        <v>Boondocks</v>
      </c>
    </row>
    <row r="749" ht="15.75" customHeight="1">
      <c r="A749" s="1">
        <v>24.0</v>
      </c>
      <c r="B749" s="1">
        <v>25.0</v>
      </c>
      <c r="C749" s="1">
        <v>40.0</v>
      </c>
      <c r="D749" s="1">
        <v>15.0</v>
      </c>
      <c r="F749" s="1" t="str">
        <f>LOOKUP(A749, NPCs!A:A, NPCs!C:C)</f>
        <v>Pipsqueek</v>
      </c>
      <c r="G749" s="1" t="str">
        <f>LOOKUP(B749, Maps!A:A, Maps!B:B)</f>
        <v>Boondocks</v>
      </c>
    </row>
    <row r="750" ht="15.75" customHeight="1">
      <c r="A750" s="1">
        <v>24.0</v>
      </c>
      <c r="B750" s="1">
        <v>25.0</v>
      </c>
      <c r="C750" s="1">
        <v>45.0</v>
      </c>
      <c r="D750" s="1">
        <v>15.0</v>
      </c>
      <c r="F750" s="1" t="str">
        <f>LOOKUP(A750, NPCs!A:A, NPCs!C:C)</f>
        <v>Pipsqueek</v>
      </c>
      <c r="G750" s="1" t="str">
        <f>LOOKUP(B750, Maps!A:A, Maps!B:B)</f>
        <v>Boondocks</v>
      </c>
    </row>
    <row r="751" ht="15.75" customHeight="1">
      <c r="A751" s="1">
        <v>24.0</v>
      </c>
      <c r="B751" s="1">
        <v>25.0</v>
      </c>
      <c r="C751" s="1">
        <v>48.0</v>
      </c>
      <c r="D751" s="1">
        <v>15.0</v>
      </c>
      <c r="F751" s="1" t="str">
        <f>LOOKUP(A751, NPCs!A:A, NPCs!C:C)</f>
        <v>Pipsqueek</v>
      </c>
      <c r="G751" s="1" t="str">
        <f>LOOKUP(B751, Maps!A:A, Maps!B:B)</f>
        <v>Boondocks</v>
      </c>
    </row>
    <row r="752" ht="15.75" customHeight="1">
      <c r="A752" s="1">
        <v>24.0</v>
      </c>
      <c r="B752" s="1">
        <v>25.0</v>
      </c>
      <c r="C752" s="1">
        <v>51.0</v>
      </c>
      <c r="D752" s="1">
        <v>15.0</v>
      </c>
      <c r="F752" s="1" t="str">
        <f>LOOKUP(A752, NPCs!A:A, NPCs!C:C)</f>
        <v>Pipsqueek</v>
      </c>
      <c r="G752" s="1" t="str">
        <f>LOOKUP(B752, Maps!A:A, Maps!B:B)</f>
        <v>Boondocks</v>
      </c>
    </row>
    <row r="753" ht="15.75" customHeight="1">
      <c r="A753" s="1">
        <v>24.0</v>
      </c>
      <c r="B753" s="1">
        <v>25.0</v>
      </c>
      <c r="C753" s="1">
        <v>57.0</v>
      </c>
      <c r="D753" s="1">
        <v>15.0</v>
      </c>
      <c r="F753" s="1" t="str">
        <f>LOOKUP(A753, NPCs!A:A, NPCs!C:C)</f>
        <v>Pipsqueek</v>
      </c>
      <c r="G753" s="1" t="str">
        <f>LOOKUP(B753, Maps!A:A, Maps!B:B)</f>
        <v>Boondocks</v>
      </c>
    </row>
    <row r="754" ht="15.75" customHeight="1">
      <c r="A754" s="1">
        <v>24.0</v>
      </c>
      <c r="B754" s="1">
        <v>25.0</v>
      </c>
      <c r="C754" s="1">
        <v>75.0</v>
      </c>
      <c r="D754" s="1">
        <v>15.0</v>
      </c>
      <c r="F754" s="1" t="str">
        <f>LOOKUP(A754, NPCs!A:A, NPCs!C:C)</f>
        <v>Pipsqueek</v>
      </c>
      <c r="G754" s="1" t="str">
        <f>LOOKUP(B754, Maps!A:A, Maps!B:B)</f>
        <v>Boondocks</v>
      </c>
    </row>
    <row r="755" ht="15.75" customHeight="1">
      <c r="A755" s="1">
        <v>24.0</v>
      </c>
      <c r="B755" s="1">
        <v>25.0</v>
      </c>
      <c r="C755" s="1">
        <v>80.0</v>
      </c>
      <c r="D755" s="1">
        <v>15.0</v>
      </c>
      <c r="F755" s="1" t="str">
        <f>LOOKUP(A755, NPCs!A:A, NPCs!C:C)</f>
        <v>Pipsqueek</v>
      </c>
      <c r="G755" s="1" t="str">
        <f>LOOKUP(B755, Maps!A:A, Maps!B:B)</f>
        <v>Boondocks</v>
      </c>
    </row>
    <row r="756" ht="15.75" customHeight="1">
      <c r="A756" s="1">
        <v>24.0</v>
      </c>
      <c r="B756" s="1">
        <v>25.0</v>
      </c>
      <c r="C756" s="1">
        <v>85.0</v>
      </c>
      <c r="D756" s="1">
        <v>15.0</v>
      </c>
      <c r="F756" s="1" t="str">
        <f>LOOKUP(A756, NPCs!A:A, NPCs!C:C)</f>
        <v>Pipsqueek</v>
      </c>
      <c r="G756" s="1" t="str">
        <f>LOOKUP(B756, Maps!A:A, Maps!B:B)</f>
        <v>Boondocks</v>
      </c>
    </row>
    <row r="757" ht="15.75" customHeight="1">
      <c r="A757" s="1">
        <v>24.0</v>
      </c>
      <c r="B757" s="1">
        <v>25.0</v>
      </c>
      <c r="C757" s="1">
        <v>90.0</v>
      </c>
      <c r="D757" s="1">
        <v>15.0</v>
      </c>
      <c r="F757" s="1" t="str">
        <f>LOOKUP(A757, NPCs!A:A, NPCs!C:C)</f>
        <v>Pipsqueek</v>
      </c>
      <c r="G757" s="1" t="str">
        <f>LOOKUP(B757, Maps!A:A, Maps!B:B)</f>
        <v>Boondocks</v>
      </c>
    </row>
    <row r="758" ht="15.75" customHeight="1">
      <c r="A758" s="1">
        <v>24.0</v>
      </c>
      <c r="B758" s="1">
        <v>25.0</v>
      </c>
      <c r="C758" s="1">
        <v>12.0</v>
      </c>
      <c r="D758" s="1">
        <v>20.0</v>
      </c>
      <c r="F758" s="1" t="str">
        <f>LOOKUP(A758, NPCs!A:A, NPCs!C:C)</f>
        <v>Pipsqueek</v>
      </c>
      <c r="G758" s="1" t="str">
        <f>LOOKUP(B758, Maps!A:A, Maps!B:B)</f>
        <v>Boondocks</v>
      </c>
    </row>
    <row r="759" ht="15.75" customHeight="1">
      <c r="A759" s="1">
        <v>24.0</v>
      </c>
      <c r="B759" s="1">
        <v>25.0</v>
      </c>
      <c r="C759" s="1">
        <v>14.0</v>
      </c>
      <c r="D759" s="1">
        <v>20.0</v>
      </c>
      <c r="F759" s="1" t="str">
        <f>LOOKUP(A759, NPCs!A:A, NPCs!C:C)</f>
        <v>Pipsqueek</v>
      </c>
      <c r="G759" s="1" t="str">
        <f>LOOKUP(B759, Maps!A:A, Maps!B:B)</f>
        <v>Boondocks</v>
      </c>
    </row>
    <row r="760" ht="15.75" customHeight="1">
      <c r="A760" s="1">
        <v>24.0</v>
      </c>
      <c r="B760" s="1">
        <v>25.0</v>
      </c>
      <c r="C760" s="1">
        <v>17.0</v>
      </c>
      <c r="D760" s="1">
        <v>20.0</v>
      </c>
      <c r="F760" s="1" t="str">
        <f>LOOKUP(A760, NPCs!A:A, NPCs!C:C)</f>
        <v>Pipsqueek</v>
      </c>
      <c r="G760" s="1" t="str">
        <f>LOOKUP(B760, Maps!A:A, Maps!B:B)</f>
        <v>Boondocks</v>
      </c>
    </row>
    <row r="761" ht="15.75" customHeight="1">
      <c r="A761" s="1">
        <v>24.0</v>
      </c>
      <c r="B761" s="1">
        <v>25.0</v>
      </c>
      <c r="C761" s="1">
        <v>20.0</v>
      </c>
      <c r="D761" s="1">
        <v>20.0</v>
      </c>
      <c r="F761" s="1" t="str">
        <f>LOOKUP(A761, NPCs!A:A, NPCs!C:C)</f>
        <v>Pipsqueek</v>
      </c>
      <c r="G761" s="1" t="str">
        <f>LOOKUP(B761, Maps!A:A, Maps!B:B)</f>
        <v>Boondocks</v>
      </c>
    </row>
    <row r="762" ht="15.75" customHeight="1">
      <c r="A762" s="1">
        <v>24.0</v>
      </c>
      <c r="B762" s="1">
        <v>25.0</v>
      </c>
      <c r="C762" s="1">
        <v>25.0</v>
      </c>
      <c r="D762" s="1">
        <v>20.0</v>
      </c>
      <c r="F762" s="1" t="str">
        <f>LOOKUP(A762, NPCs!A:A, NPCs!C:C)</f>
        <v>Pipsqueek</v>
      </c>
      <c r="G762" s="1" t="str">
        <f>LOOKUP(B762, Maps!A:A, Maps!B:B)</f>
        <v>Boondocks</v>
      </c>
    </row>
    <row r="763" ht="15.75" customHeight="1">
      <c r="A763" s="1">
        <v>24.0</v>
      </c>
      <c r="B763" s="1">
        <v>25.0</v>
      </c>
      <c r="C763" s="1">
        <v>40.0</v>
      </c>
      <c r="D763" s="1">
        <v>20.0</v>
      </c>
      <c r="F763" s="1" t="str">
        <f>LOOKUP(A763, NPCs!A:A, NPCs!C:C)</f>
        <v>Pipsqueek</v>
      </c>
      <c r="G763" s="1" t="str">
        <f>LOOKUP(B763, Maps!A:A, Maps!B:B)</f>
        <v>Boondocks</v>
      </c>
    </row>
    <row r="764" ht="15.75" customHeight="1">
      <c r="A764" s="1">
        <v>24.0</v>
      </c>
      <c r="B764" s="1">
        <v>25.0</v>
      </c>
      <c r="C764" s="1">
        <v>45.0</v>
      </c>
      <c r="D764" s="1">
        <v>20.0</v>
      </c>
      <c r="F764" s="1" t="str">
        <f>LOOKUP(A764, NPCs!A:A, NPCs!C:C)</f>
        <v>Pipsqueek</v>
      </c>
      <c r="G764" s="1" t="str">
        <f>LOOKUP(B764, Maps!A:A, Maps!B:B)</f>
        <v>Boondocks</v>
      </c>
    </row>
    <row r="765" ht="15.75" customHeight="1">
      <c r="A765" s="1">
        <v>24.0</v>
      </c>
      <c r="B765" s="1">
        <v>25.0</v>
      </c>
      <c r="C765" s="1">
        <v>48.0</v>
      </c>
      <c r="D765" s="1">
        <v>20.0</v>
      </c>
      <c r="F765" s="1" t="str">
        <f>LOOKUP(A765, NPCs!A:A, NPCs!C:C)</f>
        <v>Pipsqueek</v>
      </c>
      <c r="G765" s="1" t="str">
        <f>LOOKUP(B765, Maps!A:A, Maps!B:B)</f>
        <v>Boondocks</v>
      </c>
    </row>
    <row r="766" ht="15.75" customHeight="1">
      <c r="A766" s="1">
        <v>24.0</v>
      </c>
      <c r="B766" s="1">
        <v>25.0</v>
      </c>
      <c r="C766" s="1">
        <v>51.0</v>
      </c>
      <c r="D766" s="1">
        <v>20.0</v>
      </c>
      <c r="F766" s="1" t="str">
        <f>LOOKUP(A766, NPCs!A:A, NPCs!C:C)</f>
        <v>Pipsqueek</v>
      </c>
      <c r="G766" s="1" t="str">
        <f>LOOKUP(B766, Maps!A:A, Maps!B:B)</f>
        <v>Boondocks</v>
      </c>
    </row>
    <row r="767" ht="15.75" customHeight="1">
      <c r="A767" s="1">
        <v>24.0</v>
      </c>
      <c r="B767" s="1">
        <v>25.0</v>
      </c>
      <c r="C767" s="1">
        <v>57.0</v>
      </c>
      <c r="D767" s="1">
        <v>20.0</v>
      </c>
      <c r="F767" s="1" t="str">
        <f>LOOKUP(A767, NPCs!A:A, NPCs!C:C)</f>
        <v>Pipsqueek</v>
      </c>
      <c r="G767" s="1" t="str">
        <f>LOOKUP(B767, Maps!A:A, Maps!B:B)</f>
        <v>Boondocks</v>
      </c>
    </row>
    <row r="768" ht="15.75" customHeight="1">
      <c r="A768" s="1">
        <v>24.0</v>
      </c>
      <c r="B768" s="1">
        <v>25.0</v>
      </c>
      <c r="C768" s="1">
        <v>75.0</v>
      </c>
      <c r="D768" s="1">
        <v>20.0</v>
      </c>
      <c r="F768" s="1" t="str">
        <f>LOOKUP(A768, NPCs!A:A, NPCs!C:C)</f>
        <v>Pipsqueek</v>
      </c>
      <c r="G768" s="1" t="str">
        <f>LOOKUP(B768, Maps!A:A, Maps!B:B)</f>
        <v>Boondocks</v>
      </c>
    </row>
    <row r="769" ht="15.75" customHeight="1">
      <c r="A769" s="1">
        <v>24.0</v>
      </c>
      <c r="B769" s="1">
        <v>25.0</v>
      </c>
      <c r="C769" s="1">
        <v>80.0</v>
      </c>
      <c r="D769" s="1">
        <v>20.0</v>
      </c>
      <c r="F769" s="1" t="str">
        <f>LOOKUP(A769, NPCs!A:A, NPCs!C:C)</f>
        <v>Pipsqueek</v>
      </c>
      <c r="G769" s="1" t="str">
        <f>LOOKUP(B769, Maps!A:A, Maps!B:B)</f>
        <v>Boondocks</v>
      </c>
    </row>
    <row r="770" ht="15.75" customHeight="1">
      <c r="A770" s="1">
        <v>24.0</v>
      </c>
      <c r="B770" s="1">
        <v>25.0</v>
      </c>
      <c r="C770" s="1">
        <v>85.0</v>
      </c>
      <c r="D770" s="1">
        <v>20.0</v>
      </c>
      <c r="F770" s="1" t="str">
        <f>LOOKUP(A770, NPCs!A:A, NPCs!C:C)</f>
        <v>Pipsqueek</v>
      </c>
      <c r="G770" s="1" t="str">
        <f>LOOKUP(B770, Maps!A:A, Maps!B:B)</f>
        <v>Boondocks</v>
      </c>
    </row>
    <row r="771" ht="15.75" customHeight="1">
      <c r="A771" s="1">
        <v>24.0</v>
      </c>
      <c r="B771" s="1">
        <v>25.0</v>
      </c>
      <c r="C771" s="1">
        <v>90.0</v>
      </c>
      <c r="D771" s="1">
        <v>20.0</v>
      </c>
      <c r="F771" s="1" t="str">
        <f>LOOKUP(A771, NPCs!A:A, NPCs!C:C)</f>
        <v>Pipsqueek</v>
      </c>
      <c r="G771" s="1" t="str">
        <f>LOOKUP(B771, Maps!A:A, Maps!B:B)</f>
        <v>Boondocks</v>
      </c>
    </row>
    <row r="772" ht="15.75" customHeight="1">
      <c r="A772" s="1">
        <v>24.0</v>
      </c>
      <c r="B772" s="1">
        <v>25.0</v>
      </c>
      <c r="C772" s="1">
        <v>12.0</v>
      </c>
      <c r="D772" s="1">
        <v>25.0</v>
      </c>
      <c r="F772" s="1" t="str">
        <f>LOOKUP(A772, NPCs!A:A, NPCs!C:C)</f>
        <v>Pipsqueek</v>
      </c>
      <c r="G772" s="1" t="str">
        <f>LOOKUP(B772, Maps!A:A, Maps!B:B)</f>
        <v>Boondocks</v>
      </c>
    </row>
    <row r="773" ht="15.75" customHeight="1">
      <c r="A773" s="1">
        <v>24.0</v>
      </c>
      <c r="B773" s="1">
        <v>25.0</v>
      </c>
      <c r="C773" s="1">
        <v>14.0</v>
      </c>
      <c r="D773" s="1">
        <v>25.0</v>
      </c>
      <c r="F773" s="1" t="str">
        <f>LOOKUP(A773, NPCs!A:A, NPCs!C:C)</f>
        <v>Pipsqueek</v>
      </c>
      <c r="G773" s="1" t="str">
        <f>LOOKUP(B773, Maps!A:A, Maps!B:B)</f>
        <v>Boondocks</v>
      </c>
    </row>
    <row r="774" ht="15.75" customHeight="1">
      <c r="A774" s="1">
        <v>24.0</v>
      </c>
      <c r="B774" s="1">
        <v>25.0</v>
      </c>
      <c r="C774" s="1">
        <v>17.0</v>
      </c>
      <c r="D774" s="1">
        <v>25.0</v>
      </c>
      <c r="F774" s="1" t="str">
        <f>LOOKUP(A774, NPCs!A:A, NPCs!C:C)</f>
        <v>Pipsqueek</v>
      </c>
      <c r="G774" s="1" t="str">
        <f>LOOKUP(B774, Maps!A:A, Maps!B:B)</f>
        <v>Boondocks</v>
      </c>
    </row>
    <row r="775" ht="15.75" customHeight="1">
      <c r="A775" s="1">
        <v>24.0</v>
      </c>
      <c r="B775" s="1">
        <v>25.0</v>
      </c>
      <c r="C775" s="1">
        <v>20.0</v>
      </c>
      <c r="D775" s="1">
        <v>25.0</v>
      </c>
      <c r="F775" s="1" t="str">
        <f>LOOKUP(A775, NPCs!A:A, NPCs!C:C)</f>
        <v>Pipsqueek</v>
      </c>
      <c r="G775" s="1" t="str">
        <f>LOOKUP(B775, Maps!A:A, Maps!B:B)</f>
        <v>Boondocks</v>
      </c>
    </row>
    <row r="776" ht="15.75" customHeight="1">
      <c r="A776" s="1">
        <v>24.0</v>
      </c>
      <c r="B776" s="1">
        <v>25.0</v>
      </c>
      <c r="C776" s="1">
        <v>25.0</v>
      </c>
      <c r="D776" s="1">
        <v>25.0</v>
      </c>
      <c r="F776" s="1" t="str">
        <f>LOOKUP(A776, NPCs!A:A, NPCs!C:C)</f>
        <v>Pipsqueek</v>
      </c>
      <c r="G776" s="1" t="str">
        <f>LOOKUP(B776, Maps!A:A, Maps!B:B)</f>
        <v>Boondocks</v>
      </c>
    </row>
    <row r="777" ht="15.75" customHeight="1">
      <c r="A777" s="1">
        <v>24.0</v>
      </c>
      <c r="B777" s="1">
        <v>25.0</v>
      </c>
      <c r="C777" s="1">
        <v>40.0</v>
      </c>
      <c r="D777" s="1">
        <v>25.0</v>
      </c>
      <c r="F777" s="1" t="str">
        <f>LOOKUP(A777, NPCs!A:A, NPCs!C:C)</f>
        <v>Pipsqueek</v>
      </c>
      <c r="G777" s="1" t="str">
        <f>LOOKUP(B777, Maps!A:A, Maps!B:B)</f>
        <v>Boondocks</v>
      </c>
    </row>
    <row r="778" ht="15.75" customHeight="1">
      <c r="A778" s="1">
        <v>24.0</v>
      </c>
      <c r="B778" s="1">
        <v>25.0</v>
      </c>
      <c r="C778" s="1">
        <v>45.0</v>
      </c>
      <c r="D778" s="1">
        <v>25.0</v>
      </c>
      <c r="F778" s="1" t="str">
        <f>LOOKUP(A778, NPCs!A:A, NPCs!C:C)</f>
        <v>Pipsqueek</v>
      </c>
      <c r="G778" s="1" t="str">
        <f>LOOKUP(B778, Maps!A:A, Maps!B:B)</f>
        <v>Boondocks</v>
      </c>
    </row>
    <row r="779" ht="15.75" customHeight="1">
      <c r="A779" s="1">
        <v>24.0</v>
      </c>
      <c r="B779" s="1">
        <v>25.0</v>
      </c>
      <c r="C779" s="1">
        <v>48.0</v>
      </c>
      <c r="D779" s="1">
        <v>25.0</v>
      </c>
      <c r="F779" s="1" t="str">
        <f>LOOKUP(A779, NPCs!A:A, NPCs!C:C)</f>
        <v>Pipsqueek</v>
      </c>
      <c r="G779" s="1" t="str">
        <f>LOOKUP(B779, Maps!A:A, Maps!B:B)</f>
        <v>Boondocks</v>
      </c>
    </row>
    <row r="780" ht="15.75" customHeight="1">
      <c r="A780" s="1">
        <v>24.0</v>
      </c>
      <c r="B780" s="1">
        <v>25.0</v>
      </c>
      <c r="C780" s="1">
        <v>51.0</v>
      </c>
      <c r="D780" s="1">
        <v>25.0</v>
      </c>
      <c r="F780" s="1" t="str">
        <f>LOOKUP(A780, NPCs!A:A, NPCs!C:C)</f>
        <v>Pipsqueek</v>
      </c>
      <c r="G780" s="1" t="str">
        <f>LOOKUP(B780, Maps!A:A, Maps!B:B)</f>
        <v>Boondocks</v>
      </c>
    </row>
    <row r="781" ht="15.75" customHeight="1">
      <c r="A781" s="1">
        <v>24.0</v>
      </c>
      <c r="B781" s="1">
        <v>25.0</v>
      </c>
      <c r="C781" s="1">
        <v>57.0</v>
      </c>
      <c r="D781" s="1">
        <v>25.0</v>
      </c>
      <c r="F781" s="1" t="str">
        <f>LOOKUP(A781, NPCs!A:A, NPCs!C:C)</f>
        <v>Pipsqueek</v>
      </c>
      <c r="G781" s="1" t="str">
        <f>LOOKUP(B781, Maps!A:A, Maps!B:B)</f>
        <v>Boondocks</v>
      </c>
    </row>
    <row r="782" ht="15.75" customHeight="1">
      <c r="A782" s="1">
        <v>24.0</v>
      </c>
      <c r="B782" s="1">
        <v>25.0</v>
      </c>
      <c r="C782" s="1">
        <v>75.0</v>
      </c>
      <c r="D782" s="1">
        <v>25.0</v>
      </c>
      <c r="F782" s="1" t="str">
        <f>LOOKUP(A782, NPCs!A:A, NPCs!C:C)</f>
        <v>Pipsqueek</v>
      </c>
      <c r="G782" s="1" t="str">
        <f>LOOKUP(B782, Maps!A:A, Maps!B:B)</f>
        <v>Boondocks</v>
      </c>
    </row>
    <row r="783" ht="15.75" customHeight="1">
      <c r="A783" s="1">
        <v>24.0</v>
      </c>
      <c r="B783" s="1">
        <v>25.0</v>
      </c>
      <c r="C783" s="1">
        <v>80.0</v>
      </c>
      <c r="D783" s="1">
        <v>25.0</v>
      </c>
      <c r="F783" s="1" t="str">
        <f>LOOKUP(A783, NPCs!A:A, NPCs!C:C)</f>
        <v>Pipsqueek</v>
      </c>
      <c r="G783" s="1" t="str">
        <f>LOOKUP(B783, Maps!A:A, Maps!B:B)</f>
        <v>Boondocks</v>
      </c>
    </row>
    <row r="784" ht="15.75" customHeight="1">
      <c r="A784" s="1">
        <v>24.0</v>
      </c>
      <c r="B784" s="1">
        <v>25.0</v>
      </c>
      <c r="C784" s="1">
        <v>85.0</v>
      </c>
      <c r="D784" s="1">
        <v>25.0</v>
      </c>
      <c r="F784" s="1" t="str">
        <f>LOOKUP(A784, NPCs!A:A, NPCs!C:C)</f>
        <v>Pipsqueek</v>
      </c>
      <c r="G784" s="1" t="str">
        <f>LOOKUP(B784, Maps!A:A, Maps!B:B)</f>
        <v>Boondocks</v>
      </c>
    </row>
    <row r="785" ht="15.75" customHeight="1">
      <c r="A785" s="1">
        <v>24.0</v>
      </c>
      <c r="B785" s="1">
        <v>25.0</v>
      </c>
      <c r="C785" s="1">
        <v>90.0</v>
      </c>
      <c r="D785" s="1">
        <v>25.0</v>
      </c>
      <c r="F785" s="1" t="str">
        <f>LOOKUP(A785, NPCs!A:A, NPCs!C:C)</f>
        <v>Pipsqueek</v>
      </c>
      <c r="G785" s="1" t="str">
        <f>LOOKUP(B785, Maps!A:A, Maps!B:B)</f>
        <v>Boondocks</v>
      </c>
    </row>
    <row r="786" ht="15.75" customHeight="1">
      <c r="A786" s="1">
        <v>24.0</v>
      </c>
      <c r="B786" s="1">
        <v>25.0</v>
      </c>
      <c r="C786" s="1">
        <v>12.0</v>
      </c>
      <c r="D786" s="1">
        <v>33.0</v>
      </c>
      <c r="F786" s="1" t="str">
        <f>LOOKUP(A786, NPCs!A:A, NPCs!C:C)</f>
        <v>Pipsqueek</v>
      </c>
      <c r="G786" s="1" t="str">
        <f>LOOKUP(B786, Maps!A:A, Maps!B:B)</f>
        <v>Boondocks</v>
      </c>
    </row>
    <row r="787" ht="15.75" customHeight="1">
      <c r="A787" s="1">
        <v>24.0</v>
      </c>
      <c r="B787" s="1">
        <v>25.0</v>
      </c>
      <c r="C787" s="1">
        <v>14.0</v>
      </c>
      <c r="D787" s="1">
        <v>33.0</v>
      </c>
      <c r="F787" s="1" t="str">
        <f>LOOKUP(A787, NPCs!A:A, NPCs!C:C)</f>
        <v>Pipsqueek</v>
      </c>
      <c r="G787" s="1" t="str">
        <f>LOOKUP(B787, Maps!A:A, Maps!B:B)</f>
        <v>Boondocks</v>
      </c>
    </row>
    <row r="788" ht="15.75" customHeight="1">
      <c r="A788" s="1">
        <v>24.0</v>
      </c>
      <c r="B788" s="1">
        <v>25.0</v>
      </c>
      <c r="C788" s="1">
        <v>17.0</v>
      </c>
      <c r="D788" s="1">
        <v>33.0</v>
      </c>
      <c r="F788" s="1" t="str">
        <f>LOOKUP(A788, NPCs!A:A, NPCs!C:C)</f>
        <v>Pipsqueek</v>
      </c>
      <c r="G788" s="1" t="str">
        <f>LOOKUP(B788, Maps!A:A, Maps!B:B)</f>
        <v>Boondocks</v>
      </c>
    </row>
    <row r="789" ht="15.75" customHeight="1">
      <c r="A789" s="1">
        <v>24.0</v>
      </c>
      <c r="B789" s="1">
        <v>25.0</v>
      </c>
      <c r="C789" s="1">
        <v>20.0</v>
      </c>
      <c r="D789" s="1">
        <v>33.0</v>
      </c>
      <c r="F789" s="1" t="str">
        <f>LOOKUP(A789, NPCs!A:A, NPCs!C:C)</f>
        <v>Pipsqueek</v>
      </c>
      <c r="G789" s="1" t="str">
        <f>LOOKUP(B789, Maps!A:A, Maps!B:B)</f>
        <v>Boondocks</v>
      </c>
    </row>
    <row r="790" ht="15.75" customHeight="1">
      <c r="A790" s="1">
        <v>24.0</v>
      </c>
      <c r="B790" s="1">
        <v>25.0</v>
      </c>
      <c r="C790" s="1">
        <v>25.0</v>
      </c>
      <c r="D790" s="1">
        <v>33.0</v>
      </c>
      <c r="F790" s="1" t="str">
        <f>LOOKUP(A790, NPCs!A:A, NPCs!C:C)</f>
        <v>Pipsqueek</v>
      </c>
      <c r="G790" s="1" t="str">
        <f>LOOKUP(B790, Maps!A:A, Maps!B:B)</f>
        <v>Boondocks</v>
      </c>
    </row>
    <row r="791" ht="15.75" customHeight="1">
      <c r="A791" s="1">
        <v>24.0</v>
      </c>
      <c r="B791" s="1">
        <v>25.0</v>
      </c>
      <c r="C791" s="1">
        <v>40.0</v>
      </c>
      <c r="D791" s="1">
        <v>33.0</v>
      </c>
      <c r="F791" s="1" t="str">
        <f>LOOKUP(A791, NPCs!A:A, NPCs!C:C)</f>
        <v>Pipsqueek</v>
      </c>
      <c r="G791" s="1" t="str">
        <f>LOOKUP(B791, Maps!A:A, Maps!B:B)</f>
        <v>Boondocks</v>
      </c>
    </row>
    <row r="792" ht="15.75" customHeight="1">
      <c r="A792" s="1">
        <v>24.0</v>
      </c>
      <c r="B792" s="1">
        <v>25.0</v>
      </c>
      <c r="C792" s="1">
        <v>45.0</v>
      </c>
      <c r="D792" s="1">
        <v>33.0</v>
      </c>
      <c r="F792" s="1" t="str">
        <f>LOOKUP(A792, NPCs!A:A, NPCs!C:C)</f>
        <v>Pipsqueek</v>
      </c>
      <c r="G792" s="1" t="str">
        <f>LOOKUP(B792, Maps!A:A, Maps!B:B)</f>
        <v>Boondocks</v>
      </c>
    </row>
    <row r="793" ht="15.75" customHeight="1">
      <c r="A793" s="1">
        <v>24.0</v>
      </c>
      <c r="B793" s="1">
        <v>25.0</v>
      </c>
      <c r="C793" s="1">
        <v>48.0</v>
      </c>
      <c r="D793" s="1">
        <v>33.0</v>
      </c>
      <c r="F793" s="1" t="str">
        <f>LOOKUP(A793, NPCs!A:A, NPCs!C:C)</f>
        <v>Pipsqueek</v>
      </c>
      <c r="G793" s="1" t="str">
        <f>LOOKUP(B793, Maps!A:A, Maps!B:B)</f>
        <v>Boondocks</v>
      </c>
    </row>
    <row r="794" ht="15.75" customHeight="1">
      <c r="A794" s="1">
        <v>24.0</v>
      </c>
      <c r="B794" s="1">
        <v>25.0</v>
      </c>
      <c r="C794" s="1">
        <v>51.0</v>
      </c>
      <c r="D794" s="1">
        <v>33.0</v>
      </c>
      <c r="F794" s="1" t="str">
        <f>LOOKUP(A794, NPCs!A:A, NPCs!C:C)</f>
        <v>Pipsqueek</v>
      </c>
      <c r="G794" s="1" t="str">
        <f>LOOKUP(B794, Maps!A:A, Maps!B:B)</f>
        <v>Boondocks</v>
      </c>
    </row>
    <row r="795" ht="15.75" customHeight="1">
      <c r="A795" s="1">
        <v>24.0</v>
      </c>
      <c r="B795" s="1">
        <v>25.0</v>
      </c>
      <c r="C795" s="1">
        <v>57.0</v>
      </c>
      <c r="D795" s="1">
        <v>33.0</v>
      </c>
      <c r="F795" s="1" t="str">
        <f>LOOKUP(A795, NPCs!A:A, NPCs!C:C)</f>
        <v>Pipsqueek</v>
      </c>
      <c r="G795" s="1" t="str">
        <f>LOOKUP(B795, Maps!A:A, Maps!B:B)</f>
        <v>Boondocks</v>
      </c>
    </row>
    <row r="796" ht="15.75" customHeight="1">
      <c r="A796" s="1">
        <v>24.0</v>
      </c>
      <c r="B796" s="1">
        <v>25.0</v>
      </c>
      <c r="C796" s="1">
        <v>75.0</v>
      </c>
      <c r="D796" s="1">
        <v>33.0</v>
      </c>
      <c r="F796" s="1" t="str">
        <f>LOOKUP(A796, NPCs!A:A, NPCs!C:C)</f>
        <v>Pipsqueek</v>
      </c>
      <c r="G796" s="1" t="str">
        <f>LOOKUP(B796, Maps!A:A, Maps!B:B)</f>
        <v>Boondocks</v>
      </c>
    </row>
    <row r="797" ht="15.75" customHeight="1">
      <c r="A797" s="1">
        <v>24.0</v>
      </c>
      <c r="B797" s="1">
        <v>25.0</v>
      </c>
      <c r="C797" s="1">
        <v>80.0</v>
      </c>
      <c r="D797" s="1">
        <v>33.0</v>
      </c>
      <c r="F797" s="1" t="str">
        <f>LOOKUP(A797, NPCs!A:A, NPCs!C:C)</f>
        <v>Pipsqueek</v>
      </c>
      <c r="G797" s="1" t="str">
        <f>LOOKUP(B797, Maps!A:A, Maps!B:B)</f>
        <v>Boondocks</v>
      </c>
    </row>
    <row r="798" ht="15.75" customHeight="1">
      <c r="A798" s="1">
        <v>24.0</v>
      </c>
      <c r="B798" s="1">
        <v>25.0</v>
      </c>
      <c r="C798" s="1">
        <v>85.0</v>
      </c>
      <c r="D798" s="1">
        <v>33.0</v>
      </c>
      <c r="F798" s="1" t="str">
        <f>LOOKUP(A798, NPCs!A:A, NPCs!C:C)</f>
        <v>Pipsqueek</v>
      </c>
      <c r="G798" s="1" t="str">
        <f>LOOKUP(B798, Maps!A:A, Maps!B:B)</f>
        <v>Boondocks</v>
      </c>
    </row>
    <row r="799" ht="15.75" customHeight="1">
      <c r="A799" s="1">
        <v>24.0</v>
      </c>
      <c r="B799" s="1">
        <v>25.0</v>
      </c>
      <c r="C799" s="1">
        <v>90.0</v>
      </c>
      <c r="D799" s="1">
        <v>33.0</v>
      </c>
      <c r="F799" s="1" t="str">
        <f>LOOKUP(A799, NPCs!A:A, NPCs!C:C)</f>
        <v>Pipsqueek</v>
      </c>
      <c r="G799" s="1" t="str">
        <f>LOOKUP(B799, Maps!A:A, Maps!B:B)</f>
        <v>Boondocks</v>
      </c>
    </row>
    <row r="800" ht="15.75" customHeight="1">
      <c r="A800" s="1">
        <v>24.0</v>
      </c>
      <c r="B800" s="1">
        <v>25.0</v>
      </c>
      <c r="C800" s="1">
        <v>12.0</v>
      </c>
      <c r="D800" s="1">
        <v>43.0</v>
      </c>
      <c r="F800" s="1" t="str">
        <f>LOOKUP(A800, NPCs!A:A, NPCs!C:C)</f>
        <v>Pipsqueek</v>
      </c>
      <c r="G800" s="1" t="str">
        <f>LOOKUP(B800, Maps!A:A, Maps!B:B)</f>
        <v>Boondocks</v>
      </c>
    </row>
    <row r="801" ht="15.75" customHeight="1">
      <c r="A801" s="1">
        <v>24.0</v>
      </c>
      <c r="B801" s="1">
        <v>25.0</v>
      </c>
      <c r="C801" s="1">
        <v>14.0</v>
      </c>
      <c r="D801" s="1">
        <v>43.0</v>
      </c>
      <c r="F801" s="1" t="str">
        <f>LOOKUP(A801, NPCs!A:A, NPCs!C:C)</f>
        <v>Pipsqueek</v>
      </c>
      <c r="G801" s="1" t="str">
        <f>LOOKUP(B801, Maps!A:A, Maps!B:B)</f>
        <v>Boondocks</v>
      </c>
    </row>
    <row r="802" ht="15.75" customHeight="1">
      <c r="A802" s="1">
        <v>24.0</v>
      </c>
      <c r="B802" s="1">
        <v>25.0</v>
      </c>
      <c r="C802" s="1">
        <v>17.0</v>
      </c>
      <c r="D802" s="1">
        <v>43.0</v>
      </c>
      <c r="F802" s="1" t="str">
        <f>LOOKUP(A802, NPCs!A:A, NPCs!C:C)</f>
        <v>Pipsqueek</v>
      </c>
      <c r="G802" s="1" t="str">
        <f>LOOKUP(B802, Maps!A:A, Maps!B:B)</f>
        <v>Boondocks</v>
      </c>
    </row>
    <row r="803" ht="15.75" customHeight="1">
      <c r="A803" s="1">
        <v>24.0</v>
      </c>
      <c r="B803" s="1">
        <v>25.0</v>
      </c>
      <c r="C803" s="1">
        <v>20.0</v>
      </c>
      <c r="D803" s="1">
        <v>43.0</v>
      </c>
      <c r="F803" s="1" t="str">
        <f>LOOKUP(A803, NPCs!A:A, NPCs!C:C)</f>
        <v>Pipsqueek</v>
      </c>
      <c r="G803" s="1" t="str">
        <f>LOOKUP(B803, Maps!A:A, Maps!B:B)</f>
        <v>Boondocks</v>
      </c>
    </row>
    <row r="804" ht="15.75" customHeight="1">
      <c r="A804" s="1">
        <v>24.0</v>
      </c>
      <c r="B804" s="1">
        <v>25.0</v>
      </c>
      <c r="C804" s="1">
        <v>25.0</v>
      </c>
      <c r="D804" s="1">
        <v>43.0</v>
      </c>
      <c r="F804" s="1" t="str">
        <f>LOOKUP(A804, NPCs!A:A, NPCs!C:C)</f>
        <v>Pipsqueek</v>
      </c>
      <c r="G804" s="1" t="str">
        <f>LOOKUP(B804, Maps!A:A, Maps!B:B)</f>
        <v>Boondocks</v>
      </c>
    </row>
    <row r="805" ht="15.75" customHeight="1">
      <c r="A805" s="1">
        <v>24.0</v>
      </c>
      <c r="B805" s="1">
        <v>25.0</v>
      </c>
      <c r="C805" s="1">
        <v>40.0</v>
      </c>
      <c r="D805" s="1">
        <v>43.0</v>
      </c>
      <c r="F805" s="1" t="str">
        <f>LOOKUP(A805, NPCs!A:A, NPCs!C:C)</f>
        <v>Pipsqueek</v>
      </c>
      <c r="G805" s="1" t="str">
        <f>LOOKUP(B805, Maps!A:A, Maps!B:B)</f>
        <v>Boondocks</v>
      </c>
    </row>
    <row r="806" ht="15.75" customHeight="1">
      <c r="A806" s="1">
        <v>24.0</v>
      </c>
      <c r="B806" s="1">
        <v>25.0</v>
      </c>
      <c r="C806" s="1">
        <v>45.0</v>
      </c>
      <c r="D806" s="1">
        <v>43.0</v>
      </c>
      <c r="F806" s="1" t="str">
        <f>LOOKUP(A806, NPCs!A:A, NPCs!C:C)</f>
        <v>Pipsqueek</v>
      </c>
      <c r="G806" s="1" t="str">
        <f>LOOKUP(B806, Maps!A:A, Maps!B:B)</f>
        <v>Boondocks</v>
      </c>
    </row>
    <row r="807" ht="15.75" customHeight="1">
      <c r="A807" s="1">
        <v>24.0</v>
      </c>
      <c r="B807" s="1">
        <v>25.0</v>
      </c>
      <c r="C807" s="1">
        <v>48.0</v>
      </c>
      <c r="D807" s="1">
        <v>43.0</v>
      </c>
      <c r="F807" s="1" t="str">
        <f>LOOKUP(A807, NPCs!A:A, NPCs!C:C)</f>
        <v>Pipsqueek</v>
      </c>
      <c r="G807" s="1" t="str">
        <f>LOOKUP(B807, Maps!A:A, Maps!B:B)</f>
        <v>Boondocks</v>
      </c>
    </row>
    <row r="808" ht="15.75" customHeight="1">
      <c r="A808" s="1">
        <v>24.0</v>
      </c>
      <c r="B808" s="1">
        <v>25.0</v>
      </c>
      <c r="C808" s="1">
        <v>51.0</v>
      </c>
      <c r="D808" s="1">
        <v>43.0</v>
      </c>
      <c r="F808" s="1" t="str">
        <f>LOOKUP(A808, NPCs!A:A, NPCs!C:C)</f>
        <v>Pipsqueek</v>
      </c>
      <c r="G808" s="1" t="str">
        <f>LOOKUP(B808, Maps!A:A, Maps!B:B)</f>
        <v>Boondocks</v>
      </c>
    </row>
    <row r="809" ht="15.75" customHeight="1">
      <c r="A809" s="1">
        <v>24.0</v>
      </c>
      <c r="B809" s="1">
        <v>25.0</v>
      </c>
      <c r="C809" s="1">
        <v>57.0</v>
      </c>
      <c r="D809" s="1">
        <v>43.0</v>
      </c>
      <c r="F809" s="1" t="str">
        <f>LOOKUP(A809, NPCs!A:A, NPCs!C:C)</f>
        <v>Pipsqueek</v>
      </c>
      <c r="G809" s="1" t="str">
        <f>LOOKUP(B809, Maps!A:A, Maps!B:B)</f>
        <v>Boondocks</v>
      </c>
    </row>
    <row r="810" ht="15.75" customHeight="1">
      <c r="A810" s="1">
        <v>24.0</v>
      </c>
      <c r="B810" s="1">
        <v>25.0</v>
      </c>
      <c r="C810" s="1">
        <v>75.0</v>
      </c>
      <c r="D810" s="1">
        <v>43.0</v>
      </c>
      <c r="F810" s="1" t="str">
        <f>LOOKUP(A810, NPCs!A:A, NPCs!C:C)</f>
        <v>Pipsqueek</v>
      </c>
      <c r="G810" s="1" t="str">
        <f>LOOKUP(B810, Maps!A:A, Maps!B:B)</f>
        <v>Boondocks</v>
      </c>
    </row>
    <row r="811" ht="15.75" customHeight="1">
      <c r="A811" s="1">
        <v>24.0</v>
      </c>
      <c r="B811" s="1">
        <v>25.0</v>
      </c>
      <c r="C811" s="1">
        <v>80.0</v>
      </c>
      <c r="D811" s="1">
        <v>43.0</v>
      </c>
      <c r="F811" s="1" t="str">
        <f>LOOKUP(A811, NPCs!A:A, NPCs!C:C)</f>
        <v>Pipsqueek</v>
      </c>
      <c r="G811" s="1" t="str">
        <f>LOOKUP(B811, Maps!A:A, Maps!B:B)</f>
        <v>Boondocks</v>
      </c>
    </row>
    <row r="812" ht="15.75" customHeight="1">
      <c r="A812" s="1">
        <v>24.0</v>
      </c>
      <c r="B812" s="1">
        <v>25.0</v>
      </c>
      <c r="C812" s="1">
        <v>85.0</v>
      </c>
      <c r="D812" s="1">
        <v>43.0</v>
      </c>
      <c r="F812" s="1" t="str">
        <f>LOOKUP(A812, NPCs!A:A, NPCs!C:C)</f>
        <v>Pipsqueek</v>
      </c>
      <c r="G812" s="1" t="str">
        <f>LOOKUP(B812, Maps!A:A, Maps!B:B)</f>
        <v>Boondocks</v>
      </c>
    </row>
    <row r="813" ht="15.75" customHeight="1">
      <c r="A813" s="1">
        <v>24.0</v>
      </c>
      <c r="B813" s="1">
        <v>25.0</v>
      </c>
      <c r="C813" s="1">
        <v>90.0</v>
      </c>
      <c r="D813" s="1">
        <v>43.0</v>
      </c>
      <c r="F813" s="1" t="str">
        <f>LOOKUP(A813, NPCs!A:A, NPCs!C:C)</f>
        <v>Pipsqueek</v>
      </c>
      <c r="G813" s="1" t="str">
        <f>LOOKUP(B813, Maps!A:A, Maps!B:B)</f>
        <v>Boondocks</v>
      </c>
    </row>
    <row r="814" ht="15.75" customHeight="1">
      <c r="A814" s="1">
        <v>24.0</v>
      </c>
      <c r="B814" s="1">
        <v>25.0</v>
      </c>
      <c r="C814" s="1">
        <v>90.0</v>
      </c>
      <c r="D814" s="1">
        <v>47.0</v>
      </c>
      <c r="F814" s="1" t="str">
        <f>LOOKUP(A814, NPCs!A:A, NPCs!C:C)</f>
        <v>Pipsqueek</v>
      </c>
      <c r="G814" s="1" t="str">
        <f>LOOKUP(B814, Maps!A:A, Maps!B:B)</f>
        <v>Boondocks</v>
      </c>
    </row>
    <row r="815" ht="15.75" customHeight="1">
      <c r="A815" s="1">
        <v>25.0</v>
      </c>
      <c r="B815" s="1">
        <v>25.0</v>
      </c>
      <c r="C815" s="1">
        <v>16.0</v>
      </c>
      <c r="D815" s="1">
        <v>9.0</v>
      </c>
      <c r="F815" s="1" t="str">
        <f>LOOKUP(A815, NPCs!A:A, NPCs!C:C)</f>
        <v>Flying Pipsqueek</v>
      </c>
      <c r="G815" s="1" t="str">
        <f>LOOKUP(B815, Maps!A:A, Maps!B:B)</f>
        <v>Boondocks</v>
      </c>
    </row>
    <row r="816" ht="15.75" customHeight="1">
      <c r="A816" s="1">
        <v>25.0</v>
      </c>
      <c r="B816" s="1">
        <v>25.0</v>
      </c>
      <c r="C816" s="1">
        <v>90.0</v>
      </c>
      <c r="D816" s="1">
        <v>20.0</v>
      </c>
      <c r="F816" s="1" t="str">
        <f>LOOKUP(A816, NPCs!A:A, NPCs!C:C)</f>
        <v>Flying Pipsqueek</v>
      </c>
      <c r="G816" s="1" t="str">
        <f>LOOKUP(B816, Maps!A:A, Maps!B:B)</f>
        <v>Boondocks</v>
      </c>
    </row>
    <row r="817" ht="15.75" customHeight="1">
      <c r="A817" s="1">
        <v>26.0</v>
      </c>
      <c r="B817" s="1">
        <v>10.0</v>
      </c>
      <c r="C817" s="1">
        <v>3.0</v>
      </c>
      <c r="D817" s="1">
        <v>3.0</v>
      </c>
      <c r="F817" s="1" t="str">
        <f>LOOKUP(A817, NPCs!A:A, NPCs!C:C)</f>
        <v>Fire Asp</v>
      </c>
      <c r="G817" s="1" t="str">
        <f>LOOKUP(B817, Maps!A:A, Maps!B:B)</f>
        <v>Dead Forest</v>
      </c>
    </row>
    <row r="818" ht="15.75" customHeight="1">
      <c r="A818" s="1">
        <v>26.0</v>
      </c>
      <c r="B818" s="1">
        <v>10.0</v>
      </c>
      <c r="C818" s="1">
        <v>3.0</v>
      </c>
      <c r="D818" s="1">
        <v>17.0</v>
      </c>
      <c r="F818" s="1" t="str">
        <f>LOOKUP(A818, NPCs!A:A, NPCs!C:C)</f>
        <v>Fire Asp</v>
      </c>
      <c r="G818" s="1" t="str">
        <f>LOOKUP(B818, Maps!A:A, Maps!B:B)</f>
        <v>Dead Forest</v>
      </c>
    </row>
    <row r="819" ht="15.75" customHeight="1">
      <c r="A819" s="1">
        <v>26.0</v>
      </c>
      <c r="B819" s="1">
        <v>10.0</v>
      </c>
      <c r="C819" s="1">
        <v>3.0</v>
      </c>
      <c r="D819" s="1">
        <v>31.0</v>
      </c>
      <c r="F819" s="1" t="str">
        <f>LOOKUP(A819, NPCs!A:A, NPCs!C:C)</f>
        <v>Fire Asp</v>
      </c>
      <c r="G819" s="1" t="str">
        <f>LOOKUP(B819, Maps!A:A, Maps!B:B)</f>
        <v>Dead Forest</v>
      </c>
    </row>
    <row r="820" ht="15.75" customHeight="1">
      <c r="A820" s="1">
        <v>26.0</v>
      </c>
      <c r="B820" s="1">
        <v>10.0</v>
      </c>
      <c r="C820" s="1">
        <v>17.0</v>
      </c>
      <c r="D820" s="1">
        <v>3.0</v>
      </c>
      <c r="F820" s="1" t="str">
        <f>LOOKUP(A820, NPCs!A:A, NPCs!C:C)</f>
        <v>Fire Asp</v>
      </c>
      <c r="G820" s="1" t="str">
        <f>LOOKUP(B820, Maps!A:A, Maps!B:B)</f>
        <v>Dead Forest</v>
      </c>
    </row>
    <row r="821" ht="15.75" customHeight="1">
      <c r="A821" s="1">
        <v>26.0</v>
      </c>
      <c r="B821" s="1">
        <v>10.0</v>
      </c>
      <c r="C821" s="1">
        <v>17.0</v>
      </c>
      <c r="D821" s="1">
        <v>17.0</v>
      </c>
      <c r="F821" s="1" t="str">
        <f>LOOKUP(A821, NPCs!A:A, NPCs!C:C)</f>
        <v>Fire Asp</v>
      </c>
      <c r="G821" s="1" t="str">
        <f>LOOKUP(B821, Maps!A:A, Maps!B:B)</f>
        <v>Dead Forest</v>
      </c>
    </row>
    <row r="822" ht="15.75" customHeight="1">
      <c r="A822" s="1">
        <v>26.0</v>
      </c>
      <c r="B822" s="1">
        <v>10.0</v>
      </c>
      <c r="C822" s="1">
        <v>17.0</v>
      </c>
      <c r="D822" s="1">
        <v>31.0</v>
      </c>
      <c r="F822" s="1" t="str">
        <f>LOOKUP(A822, NPCs!A:A, NPCs!C:C)</f>
        <v>Fire Asp</v>
      </c>
      <c r="G822" s="1" t="str">
        <f>LOOKUP(B822, Maps!A:A, Maps!B:B)</f>
        <v>Dead Forest</v>
      </c>
    </row>
    <row r="823" ht="15.75" customHeight="1">
      <c r="A823" s="1">
        <v>26.0</v>
      </c>
      <c r="B823" s="1">
        <v>10.0</v>
      </c>
      <c r="C823" s="1">
        <v>31.0</v>
      </c>
      <c r="D823" s="1">
        <v>3.0</v>
      </c>
      <c r="F823" s="1" t="str">
        <f>LOOKUP(A823, NPCs!A:A, NPCs!C:C)</f>
        <v>Fire Asp</v>
      </c>
      <c r="G823" s="1" t="str">
        <f>LOOKUP(B823, Maps!A:A, Maps!B:B)</f>
        <v>Dead Forest</v>
      </c>
    </row>
    <row r="824" ht="15.75" customHeight="1">
      <c r="A824" s="1">
        <v>26.0</v>
      </c>
      <c r="B824" s="1">
        <v>10.0</v>
      </c>
      <c r="C824" s="1">
        <v>31.0</v>
      </c>
      <c r="D824" s="1">
        <v>17.0</v>
      </c>
      <c r="F824" s="1" t="str">
        <f>LOOKUP(A824, NPCs!A:A, NPCs!C:C)</f>
        <v>Fire Asp</v>
      </c>
      <c r="G824" s="1" t="str">
        <f>LOOKUP(B824, Maps!A:A, Maps!B:B)</f>
        <v>Dead Forest</v>
      </c>
    </row>
    <row r="825" ht="15.75" customHeight="1">
      <c r="A825" s="1">
        <v>26.0</v>
      </c>
      <c r="B825" s="1">
        <v>10.0</v>
      </c>
      <c r="C825" s="1">
        <v>31.0</v>
      </c>
      <c r="D825" s="1">
        <v>31.0</v>
      </c>
      <c r="F825" s="1" t="str">
        <f>LOOKUP(A825, NPCs!A:A, NPCs!C:C)</f>
        <v>Fire Asp</v>
      </c>
      <c r="G825" s="1" t="str">
        <f>LOOKUP(B825, Maps!A:A, Maps!B:B)</f>
        <v>Dead Forest</v>
      </c>
    </row>
    <row r="826" ht="15.75" customHeight="1">
      <c r="A826" s="1">
        <v>26.0</v>
      </c>
      <c r="B826" s="1">
        <v>10.0</v>
      </c>
      <c r="C826" s="1">
        <v>45.0</v>
      </c>
      <c r="D826" s="1">
        <v>3.0</v>
      </c>
      <c r="F826" s="1" t="str">
        <f>LOOKUP(A826, NPCs!A:A, NPCs!C:C)</f>
        <v>Fire Asp</v>
      </c>
      <c r="G826" s="1" t="str">
        <f>LOOKUP(B826, Maps!A:A, Maps!B:B)</f>
        <v>Dead Forest</v>
      </c>
    </row>
    <row r="827" ht="15.75" customHeight="1">
      <c r="A827" s="1">
        <v>26.0</v>
      </c>
      <c r="B827" s="1">
        <v>10.0</v>
      </c>
      <c r="C827" s="1">
        <v>45.0</v>
      </c>
      <c r="D827" s="1">
        <v>17.0</v>
      </c>
      <c r="F827" s="1" t="str">
        <f>LOOKUP(A827, NPCs!A:A, NPCs!C:C)</f>
        <v>Fire Asp</v>
      </c>
      <c r="G827" s="1" t="str">
        <f>LOOKUP(B827, Maps!A:A, Maps!B:B)</f>
        <v>Dead Forest</v>
      </c>
    </row>
    <row r="828" ht="15.75" customHeight="1">
      <c r="A828" s="1">
        <v>26.0</v>
      </c>
      <c r="B828" s="1">
        <v>10.0</v>
      </c>
      <c r="C828" s="1">
        <v>45.0</v>
      </c>
      <c r="D828" s="1">
        <v>31.0</v>
      </c>
      <c r="F828" s="1" t="str">
        <f>LOOKUP(A828, NPCs!A:A, NPCs!C:C)</f>
        <v>Fire Asp</v>
      </c>
      <c r="G828" s="1" t="str">
        <f>LOOKUP(B828, Maps!A:A, Maps!B:B)</f>
        <v>Dead Forest</v>
      </c>
    </row>
    <row r="829" ht="15.75" customHeight="1">
      <c r="A829" s="1">
        <v>26.0</v>
      </c>
      <c r="B829" s="1">
        <v>10.0</v>
      </c>
      <c r="C829" s="1">
        <v>59.0</v>
      </c>
      <c r="D829" s="1">
        <v>3.0</v>
      </c>
      <c r="F829" s="1" t="str">
        <f>LOOKUP(A829, NPCs!A:A, NPCs!C:C)</f>
        <v>Fire Asp</v>
      </c>
      <c r="G829" s="1" t="str">
        <f>LOOKUP(B829, Maps!A:A, Maps!B:B)</f>
        <v>Dead Forest</v>
      </c>
    </row>
    <row r="830" ht="15.75" customHeight="1">
      <c r="A830" s="1">
        <v>26.0</v>
      </c>
      <c r="B830" s="1">
        <v>10.0</v>
      </c>
      <c r="C830" s="1">
        <v>59.0</v>
      </c>
      <c r="D830" s="1">
        <v>17.0</v>
      </c>
      <c r="F830" s="1" t="str">
        <f>LOOKUP(A830, NPCs!A:A, NPCs!C:C)</f>
        <v>Fire Asp</v>
      </c>
      <c r="G830" s="1" t="str">
        <f>LOOKUP(B830, Maps!A:A, Maps!B:B)</f>
        <v>Dead Forest</v>
      </c>
    </row>
    <row r="831" ht="15.75" customHeight="1">
      <c r="A831" s="1">
        <v>26.0</v>
      </c>
      <c r="B831" s="1">
        <v>10.0</v>
      </c>
      <c r="C831" s="1">
        <v>59.0</v>
      </c>
      <c r="D831" s="1">
        <v>31.0</v>
      </c>
      <c r="F831" s="1" t="str">
        <f>LOOKUP(A831, NPCs!A:A, NPCs!C:C)</f>
        <v>Fire Asp</v>
      </c>
      <c r="G831" s="1" t="str">
        <f>LOOKUP(B831, Maps!A:A, Maps!B:B)</f>
        <v>Dead Forest</v>
      </c>
    </row>
    <row r="832" ht="15.75" customHeight="1">
      <c r="A832" s="1">
        <v>26.0</v>
      </c>
      <c r="B832" s="1">
        <v>10.0</v>
      </c>
      <c r="C832" s="1">
        <v>73.0</v>
      </c>
      <c r="D832" s="1">
        <v>3.0</v>
      </c>
      <c r="F832" s="1" t="str">
        <f>LOOKUP(A832, NPCs!A:A, NPCs!C:C)</f>
        <v>Fire Asp</v>
      </c>
      <c r="G832" s="1" t="str">
        <f>LOOKUP(B832, Maps!A:A, Maps!B:B)</f>
        <v>Dead Forest</v>
      </c>
    </row>
    <row r="833" ht="15.75" customHeight="1">
      <c r="A833" s="1">
        <v>26.0</v>
      </c>
      <c r="B833" s="1">
        <v>10.0</v>
      </c>
      <c r="C833" s="1">
        <v>73.0</v>
      </c>
      <c r="D833" s="1">
        <v>17.0</v>
      </c>
      <c r="F833" s="1" t="str">
        <f>LOOKUP(A833, NPCs!A:A, NPCs!C:C)</f>
        <v>Fire Asp</v>
      </c>
      <c r="G833" s="1" t="str">
        <f>LOOKUP(B833, Maps!A:A, Maps!B:B)</f>
        <v>Dead Forest</v>
      </c>
    </row>
    <row r="834" ht="15.75" customHeight="1">
      <c r="A834" s="1">
        <v>26.0</v>
      </c>
      <c r="B834" s="1">
        <v>10.0</v>
      </c>
      <c r="C834" s="1">
        <v>73.0</v>
      </c>
      <c r="D834" s="1">
        <v>31.0</v>
      </c>
      <c r="F834" s="1" t="str">
        <f>LOOKUP(A834, NPCs!A:A, NPCs!C:C)</f>
        <v>Fire Asp</v>
      </c>
      <c r="G834" s="1" t="str">
        <f>LOOKUP(B834, Maps!A:A, Maps!B:B)</f>
        <v>Dead Forest</v>
      </c>
    </row>
    <row r="835" ht="15.75" customHeight="1">
      <c r="A835" s="1">
        <v>26.0</v>
      </c>
      <c r="B835" s="1">
        <v>10.0</v>
      </c>
      <c r="C835" s="1">
        <v>87.0</v>
      </c>
      <c r="D835" s="1">
        <v>3.0</v>
      </c>
      <c r="F835" s="1" t="str">
        <f>LOOKUP(A835, NPCs!A:A, NPCs!C:C)</f>
        <v>Fire Asp</v>
      </c>
      <c r="G835" s="1" t="str">
        <f>LOOKUP(B835, Maps!A:A, Maps!B:B)</f>
        <v>Dead Forest</v>
      </c>
    </row>
    <row r="836" ht="15.75" customHeight="1">
      <c r="A836" s="1">
        <v>26.0</v>
      </c>
      <c r="B836" s="1">
        <v>10.0</v>
      </c>
      <c r="C836" s="1">
        <v>87.0</v>
      </c>
      <c r="D836" s="1">
        <v>17.0</v>
      </c>
      <c r="F836" s="1" t="str">
        <f>LOOKUP(A836, NPCs!A:A, NPCs!C:C)</f>
        <v>Fire Asp</v>
      </c>
      <c r="G836" s="1" t="str">
        <f>LOOKUP(B836, Maps!A:A, Maps!B:B)</f>
        <v>Dead Forest</v>
      </c>
    </row>
    <row r="837" ht="15.75" customHeight="1">
      <c r="A837" s="1">
        <v>26.0</v>
      </c>
      <c r="B837" s="1">
        <v>10.0</v>
      </c>
      <c r="C837" s="1">
        <v>87.0</v>
      </c>
      <c r="D837" s="1">
        <v>31.0</v>
      </c>
      <c r="F837" s="1" t="str">
        <f>LOOKUP(A837, NPCs!A:A, NPCs!C:C)</f>
        <v>Fire Asp</v>
      </c>
      <c r="G837" s="1" t="str">
        <f>LOOKUP(B837, Maps!A:A, Maps!B:B)</f>
        <v>Dead Forest</v>
      </c>
    </row>
    <row r="838" ht="15.75" customHeight="1">
      <c r="A838" s="1">
        <v>26.0</v>
      </c>
      <c r="B838" s="1">
        <v>10.0</v>
      </c>
      <c r="C838" s="1">
        <v>97.0</v>
      </c>
      <c r="D838" s="1">
        <v>3.0</v>
      </c>
      <c r="F838" s="1" t="str">
        <f>LOOKUP(A838, NPCs!A:A, NPCs!C:C)</f>
        <v>Fire Asp</v>
      </c>
      <c r="G838" s="1" t="str">
        <f>LOOKUP(B838, Maps!A:A, Maps!B:B)</f>
        <v>Dead Forest</v>
      </c>
    </row>
    <row r="839" ht="15.75" customHeight="1">
      <c r="A839" s="1">
        <v>26.0</v>
      </c>
      <c r="B839" s="1">
        <v>10.0</v>
      </c>
      <c r="C839" s="1">
        <v>97.0</v>
      </c>
      <c r="D839" s="1">
        <v>17.0</v>
      </c>
      <c r="F839" s="1" t="str">
        <f>LOOKUP(A839, NPCs!A:A, NPCs!C:C)</f>
        <v>Fire Asp</v>
      </c>
      <c r="G839" s="1" t="str">
        <f>LOOKUP(B839, Maps!A:A, Maps!B:B)</f>
        <v>Dead Forest</v>
      </c>
    </row>
    <row r="840" ht="15.75" customHeight="1">
      <c r="A840" s="1">
        <v>26.0</v>
      </c>
      <c r="B840" s="1">
        <v>10.0</v>
      </c>
      <c r="C840" s="1">
        <v>97.0</v>
      </c>
      <c r="D840" s="1">
        <v>31.0</v>
      </c>
      <c r="F840" s="1" t="str">
        <f>LOOKUP(A840, NPCs!A:A, NPCs!C:C)</f>
        <v>Fire Asp</v>
      </c>
      <c r="G840" s="1" t="str">
        <f>LOOKUP(B840, Maps!A:A, Maps!B:B)</f>
        <v>Dead Forest</v>
      </c>
    </row>
    <row r="841" ht="15.75" customHeight="1">
      <c r="A841" s="1">
        <v>26.0</v>
      </c>
      <c r="B841" s="1">
        <v>10.0</v>
      </c>
      <c r="C841" s="1">
        <v>65.0</v>
      </c>
      <c r="D841" s="1">
        <v>1.0</v>
      </c>
      <c r="F841" s="1" t="str">
        <f>LOOKUP(A841, NPCs!A:A, NPCs!C:C)</f>
        <v>Fire Asp</v>
      </c>
      <c r="G841" s="1" t="str">
        <f>LOOKUP(B841, Maps!A:A, Maps!B:B)</f>
        <v>Dead Forest</v>
      </c>
    </row>
    <row r="842" ht="15.75" customHeight="1">
      <c r="A842" s="1">
        <v>26.0</v>
      </c>
      <c r="B842" s="1">
        <v>10.0</v>
      </c>
      <c r="C842" s="1">
        <v>79.0</v>
      </c>
      <c r="D842" s="1">
        <v>2.0</v>
      </c>
      <c r="F842" s="1" t="str">
        <f>LOOKUP(A842, NPCs!A:A, NPCs!C:C)</f>
        <v>Fire Asp</v>
      </c>
      <c r="G842" s="1" t="str">
        <f>LOOKUP(B842, Maps!A:A, Maps!B:B)</f>
        <v>Dead Forest</v>
      </c>
    </row>
    <row r="843" ht="15.75" customHeight="1">
      <c r="A843" s="1">
        <v>26.0</v>
      </c>
      <c r="B843" s="1">
        <v>10.0</v>
      </c>
      <c r="C843" s="1">
        <v>93.0</v>
      </c>
      <c r="D843" s="1">
        <v>3.0</v>
      </c>
      <c r="F843" s="1" t="str">
        <f>LOOKUP(A843, NPCs!A:A, NPCs!C:C)</f>
        <v>Fire Asp</v>
      </c>
      <c r="G843" s="1" t="str">
        <f>LOOKUP(B843, Maps!A:A, Maps!B:B)</f>
        <v>Dead Forest</v>
      </c>
    </row>
    <row r="844" ht="15.75" customHeight="1">
      <c r="A844" s="1">
        <v>26.0</v>
      </c>
      <c r="B844" s="1">
        <v>10.0</v>
      </c>
      <c r="C844" s="1">
        <v>65.0</v>
      </c>
      <c r="D844" s="1">
        <v>13.0</v>
      </c>
      <c r="F844" s="1" t="str">
        <f>LOOKUP(A844, NPCs!A:A, NPCs!C:C)</f>
        <v>Fire Asp</v>
      </c>
      <c r="G844" s="1" t="str">
        <f>LOOKUP(B844, Maps!A:A, Maps!B:B)</f>
        <v>Dead Forest</v>
      </c>
    </row>
    <row r="845" ht="15.75" customHeight="1">
      <c r="A845" s="1">
        <v>26.0</v>
      </c>
      <c r="B845" s="1">
        <v>10.0</v>
      </c>
      <c r="C845" s="1">
        <v>79.0</v>
      </c>
      <c r="D845" s="1">
        <v>14.0</v>
      </c>
      <c r="F845" s="1" t="str">
        <f>LOOKUP(A845, NPCs!A:A, NPCs!C:C)</f>
        <v>Fire Asp</v>
      </c>
      <c r="G845" s="1" t="str">
        <f>LOOKUP(B845, Maps!A:A, Maps!B:B)</f>
        <v>Dead Forest</v>
      </c>
    </row>
    <row r="846" ht="15.75" customHeight="1">
      <c r="A846" s="1">
        <v>26.0</v>
      </c>
      <c r="B846" s="1">
        <v>10.0</v>
      </c>
      <c r="C846" s="1">
        <v>93.0</v>
      </c>
      <c r="D846" s="1">
        <v>15.0</v>
      </c>
      <c r="F846" s="1" t="str">
        <f>LOOKUP(A846, NPCs!A:A, NPCs!C:C)</f>
        <v>Fire Asp</v>
      </c>
      <c r="G846" s="1" t="str">
        <f>LOOKUP(B846, Maps!A:A, Maps!B:B)</f>
        <v>Dead Forest</v>
      </c>
    </row>
    <row r="847" ht="15.75" customHeight="1">
      <c r="A847" s="1">
        <v>26.0</v>
      </c>
      <c r="B847" s="1">
        <v>10.0</v>
      </c>
      <c r="C847" s="1">
        <v>65.0</v>
      </c>
      <c r="D847" s="1">
        <v>27.0</v>
      </c>
      <c r="F847" s="1" t="str">
        <f>LOOKUP(A847, NPCs!A:A, NPCs!C:C)</f>
        <v>Fire Asp</v>
      </c>
      <c r="G847" s="1" t="str">
        <f>LOOKUP(B847, Maps!A:A, Maps!B:B)</f>
        <v>Dead Forest</v>
      </c>
    </row>
    <row r="848" ht="15.75" customHeight="1">
      <c r="A848" s="1">
        <v>26.0</v>
      </c>
      <c r="B848" s="1">
        <v>10.0</v>
      </c>
      <c r="C848" s="1">
        <v>79.0</v>
      </c>
      <c r="D848" s="1">
        <v>28.0</v>
      </c>
      <c r="F848" s="1" t="str">
        <f>LOOKUP(A848, NPCs!A:A, NPCs!C:C)</f>
        <v>Fire Asp</v>
      </c>
      <c r="G848" s="1" t="str">
        <f>LOOKUP(B848, Maps!A:A, Maps!B:B)</f>
        <v>Dead Forest</v>
      </c>
    </row>
    <row r="849" ht="15.75" customHeight="1">
      <c r="A849" s="1">
        <v>26.0</v>
      </c>
      <c r="B849" s="1">
        <v>10.0</v>
      </c>
      <c r="C849" s="1">
        <v>93.0</v>
      </c>
      <c r="D849" s="1">
        <v>29.0</v>
      </c>
      <c r="F849" s="1" t="str">
        <f>LOOKUP(A849, NPCs!A:A, NPCs!C:C)</f>
        <v>Fire Asp</v>
      </c>
      <c r="G849" s="1" t="str">
        <f>LOOKUP(B849, Maps!A:A, Maps!B:B)</f>
        <v>Dead Forest</v>
      </c>
    </row>
    <row r="850" ht="15.75" customHeight="1">
      <c r="A850" s="1">
        <v>26.0</v>
      </c>
      <c r="B850" s="1">
        <v>10.0</v>
      </c>
      <c r="C850" s="1">
        <v>65.0</v>
      </c>
      <c r="D850" s="1">
        <v>41.0</v>
      </c>
      <c r="F850" s="1" t="str">
        <f>LOOKUP(A850, NPCs!A:A, NPCs!C:C)</f>
        <v>Fire Asp</v>
      </c>
      <c r="G850" s="1" t="str">
        <f>LOOKUP(B850, Maps!A:A, Maps!B:B)</f>
        <v>Dead Forest</v>
      </c>
    </row>
    <row r="851" ht="15.75" customHeight="1">
      <c r="A851" s="1">
        <v>26.0</v>
      </c>
      <c r="B851" s="1">
        <v>10.0</v>
      </c>
      <c r="C851" s="1">
        <v>79.0</v>
      </c>
      <c r="D851" s="1">
        <v>42.0</v>
      </c>
      <c r="F851" s="1" t="str">
        <f>LOOKUP(A851, NPCs!A:A, NPCs!C:C)</f>
        <v>Fire Asp</v>
      </c>
      <c r="G851" s="1" t="str">
        <f>LOOKUP(B851, Maps!A:A, Maps!B:B)</f>
        <v>Dead Forest</v>
      </c>
    </row>
    <row r="852" ht="15.75" customHeight="1">
      <c r="A852" s="1">
        <v>26.0</v>
      </c>
      <c r="B852" s="1">
        <v>10.0</v>
      </c>
      <c r="C852" s="1">
        <v>93.0</v>
      </c>
      <c r="D852" s="1">
        <v>43.0</v>
      </c>
      <c r="F852" s="1" t="str">
        <f>LOOKUP(A852, NPCs!A:A, NPCs!C:C)</f>
        <v>Fire Asp</v>
      </c>
      <c r="G852" s="1" t="str">
        <f>LOOKUP(B852, Maps!A:A, Maps!B:B)</f>
        <v>Dead Forest</v>
      </c>
    </row>
    <row r="853" ht="15.75" customHeight="1">
      <c r="A853" s="1">
        <v>26.0</v>
      </c>
      <c r="B853" s="1">
        <v>10.0</v>
      </c>
      <c r="C853" s="1">
        <v>65.0</v>
      </c>
      <c r="D853" s="1">
        <v>55.0</v>
      </c>
      <c r="F853" s="1" t="str">
        <f>LOOKUP(A853, NPCs!A:A, NPCs!C:C)</f>
        <v>Fire Asp</v>
      </c>
      <c r="G853" s="1" t="str">
        <f>LOOKUP(B853, Maps!A:A, Maps!B:B)</f>
        <v>Dead Forest</v>
      </c>
    </row>
    <row r="854" ht="15.75" customHeight="1">
      <c r="A854" s="1">
        <v>26.0</v>
      </c>
      <c r="B854" s="1">
        <v>10.0</v>
      </c>
      <c r="C854" s="1">
        <v>79.0</v>
      </c>
      <c r="D854" s="1">
        <v>56.0</v>
      </c>
      <c r="F854" s="1" t="str">
        <f>LOOKUP(A854, NPCs!A:A, NPCs!C:C)</f>
        <v>Fire Asp</v>
      </c>
      <c r="G854" s="1" t="str">
        <f>LOOKUP(B854, Maps!A:A, Maps!B:B)</f>
        <v>Dead Forest</v>
      </c>
    </row>
    <row r="855" ht="15.75" customHeight="1">
      <c r="A855" s="1">
        <v>26.0</v>
      </c>
      <c r="B855" s="1">
        <v>10.0</v>
      </c>
      <c r="C855" s="1">
        <v>93.0</v>
      </c>
      <c r="D855" s="1">
        <v>57.0</v>
      </c>
      <c r="F855" s="1" t="str">
        <f>LOOKUP(A855, NPCs!A:A, NPCs!C:C)</f>
        <v>Fire Asp</v>
      </c>
      <c r="G855" s="1" t="str">
        <f>LOOKUP(B855, Maps!A:A, Maps!B:B)</f>
        <v>Dead Forest</v>
      </c>
    </row>
    <row r="856" ht="15.75" customHeight="1">
      <c r="A856" s="1">
        <v>26.0</v>
      </c>
      <c r="B856" s="1">
        <v>10.0</v>
      </c>
      <c r="C856" s="1">
        <v>65.0</v>
      </c>
      <c r="D856" s="1">
        <v>69.0</v>
      </c>
      <c r="F856" s="1" t="str">
        <f>LOOKUP(A856, NPCs!A:A, NPCs!C:C)</f>
        <v>Fire Asp</v>
      </c>
      <c r="G856" s="1" t="str">
        <f>LOOKUP(B856, Maps!A:A, Maps!B:B)</f>
        <v>Dead Forest</v>
      </c>
    </row>
    <row r="857" ht="15.75" customHeight="1">
      <c r="A857" s="1">
        <v>26.0</v>
      </c>
      <c r="B857" s="1">
        <v>10.0</v>
      </c>
      <c r="C857" s="1">
        <v>79.0</v>
      </c>
      <c r="D857" s="1">
        <v>70.0</v>
      </c>
      <c r="F857" s="1" t="str">
        <f>LOOKUP(A857, NPCs!A:A, NPCs!C:C)</f>
        <v>Fire Asp</v>
      </c>
      <c r="G857" s="1" t="str">
        <f>LOOKUP(B857, Maps!A:A, Maps!B:B)</f>
        <v>Dead Forest</v>
      </c>
    </row>
    <row r="858" ht="15.75" customHeight="1">
      <c r="A858" s="1">
        <v>26.0</v>
      </c>
      <c r="B858" s="1">
        <v>10.0</v>
      </c>
      <c r="C858" s="1">
        <v>93.0</v>
      </c>
      <c r="D858" s="1">
        <v>68.0</v>
      </c>
      <c r="F858" s="1" t="str">
        <f>LOOKUP(A858, NPCs!A:A, NPCs!C:C)</f>
        <v>Fire Asp</v>
      </c>
      <c r="G858" s="1" t="str">
        <f>LOOKUP(B858, Maps!A:A, Maps!B:B)</f>
        <v>Dead Forest</v>
      </c>
    </row>
    <row r="859" ht="15.75" customHeight="1">
      <c r="A859" s="1">
        <v>26.0</v>
      </c>
      <c r="B859" s="1">
        <v>10.0</v>
      </c>
      <c r="C859" s="1">
        <v>65.0</v>
      </c>
      <c r="D859" s="1">
        <v>83.0</v>
      </c>
      <c r="F859" s="1" t="str">
        <f>LOOKUP(A859, NPCs!A:A, NPCs!C:C)</f>
        <v>Fire Asp</v>
      </c>
      <c r="G859" s="1" t="str">
        <f>LOOKUP(B859, Maps!A:A, Maps!B:B)</f>
        <v>Dead Forest</v>
      </c>
    </row>
    <row r="860" ht="15.75" customHeight="1">
      <c r="A860" s="1">
        <v>26.0</v>
      </c>
      <c r="B860" s="1">
        <v>10.0</v>
      </c>
      <c r="C860" s="1">
        <v>79.0</v>
      </c>
      <c r="D860" s="1">
        <v>82.0</v>
      </c>
      <c r="F860" s="1" t="str">
        <f>LOOKUP(A860, NPCs!A:A, NPCs!C:C)</f>
        <v>Fire Asp</v>
      </c>
      <c r="G860" s="1" t="str">
        <f>LOOKUP(B860, Maps!A:A, Maps!B:B)</f>
        <v>Dead Forest</v>
      </c>
    </row>
    <row r="861" ht="15.75" customHeight="1">
      <c r="A861" s="1">
        <v>26.0</v>
      </c>
      <c r="B861" s="1">
        <v>10.0</v>
      </c>
      <c r="C861" s="1">
        <v>93.0</v>
      </c>
      <c r="D861" s="1">
        <v>84.0</v>
      </c>
      <c r="F861" s="1" t="str">
        <f>LOOKUP(A861, NPCs!A:A, NPCs!C:C)</f>
        <v>Fire Asp</v>
      </c>
      <c r="G861" s="1" t="str">
        <f>LOOKUP(B861, Maps!A:A, Maps!B:B)</f>
        <v>Dead Forest</v>
      </c>
    </row>
    <row r="862" ht="15.75" customHeight="1">
      <c r="A862" s="1">
        <v>26.0</v>
      </c>
      <c r="B862" s="1">
        <v>10.0</v>
      </c>
      <c r="C862" s="1">
        <v>65.0</v>
      </c>
      <c r="D862" s="1">
        <v>97.0</v>
      </c>
      <c r="F862" s="1" t="str">
        <f>LOOKUP(A862, NPCs!A:A, NPCs!C:C)</f>
        <v>Fire Asp</v>
      </c>
      <c r="G862" s="1" t="str">
        <f>LOOKUP(B862, Maps!A:A, Maps!B:B)</f>
        <v>Dead Forest</v>
      </c>
    </row>
    <row r="863" ht="15.75" customHeight="1">
      <c r="A863" s="1">
        <v>26.0</v>
      </c>
      <c r="B863" s="1">
        <v>10.0</v>
      </c>
      <c r="C863" s="1">
        <v>79.0</v>
      </c>
      <c r="D863" s="1">
        <v>96.0</v>
      </c>
      <c r="F863" s="1" t="str">
        <f>LOOKUP(A863, NPCs!A:A, NPCs!C:C)</f>
        <v>Fire Asp</v>
      </c>
      <c r="G863" s="1" t="str">
        <f>LOOKUP(B863, Maps!A:A, Maps!B:B)</f>
        <v>Dead Forest</v>
      </c>
    </row>
    <row r="864" ht="15.75" customHeight="1">
      <c r="A864" s="1">
        <v>26.0</v>
      </c>
      <c r="B864" s="1">
        <v>10.0</v>
      </c>
      <c r="C864" s="1">
        <v>93.0</v>
      </c>
      <c r="D864" s="1">
        <v>98.0</v>
      </c>
      <c r="F864" s="1" t="str">
        <f>LOOKUP(A864, NPCs!A:A, NPCs!C:C)</f>
        <v>Fire Asp</v>
      </c>
      <c r="G864" s="1" t="str">
        <f>LOOKUP(B864, Maps!A:A, Maps!B:B)</f>
        <v>Dead Forest</v>
      </c>
    </row>
    <row r="865" ht="15.75" customHeight="1">
      <c r="A865" s="1">
        <v>26.0</v>
      </c>
      <c r="B865" s="1">
        <v>10.0</v>
      </c>
      <c r="C865" s="1">
        <v>39.0</v>
      </c>
      <c r="D865" s="1">
        <v>35.0</v>
      </c>
      <c r="F865" s="1" t="str">
        <f>LOOKUP(A865, NPCs!A:A, NPCs!C:C)</f>
        <v>Fire Asp</v>
      </c>
      <c r="G865" s="1" t="str">
        <f>LOOKUP(B865, Maps!A:A, Maps!B:B)</f>
        <v>Dead Forest</v>
      </c>
    </row>
    <row r="866" ht="15.75" customHeight="1">
      <c r="A866" s="1">
        <v>26.0</v>
      </c>
      <c r="B866" s="1">
        <v>10.0</v>
      </c>
      <c r="C866" s="1">
        <v>48.0</v>
      </c>
      <c r="D866" s="1">
        <v>37.0</v>
      </c>
      <c r="F866" s="1" t="str">
        <f>LOOKUP(A866, NPCs!A:A, NPCs!C:C)</f>
        <v>Fire Asp</v>
      </c>
      <c r="G866" s="1" t="str">
        <f>LOOKUP(B866, Maps!A:A, Maps!B:B)</f>
        <v>Dead Forest</v>
      </c>
    </row>
    <row r="867" ht="15.75" customHeight="1">
      <c r="A867" s="1">
        <v>26.0</v>
      </c>
      <c r="B867" s="1">
        <v>10.0</v>
      </c>
      <c r="C867" s="1">
        <v>51.0</v>
      </c>
      <c r="D867" s="1">
        <v>44.0</v>
      </c>
      <c r="F867" s="1" t="str">
        <f>LOOKUP(A867, NPCs!A:A, NPCs!C:C)</f>
        <v>Fire Asp</v>
      </c>
      <c r="G867" s="1" t="str">
        <f>LOOKUP(B867, Maps!A:A, Maps!B:B)</f>
        <v>Dead Forest</v>
      </c>
    </row>
    <row r="868" ht="15.75" customHeight="1">
      <c r="A868" s="1">
        <v>26.0</v>
      </c>
      <c r="B868" s="1">
        <v>10.0</v>
      </c>
      <c r="C868" s="1">
        <v>43.0</v>
      </c>
      <c r="D868" s="1">
        <v>49.0</v>
      </c>
      <c r="F868" s="1" t="str">
        <f>LOOKUP(A868, NPCs!A:A, NPCs!C:C)</f>
        <v>Fire Asp</v>
      </c>
      <c r="G868" s="1" t="str">
        <f>LOOKUP(B868, Maps!A:A, Maps!B:B)</f>
        <v>Dead Forest</v>
      </c>
    </row>
    <row r="869" ht="15.75" customHeight="1">
      <c r="A869" s="1">
        <v>26.0</v>
      </c>
      <c r="B869" s="1">
        <v>10.0</v>
      </c>
      <c r="C869" s="1">
        <v>62.0</v>
      </c>
      <c r="D869" s="1">
        <v>47.0</v>
      </c>
      <c r="F869" s="1" t="str">
        <f>LOOKUP(A869, NPCs!A:A, NPCs!C:C)</f>
        <v>Fire Asp</v>
      </c>
      <c r="G869" s="1" t="str">
        <f>LOOKUP(B869, Maps!A:A, Maps!B:B)</f>
        <v>Dead Forest</v>
      </c>
    </row>
    <row r="870" ht="15.75" customHeight="1">
      <c r="A870" s="1">
        <v>26.0</v>
      </c>
      <c r="B870" s="1">
        <v>10.0</v>
      </c>
      <c r="C870" s="1">
        <v>61.0</v>
      </c>
      <c r="D870" s="1">
        <v>33.0</v>
      </c>
      <c r="F870" s="1" t="str">
        <f>LOOKUP(A870, NPCs!A:A, NPCs!C:C)</f>
        <v>Fire Asp</v>
      </c>
      <c r="G870" s="1" t="str">
        <f>LOOKUP(B870, Maps!A:A, Maps!B:B)</f>
        <v>Dead Forest</v>
      </c>
    </row>
    <row r="871" ht="15.75" customHeight="1">
      <c r="A871" s="1">
        <v>27.0</v>
      </c>
      <c r="B871" s="1">
        <v>10.0</v>
      </c>
      <c r="C871" s="1">
        <v>25.0</v>
      </c>
      <c r="D871" s="1">
        <v>35.0</v>
      </c>
      <c r="F871" s="1" t="str">
        <f>LOOKUP(A871, NPCs!A:A, NPCs!C:C)</f>
        <v>Naga Warrior</v>
      </c>
      <c r="G871" s="1" t="str">
        <f>LOOKUP(B871, Maps!A:A, Maps!B:B)</f>
        <v>Dead Forest</v>
      </c>
    </row>
    <row r="872" ht="15.75" customHeight="1">
      <c r="A872" s="1">
        <v>28.0</v>
      </c>
      <c r="B872" s="1">
        <v>10.0</v>
      </c>
      <c r="C872" s="1">
        <v>25.0</v>
      </c>
      <c r="D872" s="1">
        <v>28.0</v>
      </c>
      <c r="F872" s="1" t="str">
        <f>LOOKUP(A872, NPCs!A:A, NPCs!C:C)</f>
        <v>Naga Rogue</v>
      </c>
      <c r="G872" s="1" t="str">
        <f>LOOKUP(B872, Maps!A:A, Maps!B:B)</f>
        <v>Dead Forest</v>
      </c>
    </row>
    <row r="873" ht="15.75" customHeight="1">
      <c r="A873" s="1">
        <v>27.0</v>
      </c>
      <c r="B873" s="1">
        <v>10.0</v>
      </c>
      <c r="C873" s="1">
        <v>17.0</v>
      </c>
      <c r="D873" s="1">
        <v>30.0</v>
      </c>
      <c r="F873" s="1" t="str">
        <f>LOOKUP(A873, NPCs!A:A, NPCs!C:C)</f>
        <v>Naga Warrior</v>
      </c>
      <c r="G873" s="1" t="str">
        <f>LOOKUP(B873, Maps!A:A, Maps!B:B)</f>
        <v>Dead Forest</v>
      </c>
    </row>
    <row r="874" ht="15.75" customHeight="1">
      <c r="A874" s="1">
        <v>28.0</v>
      </c>
      <c r="B874" s="1">
        <v>10.0</v>
      </c>
      <c r="C874" s="1">
        <v>8.0</v>
      </c>
      <c r="D874" s="1">
        <v>28.0</v>
      </c>
      <c r="F874" s="1" t="str">
        <f>LOOKUP(A874, NPCs!A:A, NPCs!C:C)</f>
        <v>Naga Rogue</v>
      </c>
      <c r="G874" s="1" t="str">
        <f>LOOKUP(B874, Maps!A:A, Maps!B:B)</f>
        <v>Dead Forest</v>
      </c>
    </row>
    <row r="875" ht="15.75" customHeight="1">
      <c r="A875" s="1">
        <v>27.0</v>
      </c>
      <c r="B875" s="1">
        <v>10.0</v>
      </c>
      <c r="C875" s="1">
        <v>5.0</v>
      </c>
      <c r="D875" s="1">
        <v>34.0</v>
      </c>
      <c r="F875" s="1" t="str">
        <f>LOOKUP(A875, NPCs!A:A, NPCs!C:C)</f>
        <v>Naga Warrior</v>
      </c>
      <c r="G875" s="1" t="str">
        <f>LOOKUP(B875, Maps!A:A, Maps!B:B)</f>
        <v>Dead Forest</v>
      </c>
    </row>
    <row r="876" ht="15.75" customHeight="1">
      <c r="A876" s="1">
        <v>28.0</v>
      </c>
      <c r="B876" s="1">
        <v>10.0</v>
      </c>
      <c r="C876" s="1">
        <v>4.0</v>
      </c>
      <c r="D876" s="1">
        <v>41.0</v>
      </c>
      <c r="F876" s="1" t="str">
        <f>LOOKUP(A876, NPCs!A:A, NPCs!C:C)</f>
        <v>Naga Rogue</v>
      </c>
      <c r="G876" s="1" t="str">
        <f>LOOKUP(B876, Maps!A:A, Maps!B:B)</f>
        <v>Dead Forest</v>
      </c>
    </row>
    <row r="877" ht="15.75" customHeight="1">
      <c r="A877" s="1">
        <v>27.0</v>
      </c>
      <c r="B877" s="1">
        <v>10.0</v>
      </c>
      <c r="C877" s="1">
        <v>15.0</v>
      </c>
      <c r="D877" s="1">
        <v>39.0</v>
      </c>
      <c r="F877" s="1" t="str">
        <f>LOOKUP(A877, NPCs!A:A, NPCs!C:C)</f>
        <v>Naga Warrior</v>
      </c>
      <c r="G877" s="1" t="str">
        <f>LOOKUP(B877, Maps!A:A, Maps!B:B)</f>
        <v>Dead Forest</v>
      </c>
    </row>
    <row r="878" ht="15.75" customHeight="1">
      <c r="A878" s="1">
        <v>28.0</v>
      </c>
      <c r="B878" s="1">
        <v>10.0</v>
      </c>
      <c r="C878" s="1">
        <v>24.0</v>
      </c>
      <c r="D878" s="1">
        <v>39.0</v>
      </c>
      <c r="F878" s="1" t="str">
        <f>LOOKUP(A878, NPCs!A:A, NPCs!C:C)</f>
        <v>Naga Rogue</v>
      </c>
      <c r="G878" s="1" t="str">
        <f>LOOKUP(B878, Maps!A:A, Maps!B:B)</f>
        <v>Dead Forest</v>
      </c>
    </row>
    <row r="879" ht="15.75" customHeight="1">
      <c r="A879" s="1">
        <v>27.0</v>
      </c>
      <c r="B879" s="1">
        <v>10.0</v>
      </c>
      <c r="C879" s="1">
        <v>29.0</v>
      </c>
      <c r="D879" s="1">
        <v>45.0</v>
      </c>
      <c r="F879" s="1" t="str">
        <f>LOOKUP(A879, NPCs!A:A, NPCs!C:C)</f>
        <v>Naga Warrior</v>
      </c>
      <c r="G879" s="1" t="str">
        <f>LOOKUP(B879, Maps!A:A, Maps!B:B)</f>
        <v>Dead Forest</v>
      </c>
    </row>
    <row r="880" ht="15.75" customHeight="1">
      <c r="A880" s="1">
        <v>28.0</v>
      </c>
      <c r="B880" s="1">
        <v>10.0</v>
      </c>
      <c r="C880" s="1">
        <v>33.0</v>
      </c>
      <c r="D880" s="1">
        <v>50.0</v>
      </c>
      <c r="F880" s="1" t="str">
        <f>LOOKUP(A880, NPCs!A:A, NPCs!C:C)</f>
        <v>Naga Rogue</v>
      </c>
      <c r="G880" s="1" t="str">
        <f>LOOKUP(B880, Maps!A:A, Maps!B:B)</f>
        <v>Dead Forest</v>
      </c>
    </row>
    <row r="881" ht="15.75" customHeight="1">
      <c r="A881" s="1">
        <v>27.0</v>
      </c>
      <c r="B881" s="1">
        <v>10.0</v>
      </c>
      <c r="C881" s="1">
        <v>39.0</v>
      </c>
      <c r="D881" s="1">
        <v>55.0</v>
      </c>
      <c r="F881" s="1" t="str">
        <f>LOOKUP(A881, NPCs!A:A, NPCs!C:C)</f>
        <v>Naga Warrior</v>
      </c>
      <c r="G881" s="1" t="str">
        <f>LOOKUP(B881, Maps!A:A, Maps!B:B)</f>
        <v>Dead Forest</v>
      </c>
    </row>
    <row r="882" ht="15.75" customHeight="1">
      <c r="A882" s="1">
        <v>28.0</v>
      </c>
      <c r="B882" s="1">
        <v>10.0</v>
      </c>
      <c r="C882" s="1">
        <v>48.0</v>
      </c>
      <c r="D882" s="1">
        <v>57.0</v>
      </c>
      <c r="F882" s="1" t="str">
        <f>LOOKUP(A882, NPCs!A:A, NPCs!C:C)</f>
        <v>Naga Rogue</v>
      </c>
      <c r="G882" s="1" t="str">
        <f>LOOKUP(B882, Maps!A:A, Maps!B:B)</f>
        <v>Dead Forest</v>
      </c>
    </row>
    <row r="883" ht="15.75" customHeight="1">
      <c r="A883" s="1">
        <v>27.0</v>
      </c>
      <c r="B883" s="1">
        <v>10.0</v>
      </c>
      <c r="C883" s="1">
        <v>54.0</v>
      </c>
      <c r="D883" s="1">
        <v>59.0</v>
      </c>
      <c r="F883" s="1" t="str">
        <f>LOOKUP(A883, NPCs!A:A, NPCs!C:C)</f>
        <v>Naga Warrior</v>
      </c>
      <c r="G883" s="1" t="str">
        <f>LOOKUP(B883, Maps!A:A, Maps!B:B)</f>
        <v>Dead Forest</v>
      </c>
    </row>
    <row r="884" ht="15.75" customHeight="1">
      <c r="A884" s="1">
        <v>28.0</v>
      </c>
      <c r="B884" s="1">
        <v>10.0</v>
      </c>
      <c r="C884" s="1">
        <v>55.0</v>
      </c>
      <c r="D884" s="1">
        <v>66.0</v>
      </c>
      <c r="F884" s="1" t="str">
        <f>LOOKUP(A884, NPCs!A:A, NPCs!C:C)</f>
        <v>Naga Rogue</v>
      </c>
      <c r="G884" s="1" t="str">
        <f>LOOKUP(B884, Maps!A:A, Maps!B:B)</f>
        <v>Dead Forest</v>
      </c>
    </row>
    <row r="885" ht="15.75" customHeight="1">
      <c r="A885" s="1">
        <v>27.0</v>
      </c>
      <c r="B885" s="1">
        <v>10.0</v>
      </c>
      <c r="C885" s="1">
        <v>56.0</v>
      </c>
      <c r="D885" s="1">
        <v>75.0</v>
      </c>
      <c r="F885" s="1" t="str">
        <f>LOOKUP(A885, NPCs!A:A, NPCs!C:C)</f>
        <v>Naga Warrior</v>
      </c>
      <c r="G885" s="1" t="str">
        <f>LOOKUP(B885, Maps!A:A, Maps!B:B)</f>
        <v>Dead Forest</v>
      </c>
    </row>
    <row r="886" ht="15.75" customHeight="1">
      <c r="A886" s="1">
        <v>28.0</v>
      </c>
      <c r="B886" s="1">
        <v>10.0</v>
      </c>
      <c r="C886" s="1">
        <v>59.0</v>
      </c>
      <c r="D886" s="1">
        <v>82.0</v>
      </c>
      <c r="F886" s="1" t="str">
        <f>LOOKUP(A886, NPCs!A:A, NPCs!C:C)</f>
        <v>Naga Rogue</v>
      </c>
      <c r="G886" s="1" t="str">
        <f>LOOKUP(B886, Maps!A:A, Maps!B:B)</f>
        <v>Dead Forest</v>
      </c>
    </row>
    <row r="887" ht="15.75" customHeight="1">
      <c r="A887" s="1">
        <v>27.0</v>
      </c>
      <c r="B887" s="1">
        <v>10.0</v>
      </c>
      <c r="C887" s="1">
        <v>55.0</v>
      </c>
      <c r="D887" s="1">
        <v>88.0</v>
      </c>
      <c r="F887" s="1" t="str">
        <f>LOOKUP(A887, NPCs!A:A, NPCs!C:C)</f>
        <v>Naga Warrior</v>
      </c>
      <c r="G887" s="1" t="str">
        <f>LOOKUP(B887, Maps!A:A, Maps!B:B)</f>
        <v>Dead Forest</v>
      </c>
    </row>
    <row r="888" ht="15.75" customHeight="1">
      <c r="A888" s="1">
        <v>28.0</v>
      </c>
      <c r="B888" s="1">
        <v>10.0</v>
      </c>
      <c r="C888" s="1">
        <v>60.0</v>
      </c>
      <c r="D888" s="1">
        <v>95.0</v>
      </c>
      <c r="F888" s="1" t="str">
        <f>LOOKUP(A888, NPCs!A:A, NPCs!C:C)</f>
        <v>Naga Rogue</v>
      </c>
      <c r="G888" s="1" t="str">
        <f>LOOKUP(B888, Maps!A:A, Maps!B:B)</f>
        <v>Dead Forest</v>
      </c>
    </row>
    <row r="889" ht="15.75" customHeight="1">
      <c r="A889" s="1">
        <v>27.0</v>
      </c>
      <c r="B889" s="1">
        <v>10.0</v>
      </c>
      <c r="C889" s="1">
        <v>48.0</v>
      </c>
      <c r="D889" s="1">
        <v>92.0</v>
      </c>
      <c r="F889" s="1" t="str">
        <f>LOOKUP(A889, NPCs!A:A, NPCs!C:C)</f>
        <v>Naga Warrior</v>
      </c>
      <c r="G889" s="1" t="str">
        <f>LOOKUP(B889, Maps!A:A, Maps!B:B)</f>
        <v>Dead Forest</v>
      </c>
    </row>
    <row r="890" ht="15.75" customHeight="1">
      <c r="A890" s="1">
        <v>28.0</v>
      </c>
      <c r="B890" s="1">
        <v>10.0</v>
      </c>
      <c r="C890" s="1">
        <v>39.0</v>
      </c>
      <c r="D890" s="1">
        <v>98.0</v>
      </c>
      <c r="F890" s="1" t="str">
        <f>LOOKUP(A890, NPCs!A:A, NPCs!C:C)</f>
        <v>Naga Rogue</v>
      </c>
      <c r="G890" s="1" t="str">
        <f>LOOKUP(B890, Maps!A:A, Maps!B:B)</f>
        <v>Dead Forest</v>
      </c>
    </row>
    <row r="891" ht="15.75" customHeight="1">
      <c r="A891" s="1">
        <v>27.0</v>
      </c>
      <c r="B891" s="1">
        <v>10.0</v>
      </c>
      <c r="C891" s="1">
        <v>36.0</v>
      </c>
      <c r="D891" s="1">
        <v>95.0</v>
      </c>
      <c r="F891" s="1" t="str">
        <f>LOOKUP(A891, NPCs!A:A, NPCs!C:C)</f>
        <v>Naga Warrior</v>
      </c>
      <c r="G891" s="1" t="str">
        <f>LOOKUP(B891, Maps!A:A, Maps!B:B)</f>
        <v>Dead Forest</v>
      </c>
    </row>
    <row r="892" ht="15.75" customHeight="1">
      <c r="A892" s="1">
        <v>28.0</v>
      </c>
      <c r="B892" s="1">
        <v>10.0</v>
      </c>
      <c r="C892" s="1">
        <v>28.0</v>
      </c>
      <c r="D892" s="1">
        <v>93.0</v>
      </c>
      <c r="F892" s="1" t="str">
        <f>LOOKUP(A892, NPCs!A:A, NPCs!C:C)</f>
        <v>Naga Rogue</v>
      </c>
      <c r="G892" s="1" t="str">
        <f>LOOKUP(B892, Maps!A:A, Maps!B:B)</f>
        <v>Dead Forest</v>
      </c>
    </row>
    <row r="893" ht="15.75" customHeight="1">
      <c r="A893" s="1">
        <v>27.0</v>
      </c>
      <c r="B893" s="1">
        <v>10.0</v>
      </c>
      <c r="C893" s="1">
        <v>16.0</v>
      </c>
      <c r="D893" s="1">
        <v>89.0</v>
      </c>
      <c r="F893" s="1" t="str">
        <f>LOOKUP(A893, NPCs!A:A, NPCs!C:C)</f>
        <v>Naga Warrior</v>
      </c>
      <c r="G893" s="1" t="str">
        <f>LOOKUP(B893, Maps!A:A, Maps!B:B)</f>
        <v>Dead Forest</v>
      </c>
    </row>
    <row r="894" ht="15.75" customHeight="1">
      <c r="A894" s="1">
        <v>28.0</v>
      </c>
      <c r="B894" s="1">
        <v>10.0</v>
      </c>
      <c r="C894" s="1">
        <v>9.0</v>
      </c>
      <c r="D894" s="1">
        <v>86.0</v>
      </c>
      <c r="F894" s="1" t="str">
        <f>LOOKUP(A894, NPCs!A:A, NPCs!C:C)</f>
        <v>Naga Rogue</v>
      </c>
      <c r="G894" s="1" t="str">
        <f>LOOKUP(B894, Maps!A:A, Maps!B:B)</f>
        <v>Dead Forest</v>
      </c>
    </row>
    <row r="895" ht="15.75" customHeight="1">
      <c r="A895" s="1">
        <v>27.0</v>
      </c>
      <c r="B895" s="1">
        <v>10.0</v>
      </c>
      <c r="C895" s="1">
        <v>6.0</v>
      </c>
      <c r="D895" s="1">
        <v>81.0</v>
      </c>
      <c r="F895" s="1" t="str">
        <f>LOOKUP(A895, NPCs!A:A, NPCs!C:C)</f>
        <v>Naga Warrior</v>
      </c>
      <c r="G895" s="1" t="str">
        <f>LOOKUP(B895, Maps!A:A, Maps!B:B)</f>
        <v>Dead Forest</v>
      </c>
    </row>
    <row r="896" ht="15.75" customHeight="1">
      <c r="A896" s="1">
        <v>28.0</v>
      </c>
      <c r="B896" s="1">
        <v>10.0</v>
      </c>
      <c r="C896" s="1">
        <v>10.0</v>
      </c>
      <c r="D896" s="1">
        <v>71.0</v>
      </c>
      <c r="F896" s="1" t="str">
        <f>LOOKUP(A896, NPCs!A:A, NPCs!C:C)</f>
        <v>Naga Rogue</v>
      </c>
      <c r="G896" s="1" t="str">
        <f>LOOKUP(B896, Maps!A:A, Maps!B:B)</f>
        <v>Dead Forest</v>
      </c>
    </row>
    <row r="897" ht="15.75" customHeight="1">
      <c r="A897" s="1">
        <v>27.0</v>
      </c>
      <c r="B897" s="1">
        <v>10.0</v>
      </c>
      <c r="C897" s="1">
        <v>20.0</v>
      </c>
      <c r="D897" s="1">
        <v>69.0</v>
      </c>
      <c r="F897" s="1" t="str">
        <f>LOOKUP(A897, NPCs!A:A, NPCs!C:C)</f>
        <v>Naga Warrior</v>
      </c>
      <c r="G897" s="1" t="str">
        <f>LOOKUP(B897, Maps!A:A, Maps!B:B)</f>
        <v>Dead Forest</v>
      </c>
    </row>
    <row r="898" ht="15.75" customHeight="1">
      <c r="A898" s="1">
        <v>28.0</v>
      </c>
      <c r="B898" s="1">
        <v>10.0</v>
      </c>
      <c r="C898" s="1">
        <v>22.0</v>
      </c>
      <c r="D898" s="1">
        <v>77.0</v>
      </c>
      <c r="F898" s="1" t="str">
        <f>LOOKUP(A898, NPCs!A:A, NPCs!C:C)</f>
        <v>Naga Rogue</v>
      </c>
      <c r="G898" s="1" t="str">
        <f>LOOKUP(B898, Maps!A:A, Maps!B:B)</f>
        <v>Dead Forest</v>
      </c>
    </row>
    <row r="899" ht="15.75" customHeight="1">
      <c r="A899" s="1">
        <v>27.0</v>
      </c>
      <c r="B899" s="1">
        <v>10.0</v>
      </c>
      <c r="C899" s="1">
        <v>29.0</v>
      </c>
      <c r="D899" s="1">
        <v>82.0</v>
      </c>
      <c r="F899" s="1" t="str">
        <f>LOOKUP(A899, NPCs!A:A, NPCs!C:C)</f>
        <v>Naga Warrior</v>
      </c>
      <c r="G899" s="1" t="str">
        <f>LOOKUP(B899, Maps!A:A, Maps!B:B)</f>
        <v>Dead Forest</v>
      </c>
    </row>
    <row r="900" ht="15.75" customHeight="1">
      <c r="A900" s="1">
        <v>28.0</v>
      </c>
      <c r="B900" s="1">
        <v>10.0</v>
      </c>
      <c r="C900" s="1">
        <v>37.0</v>
      </c>
      <c r="D900" s="1">
        <v>76.0</v>
      </c>
      <c r="F900" s="1" t="str">
        <f>LOOKUP(A900, NPCs!A:A, NPCs!C:C)</f>
        <v>Naga Rogue</v>
      </c>
      <c r="G900" s="1" t="str">
        <f>LOOKUP(B900, Maps!A:A, Maps!B:B)</f>
        <v>Dead Forest</v>
      </c>
    </row>
    <row r="901" ht="15.75" customHeight="1">
      <c r="A901" s="1">
        <v>28.0</v>
      </c>
      <c r="B901" s="1">
        <v>10.0</v>
      </c>
      <c r="C901" s="1">
        <v>42.0</v>
      </c>
      <c r="D901" s="1">
        <v>67.0</v>
      </c>
      <c r="F901" s="1" t="str">
        <f>LOOKUP(A901, NPCs!A:A, NPCs!C:C)</f>
        <v>Naga Rogue</v>
      </c>
      <c r="G901" s="1" t="str">
        <f>LOOKUP(B901, Maps!A:A, Maps!B:B)</f>
        <v>Dead Forest</v>
      </c>
    </row>
    <row r="902" ht="15.75" customHeight="1">
      <c r="A902" s="1">
        <v>28.0</v>
      </c>
      <c r="B902" s="1">
        <v>10.0</v>
      </c>
      <c r="C902" s="1">
        <v>48.0</v>
      </c>
      <c r="D902" s="1">
        <v>62.0</v>
      </c>
      <c r="F902" s="1" t="str">
        <f>LOOKUP(A902, NPCs!A:A, NPCs!C:C)</f>
        <v>Naga Rogue</v>
      </c>
      <c r="G902" s="1" t="str">
        <f>LOOKUP(B902, Maps!A:A, Maps!B:B)</f>
        <v>Dead Forest</v>
      </c>
    </row>
    <row r="903" ht="15.75" customHeight="1">
      <c r="A903" s="1">
        <v>28.0</v>
      </c>
      <c r="B903" s="1">
        <v>10.0</v>
      </c>
      <c r="C903" s="1">
        <v>24.0</v>
      </c>
      <c r="D903" s="1">
        <v>58.0</v>
      </c>
      <c r="F903" s="1" t="str">
        <f>LOOKUP(A903, NPCs!A:A, NPCs!C:C)</f>
        <v>Naga Rogue</v>
      </c>
      <c r="G903" s="1" t="str">
        <f>LOOKUP(B903, Maps!A:A, Maps!B:B)</f>
        <v>Dead Forest</v>
      </c>
    </row>
    <row r="904" ht="15.75" customHeight="1">
      <c r="A904" s="1">
        <v>28.0</v>
      </c>
      <c r="B904" s="1">
        <v>10.0</v>
      </c>
      <c r="C904" s="1">
        <v>16.0</v>
      </c>
      <c r="D904" s="1">
        <v>65.0</v>
      </c>
      <c r="F904" s="1" t="str">
        <f>LOOKUP(A904, NPCs!A:A, NPCs!C:C)</f>
        <v>Naga Rogue</v>
      </c>
      <c r="G904" s="1" t="str">
        <f>LOOKUP(B904, Maps!A:A, Maps!B:B)</f>
        <v>Dead Forest</v>
      </c>
    </row>
    <row r="905" ht="15.75" customHeight="1">
      <c r="A905" s="1">
        <v>109.0</v>
      </c>
      <c r="B905" s="1">
        <v>10.0</v>
      </c>
      <c r="C905" s="1">
        <v>20.0</v>
      </c>
      <c r="D905" s="1">
        <v>94.0</v>
      </c>
      <c r="F905" s="1" t="str">
        <f>LOOKUP(A905, NPCs!A:A, NPCs!C:C)</f>
        <v>Nagan Sentry</v>
      </c>
      <c r="G905" s="1" t="str">
        <f>LOOKUP(B905, Maps!A:A, Maps!B:B)</f>
        <v>Dead Forest</v>
      </c>
    </row>
    <row r="906" ht="15.75" customHeight="1">
      <c r="A906" s="1">
        <v>29.0</v>
      </c>
      <c r="B906" s="1">
        <v>18.0</v>
      </c>
      <c r="C906" s="1">
        <v>83.0</v>
      </c>
      <c r="D906" s="1">
        <v>12.0</v>
      </c>
      <c r="F906" s="1" t="str">
        <f>LOOKUP(A906, NPCs!A:A, NPCs!C:C)</f>
        <v>Frozen Waste</v>
      </c>
      <c r="G906" s="1" t="str">
        <f>LOOKUP(B906, Maps!A:A, Maps!B:B)</f>
        <v>Frozen Lake</v>
      </c>
    </row>
    <row r="907" ht="15.75" customHeight="1">
      <c r="A907" s="1">
        <v>29.0</v>
      </c>
      <c r="B907" s="1">
        <v>18.0</v>
      </c>
      <c r="C907" s="1">
        <v>81.0</v>
      </c>
      <c r="D907" s="1">
        <v>12.0</v>
      </c>
      <c r="F907" s="1" t="str">
        <f>LOOKUP(A907, NPCs!A:A, NPCs!C:C)</f>
        <v>Frozen Waste</v>
      </c>
      <c r="G907" s="1" t="str">
        <f>LOOKUP(B907, Maps!A:A, Maps!B:B)</f>
        <v>Frozen Lake</v>
      </c>
    </row>
    <row r="908" ht="15.75" customHeight="1">
      <c r="A908" s="1">
        <v>29.0</v>
      </c>
      <c r="B908" s="1">
        <v>18.0</v>
      </c>
      <c r="C908" s="1">
        <v>83.0</v>
      </c>
      <c r="D908" s="1">
        <v>31.0</v>
      </c>
      <c r="F908" s="1" t="str">
        <f>LOOKUP(A908, NPCs!A:A, NPCs!C:C)</f>
        <v>Frozen Waste</v>
      </c>
      <c r="G908" s="1" t="str">
        <f>LOOKUP(B908, Maps!A:A, Maps!B:B)</f>
        <v>Frozen Lake</v>
      </c>
    </row>
    <row r="909" ht="15.75" customHeight="1">
      <c r="A909" s="1">
        <v>29.0</v>
      </c>
      <c r="B909" s="1">
        <v>18.0</v>
      </c>
      <c r="C909" s="1">
        <v>79.0</v>
      </c>
      <c r="D909" s="1">
        <v>31.0</v>
      </c>
      <c r="F909" s="1" t="str">
        <f>LOOKUP(A909, NPCs!A:A, NPCs!C:C)</f>
        <v>Frozen Waste</v>
      </c>
      <c r="G909" s="1" t="str">
        <f>LOOKUP(B909, Maps!A:A, Maps!B:B)</f>
        <v>Frozen Lake</v>
      </c>
    </row>
    <row r="910" ht="15.75" customHeight="1">
      <c r="A910" s="1">
        <v>29.0</v>
      </c>
      <c r="B910" s="1">
        <v>18.0</v>
      </c>
      <c r="C910" s="1">
        <v>83.0</v>
      </c>
      <c r="D910" s="1">
        <v>28.0</v>
      </c>
      <c r="F910" s="1" t="str">
        <f>LOOKUP(A910, NPCs!A:A, NPCs!C:C)</f>
        <v>Frozen Waste</v>
      </c>
      <c r="G910" s="1" t="str">
        <f>LOOKUP(B910, Maps!A:A, Maps!B:B)</f>
        <v>Frozen Lake</v>
      </c>
    </row>
    <row r="911" ht="15.75" customHeight="1">
      <c r="A911" s="1">
        <v>29.0</v>
      </c>
      <c r="B911" s="1">
        <v>18.0</v>
      </c>
      <c r="C911" s="1">
        <v>79.0</v>
      </c>
      <c r="D911" s="1">
        <v>28.0</v>
      </c>
      <c r="F911" s="1" t="str">
        <f>LOOKUP(A911, NPCs!A:A, NPCs!C:C)</f>
        <v>Frozen Waste</v>
      </c>
      <c r="G911" s="1" t="str">
        <f>LOOKUP(B911, Maps!A:A, Maps!B:B)</f>
        <v>Frozen Lake</v>
      </c>
    </row>
    <row r="912" ht="15.75" customHeight="1">
      <c r="A912" s="1">
        <v>29.0</v>
      </c>
      <c r="B912" s="1">
        <v>18.0</v>
      </c>
      <c r="C912" s="1">
        <v>83.0</v>
      </c>
      <c r="D912" s="1">
        <v>25.0</v>
      </c>
      <c r="F912" s="1" t="str">
        <f>LOOKUP(A912, NPCs!A:A, NPCs!C:C)</f>
        <v>Frozen Waste</v>
      </c>
      <c r="G912" s="1" t="str">
        <f>LOOKUP(B912, Maps!A:A, Maps!B:B)</f>
        <v>Frozen Lake</v>
      </c>
    </row>
    <row r="913" ht="15.75" customHeight="1">
      <c r="A913" s="1">
        <v>29.0</v>
      </c>
      <c r="B913" s="1">
        <v>18.0</v>
      </c>
      <c r="C913" s="1">
        <v>79.0</v>
      </c>
      <c r="D913" s="1">
        <v>25.0</v>
      </c>
      <c r="F913" s="1" t="str">
        <f>LOOKUP(A913, NPCs!A:A, NPCs!C:C)</f>
        <v>Frozen Waste</v>
      </c>
      <c r="G913" s="1" t="str">
        <f>LOOKUP(B913, Maps!A:A, Maps!B:B)</f>
        <v>Frozen Lake</v>
      </c>
    </row>
    <row r="914" ht="15.75" customHeight="1">
      <c r="A914" s="1">
        <v>29.0</v>
      </c>
      <c r="B914" s="1">
        <v>18.0</v>
      </c>
      <c r="C914" s="1">
        <v>79.0</v>
      </c>
      <c r="D914" s="1">
        <v>22.0</v>
      </c>
      <c r="F914" s="1" t="str">
        <f>LOOKUP(A914, NPCs!A:A, NPCs!C:C)</f>
        <v>Frozen Waste</v>
      </c>
      <c r="G914" s="1" t="str">
        <f>LOOKUP(B914, Maps!A:A, Maps!B:B)</f>
        <v>Frozen Lake</v>
      </c>
    </row>
    <row r="915" ht="15.75" customHeight="1">
      <c r="A915" s="1">
        <v>29.0</v>
      </c>
      <c r="B915" s="1">
        <v>18.0</v>
      </c>
      <c r="C915" s="1">
        <v>83.0</v>
      </c>
      <c r="D915" s="1">
        <v>22.0</v>
      </c>
      <c r="F915" s="1" t="str">
        <f>LOOKUP(A915, NPCs!A:A, NPCs!C:C)</f>
        <v>Frozen Waste</v>
      </c>
      <c r="G915" s="1" t="str">
        <f>LOOKUP(B915, Maps!A:A, Maps!B:B)</f>
        <v>Frozen Lake</v>
      </c>
    </row>
    <row r="916" ht="15.75" customHeight="1">
      <c r="A916" s="1">
        <v>30.0</v>
      </c>
      <c r="B916" s="1">
        <v>18.0</v>
      </c>
      <c r="C916" s="1">
        <v>66.0</v>
      </c>
      <c r="D916" s="1">
        <v>3.0</v>
      </c>
      <c r="F916" s="1" t="str">
        <f>LOOKUP(A916, NPCs!A:A, NPCs!C:C)</f>
        <v>Frozen Waste</v>
      </c>
      <c r="G916" s="1" t="str">
        <f>LOOKUP(B916, Maps!A:A, Maps!B:B)</f>
        <v>Frozen Lake</v>
      </c>
    </row>
    <row r="917" ht="15.75" customHeight="1">
      <c r="A917" s="1">
        <v>30.0</v>
      </c>
      <c r="B917" s="1">
        <v>18.0</v>
      </c>
      <c r="C917" s="1">
        <v>40.0</v>
      </c>
      <c r="D917" s="1">
        <v>3.0</v>
      </c>
      <c r="F917" s="1" t="str">
        <f>LOOKUP(A917, NPCs!A:A, NPCs!C:C)</f>
        <v>Frozen Waste</v>
      </c>
      <c r="G917" s="1" t="str">
        <f>LOOKUP(B917, Maps!A:A, Maps!B:B)</f>
        <v>Frozen Lake</v>
      </c>
    </row>
    <row r="918" ht="15.75" customHeight="1">
      <c r="A918" s="1">
        <v>30.0</v>
      </c>
      <c r="B918" s="1">
        <v>18.0</v>
      </c>
      <c r="C918" s="1">
        <v>46.0</v>
      </c>
      <c r="D918" s="1">
        <v>3.0</v>
      </c>
      <c r="F918" s="1" t="str">
        <f>LOOKUP(A918, NPCs!A:A, NPCs!C:C)</f>
        <v>Frozen Waste</v>
      </c>
      <c r="G918" s="1" t="str">
        <f>LOOKUP(B918, Maps!A:A, Maps!B:B)</f>
        <v>Frozen Lake</v>
      </c>
    </row>
    <row r="919" ht="15.75" customHeight="1">
      <c r="A919" s="1">
        <v>30.0</v>
      </c>
      <c r="B919" s="1">
        <v>18.0</v>
      </c>
      <c r="C919" s="1">
        <v>50.0</v>
      </c>
      <c r="D919" s="1">
        <v>3.0</v>
      </c>
      <c r="F919" s="1" t="str">
        <f>LOOKUP(A919, NPCs!A:A, NPCs!C:C)</f>
        <v>Frozen Waste</v>
      </c>
      <c r="G919" s="1" t="str">
        <f>LOOKUP(B919, Maps!A:A, Maps!B:B)</f>
        <v>Frozen Lake</v>
      </c>
    </row>
    <row r="920" ht="15.75" customHeight="1">
      <c r="A920" s="1">
        <v>30.0</v>
      </c>
      <c r="B920" s="1">
        <v>18.0</v>
      </c>
      <c r="C920" s="1">
        <v>57.0</v>
      </c>
      <c r="D920" s="1">
        <v>3.0</v>
      </c>
      <c r="F920" s="1" t="str">
        <f>LOOKUP(A920, NPCs!A:A, NPCs!C:C)</f>
        <v>Frozen Waste</v>
      </c>
      <c r="G920" s="1" t="str">
        <f>LOOKUP(B920, Maps!A:A, Maps!B:B)</f>
        <v>Frozen Lake</v>
      </c>
    </row>
    <row r="921" ht="15.75" customHeight="1">
      <c r="A921" s="1">
        <v>30.0</v>
      </c>
      <c r="B921" s="1">
        <v>18.0</v>
      </c>
      <c r="C921" s="1">
        <v>70.0</v>
      </c>
      <c r="D921" s="1">
        <v>3.0</v>
      </c>
      <c r="F921" s="1" t="str">
        <f>LOOKUP(A921, NPCs!A:A, NPCs!C:C)</f>
        <v>Frozen Waste</v>
      </c>
      <c r="G921" s="1" t="str">
        <f>LOOKUP(B921, Maps!A:A, Maps!B:B)</f>
        <v>Frozen Lake</v>
      </c>
    </row>
    <row r="922" ht="15.75" customHeight="1">
      <c r="A922" s="1">
        <v>30.0</v>
      </c>
      <c r="B922" s="1">
        <v>18.0</v>
      </c>
      <c r="C922" s="1">
        <v>90.0</v>
      </c>
      <c r="D922" s="1">
        <v>3.0</v>
      </c>
      <c r="F922" s="1" t="str">
        <f>LOOKUP(A922, NPCs!A:A, NPCs!C:C)</f>
        <v>Frozen Waste</v>
      </c>
      <c r="G922" s="1" t="str">
        <f>LOOKUP(B922, Maps!A:A, Maps!B:B)</f>
        <v>Frozen Lake</v>
      </c>
    </row>
    <row r="923" ht="15.75" customHeight="1">
      <c r="A923" s="1">
        <v>30.0</v>
      </c>
      <c r="B923" s="1">
        <v>18.0</v>
      </c>
      <c r="C923" s="1">
        <v>95.0</v>
      </c>
      <c r="D923" s="1">
        <v>3.0</v>
      </c>
      <c r="F923" s="1" t="str">
        <f>LOOKUP(A923, NPCs!A:A, NPCs!C:C)</f>
        <v>Frozen Waste</v>
      </c>
      <c r="G923" s="1" t="str">
        <f>LOOKUP(B923, Maps!A:A, Maps!B:B)</f>
        <v>Frozen Lake</v>
      </c>
    </row>
    <row r="924" ht="15.75" customHeight="1">
      <c r="A924" s="1">
        <v>30.0</v>
      </c>
      <c r="B924" s="1">
        <v>18.0</v>
      </c>
      <c r="C924" s="1">
        <v>40.0</v>
      </c>
      <c r="D924" s="1">
        <v>9.0</v>
      </c>
      <c r="F924" s="1" t="str">
        <f>LOOKUP(A924, NPCs!A:A, NPCs!C:C)</f>
        <v>Frozen Waste</v>
      </c>
      <c r="G924" s="1" t="str">
        <f>LOOKUP(B924, Maps!A:A, Maps!B:B)</f>
        <v>Frozen Lake</v>
      </c>
    </row>
    <row r="925" ht="15.75" customHeight="1">
      <c r="A925" s="1">
        <v>30.0</v>
      </c>
      <c r="B925" s="1">
        <v>18.0</v>
      </c>
      <c r="C925" s="1">
        <v>46.0</v>
      </c>
      <c r="D925" s="1">
        <v>9.0</v>
      </c>
      <c r="F925" s="1" t="str">
        <f>LOOKUP(A925, NPCs!A:A, NPCs!C:C)</f>
        <v>Frozen Waste</v>
      </c>
      <c r="G925" s="1" t="str">
        <f>LOOKUP(B925, Maps!A:A, Maps!B:B)</f>
        <v>Frozen Lake</v>
      </c>
    </row>
    <row r="926" ht="15.75" customHeight="1">
      <c r="A926" s="1">
        <v>30.0</v>
      </c>
      <c r="B926" s="1">
        <v>18.0</v>
      </c>
      <c r="C926" s="1">
        <v>50.0</v>
      </c>
      <c r="D926" s="1">
        <v>9.0</v>
      </c>
      <c r="F926" s="1" t="str">
        <f>LOOKUP(A926, NPCs!A:A, NPCs!C:C)</f>
        <v>Frozen Waste</v>
      </c>
      <c r="G926" s="1" t="str">
        <f>LOOKUP(B926, Maps!A:A, Maps!B:B)</f>
        <v>Frozen Lake</v>
      </c>
    </row>
    <row r="927" ht="15.75" customHeight="1">
      <c r="A927" s="1">
        <v>30.0</v>
      </c>
      <c r="B927" s="1">
        <v>18.0</v>
      </c>
      <c r="C927" s="1">
        <v>57.0</v>
      </c>
      <c r="D927" s="1">
        <v>9.0</v>
      </c>
      <c r="F927" s="1" t="str">
        <f>LOOKUP(A927, NPCs!A:A, NPCs!C:C)</f>
        <v>Frozen Waste</v>
      </c>
      <c r="G927" s="1" t="str">
        <f>LOOKUP(B927, Maps!A:A, Maps!B:B)</f>
        <v>Frozen Lake</v>
      </c>
    </row>
    <row r="928" ht="15.75" customHeight="1">
      <c r="A928" s="1">
        <v>30.0</v>
      </c>
      <c r="B928" s="1">
        <v>18.0</v>
      </c>
      <c r="C928" s="1">
        <v>70.0</v>
      </c>
      <c r="D928" s="1">
        <v>9.0</v>
      </c>
      <c r="F928" s="1" t="str">
        <f>LOOKUP(A928, NPCs!A:A, NPCs!C:C)</f>
        <v>Frozen Waste</v>
      </c>
      <c r="G928" s="1" t="str">
        <f>LOOKUP(B928, Maps!A:A, Maps!B:B)</f>
        <v>Frozen Lake</v>
      </c>
    </row>
    <row r="929" ht="15.75" customHeight="1">
      <c r="A929" s="1">
        <v>30.0</v>
      </c>
      <c r="B929" s="1">
        <v>18.0</v>
      </c>
      <c r="C929" s="1">
        <v>90.0</v>
      </c>
      <c r="D929" s="1">
        <v>9.0</v>
      </c>
      <c r="F929" s="1" t="str">
        <f>LOOKUP(A929, NPCs!A:A, NPCs!C:C)</f>
        <v>Frozen Waste</v>
      </c>
      <c r="G929" s="1" t="str">
        <f>LOOKUP(B929, Maps!A:A, Maps!B:B)</f>
        <v>Frozen Lake</v>
      </c>
    </row>
    <row r="930" ht="15.75" customHeight="1">
      <c r="A930" s="1">
        <v>30.0</v>
      </c>
      <c r="B930" s="1">
        <v>18.0</v>
      </c>
      <c r="C930" s="1">
        <v>95.0</v>
      </c>
      <c r="D930" s="1">
        <v>9.0</v>
      </c>
      <c r="F930" s="1" t="str">
        <f>LOOKUP(A930, NPCs!A:A, NPCs!C:C)</f>
        <v>Frozen Waste</v>
      </c>
      <c r="G930" s="1" t="str">
        <f>LOOKUP(B930, Maps!A:A, Maps!B:B)</f>
        <v>Frozen Lake</v>
      </c>
    </row>
    <row r="931" ht="15.75" customHeight="1">
      <c r="A931" s="1">
        <v>30.0</v>
      </c>
      <c r="B931" s="1">
        <v>18.0</v>
      </c>
      <c r="C931" s="1">
        <v>40.0</v>
      </c>
      <c r="D931" s="1">
        <v>15.0</v>
      </c>
      <c r="F931" s="1" t="str">
        <f>LOOKUP(A931, NPCs!A:A, NPCs!C:C)</f>
        <v>Frozen Waste</v>
      </c>
      <c r="G931" s="1" t="str">
        <f>LOOKUP(B931, Maps!A:A, Maps!B:B)</f>
        <v>Frozen Lake</v>
      </c>
    </row>
    <row r="932" ht="15.75" customHeight="1">
      <c r="A932" s="1">
        <v>30.0</v>
      </c>
      <c r="B932" s="1">
        <v>18.0</v>
      </c>
      <c r="C932" s="1">
        <v>46.0</v>
      </c>
      <c r="D932" s="1">
        <v>15.0</v>
      </c>
      <c r="F932" s="1" t="str">
        <f>LOOKUP(A932, NPCs!A:A, NPCs!C:C)</f>
        <v>Frozen Waste</v>
      </c>
      <c r="G932" s="1" t="str">
        <f>LOOKUP(B932, Maps!A:A, Maps!B:B)</f>
        <v>Frozen Lake</v>
      </c>
    </row>
    <row r="933" ht="15.75" customHeight="1">
      <c r="A933" s="1">
        <v>30.0</v>
      </c>
      <c r="B933" s="1">
        <v>18.0</v>
      </c>
      <c r="C933" s="1">
        <v>50.0</v>
      </c>
      <c r="D933" s="1">
        <v>15.0</v>
      </c>
      <c r="F933" s="1" t="str">
        <f>LOOKUP(A933, NPCs!A:A, NPCs!C:C)</f>
        <v>Frozen Waste</v>
      </c>
      <c r="G933" s="1" t="str">
        <f>LOOKUP(B933, Maps!A:A, Maps!B:B)</f>
        <v>Frozen Lake</v>
      </c>
    </row>
    <row r="934" ht="15.75" customHeight="1">
      <c r="A934" s="1">
        <v>30.0</v>
      </c>
      <c r="B934" s="1">
        <v>18.0</v>
      </c>
      <c r="C934" s="1">
        <v>57.0</v>
      </c>
      <c r="D934" s="1">
        <v>15.0</v>
      </c>
      <c r="F934" s="1" t="str">
        <f>LOOKUP(A934, NPCs!A:A, NPCs!C:C)</f>
        <v>Frozen Waste</v>
      </c>
      <c r="G934" s="1" t="str">
        <f>LOOKUP(B934, Maps!A:A, Maps!B:B)</f>
        <v>Frozen Lake</v>
      </c>
    </row>
    <row r="935" ht="15.75" customHeight="1">
      <c r="A935" s="1">
        <v>30.0</v>
      </c>
      <c r="B935" s="1">
        <v>18.0</v>
      </c>
      <c r="C935" s="1">
        <v>70.0</v>
      </c>
      <c r="D935" s="1">
        <v>15.0</v>
      </c>
      <c r="F935" s="1" t="str">
        <f>LOOKUP(A935, NPCs!A:A, NPCs!C:C)</f>
        <v>Frozen Waste</v>
      </c>
      <c r="G935" s="1" t="str">
        <f>LOOKUP(B935, Maps!A:A, Maps!B:B)</f>
        <v>Frozen Lake</v>
      </c>
    </row>
    <row r="936" ht="15.75" customHeight="1">
      <c r="A936" s="1">
        <v>30.0</v>
      </c>
      <c r="B936" s="1">
        <v>18.0</v>
      </c>
      <c r="C936" s="1">
        <v>90.0</v>
      </c>
      <c r="D936" s="1">
        <v>15.0</v>
      </c>
      <c r="F936" s="1" t="str">
        <f>LOOKUP(A936, NPCs!A:A, NPCs!C:C)</f>
        <v>Frozen Waste</v>
      </c>
      <c r="G936" s="1" t="str">
        <f>LOOKUP(B936, Maps!A:A, Maps!B:B)</f>
        <v>Frozen Lake</v>
      </c>
    </row>
    <row r="937" ht="15.75" customHeight="1">
      <c r="A937" s="1">
        <v>30.0</v>
      </c>
      <c r="B937" s="1">
        <v>18.0</v>
      </c>
      <c r="C937" s="1">
        <v>95.0</v>
      </c>
      <c r="D937" s="1">
        <v>15.0</v>
      </c>
      <c r="F937" s="1" t="str">
        <f>LOOKUP(A937, NPCs!A:A, NPCs!C:C)</f>
        <v>Frozen Waste</v>
      </c>
      <c r="G937" s="1" t="str">
        <f>LOOKUP(B937, Maps!A:A, Maps!B:B)</f>
        <v>Frozen Lake</v>
      </c>
    </row>
    <row r="938" ht="15.75" customHeight="1">
      <c r="A938" s="1">
        <v>30.0</v>
      </c>
      <c r="B938" s="1">
        <v>18.0</v>
      </c>
      <c r="C938" s="1">
        <v>40.0</v>
      </c>
      <c r="D938" s="1">
        <v>21.0</v>
      </c>
      <c r="F938" s="1" t="str">
        <f>LOOKUP(A938, NPCs!A:A, NPCs!C:C)</f>
        <v>Frozen Waste</v>
      </c>
      <c r="G938" s="1" t="str">
        <f>LOOKUP(B938, Maps!A:A, Maps!B:B)</f>
        <v>Frozen Lake</v>
      </c>
    </row>
    <row r="939" ht="15.75" customHeight="1">
      <c r="A939" s="1">
        <v>30.0</v>
      </c>
      <c r="B939" s="1">
        <v>18.0</v>
      </c>
      <c r="C939" s="1">
        <v>46.0</v>
      </c>
      <c r="D939" s="1">
        <v>21.0</v>
      </c>
      <c r="F939" s="1" t="str">
        <f>LOOKUP(A939, NPCs!A:A, NPCs!C:C)</f>
        <v>Frozen Waste</v>
      </c>
      <c r="G939" s="1" t="str">
        <f>LOOKUP(B939, Maps!A:A, Maps!B:B)</f>
        <v>Frozen Lake</v>
      </c>
    </row>
    <row r="940" ht="15.75" customHeight="1">
      <c r="A940" s="1">
        <v>30.0</v>
      </c>
      <c r="B940" s="1">
        <v>18.0</v>
      </c>
      <c r="C940" s="1">
        <v>50.0</v>
      </c>
      <c r="D940" s="1">
        <v>21.0</v>
      </c>
      <c r="F940" s="1" t="str">
        <f>LOOKUP(A940, NPCs!A:A, NPCs!C:C)</f>
        <v>Frozen Waste</v>
      </c>
      <c r="G940" s="1" t="str">
        <f>LOOKUP(B940, Maps!A:A, Maps!B:B)</f>
        <v>Frozen Lake</v>
      </c>
    </row>
    <row r="941" ht="15.75" customHeight="1">
      <c r="A941" s="1">
        <v>30.0</v>
      </c>
      <c r="B941" s="1">
        <v>18.0</v>
      </c>
      <c r="C941" s="1">
        <v>57.0</v>
      </c>
      <c r="D941" s="1">
        <v>21.0</v>
      </c>
      <c r="F941" s="1" t="str">
        <f>LOOKUP(A941, NPCs!A:A, NPCs!C:C)</f>
        <v>Frozen Waste</v>
      </c>
      <c r="G941" s="1" t="str">
        <f>LOOKUP(B941, Maps!A:A, Maps!B:B)</f>
        <v>Frozen Lake</v>
      </c>
    </row>
    <row r="942" ht="15.75" customHeight="1">
      <c r="A942" s="1">
        <v>30.0</v>
      </c>
      <c r="B942" s="1">
        <v>18.0</v>
      </c>
      <c r="C942" s="1">
        <v>70.0</v>
      </c>
      <c r="D942" s="1">
        <v>21.0</v>
      </c>
      <c r="F942" s="1" t="str">
        <f>LOOKUP(A942, NPCs!A:A, NPCs!C:C)</f>
        <v>Frozen Waste</v>
      </c>
      <c r="G942" s="1" t="str">
        <f>LOOKUP(B942, Maps!A:A, Maps!B:B)</f>
        <v>Frozen Lake</v>
      </c>
    </row>
    <row r="943" ht="15.75" customHeight="1">
      <c r="A943" s="1">
        <v>30.0</v>
      </c>
      <c r="B943" s="1">
        <v>18.0</v>
      </c>
      <c r="C943" s="1">
        <v>90.0</v>
      </c>
      <c r="D943" s="1">
        <v>21.0</v>
      </c>
      <c r="F943" s="1" t="str">
        <f>LOOKUP(A943, NPCs!A:A, NPCs!C:C)</f>
        <v>Frozen Waste</v>
      </c>
      <c r="G943" s="1" t="str">
        <f>LOOKUP(B943, Maps!A:A, Maps!B:B)</f>
        <v>Frozen Lake</v>
      </c>
    </row>
    <row r="944" ht="15.75" customHeight="1">
      <c r="A944" s="1">
        <v>30.0</v>
      </c>
      <c r="B944" s="1">
        <v>18.0</v>
      </c>
      <c r="C944" s="1">
        <v>95.0</v>
      </c>
      <c r="D944" s="1">
        <v>21.0</v>
      </c>
      <c r="F944" s="1" t="str">
        <f>LOOKUP(A944, NPCs!A:A, NPCs!C:C)</f>
        <v>Frozen Waste</v>
      </c>
      <c r="G944" s="1" t="str">
        <f>LOOKUP(B944, Maps!A:A, Maps!B:B)</f>
        <v>Frozen Lake</v>
      </c>
    </row>
    <row r="945" ht="15.75" customHeight="1">
      <c r="A945" s="1">
        <v>30.0</v>
      </c>
      <c r="B945" s="1">
        <v>18.0</v>
      </c>
      <c r="C945" s="1">
        <v>40.0</v>
      </c>
      <c r="D945" s="1">
        <v>29.0</v>
      </c>
      <c r="F945" s="1" t="str">
        <f>LOOKUP(A945, NPCs!A:A, NPCs!C:C)</f>
        <v>Frozen Waste</v>
      </c>
      <c r="G945" s="1" t="str">
        <f>LOOKUP(B945, Maps!A:A, Maps!B:B)</f>
        <v>Frozen Lake</v>
      </c>
    </row>
    <row r="946" ht="15.75" customHeight="1">
      <c r="A946" s="1">
        <v>30.0</v>
      </c>
      <c r="B946" s="1">
        <v>18.0</v>
      </c>
      <c r="C946" s="1">
        <v>46.0</v>
      </c>
      <c r="D946" s="1">
        <v>29.0</v>
      </c>
      <c r="F946" s="1" t="str">
        <f>LOOKUP(A946, NPCs!A:A, NPCs!C:C)</f>
        <v>Frozen Waste</v>
      </c>
      <c r="G946" s="1" t="str">
        <f>LOOKUP(B946, Maps!A:A, Maps!B:B)</f>
        <v>Frozen Lake</v>
      </c>
    </row>
    <row r="947" ht="15.75" customHeight="1">
      <c r="A947" s="1">
        <v>30.0</v>
      </c>
      <c r="B947" s="1">
        <v>18.0</v>
      </c>
      <c r="C947" s="1">
        <v>50.0</v>
      </c>
      <c r="D947" s="1">
        <v>29.0</v>
      </c>
      <c r="F947" s="1" t="str">
        <f>LOOKUP(A947, NPCs!A:A, NPCs!C:C)</f>
        <v>Frozen Waste</v>
      </c>
      <c r="G947" s="1" t="str">
        <f>LOOKUP(B947, Maps!A:A, Maps!B:B)</f>
        <v>Frozen Lake</v>
      </c>
    </row>
    <row r="948" ht="15.75" customHeight="1">
      <c r="A948" s="1">
        <v>30.0</v>
      </c>
      <c r="B948" s="1">
        <v>18.0</v>
      </c>
      <c r="C948" s="1">
        <v>57.0</v>
      </c>
      <c r="D948" s="1">
        <v>29.0</v>
      </c>
      <c r="F948" s="1" t="str">
        <f>LOOKUP(A948, NPCs!A:A, NPCs!C:C)</f>
        <v>Frozen Waste</v>
      </c>
      <c r="G948" s="1" t="str">
        <f>LOOKUP(B948, Maps!A:A, Maps!B:B)</f>
        <v>Frozen Lake</v>
      </c>
    </row>
    <row r="949" ht="15.75" customHeight="1">
      <c r="A949" s="1">
        <v>30.0</v>
      </c>
      <c r="B949" s="1">
        <v>18.0</v>
      </c>
      <c r="C949" s="1">
        <v>70.0</v>
      </c>
      <c r="D949" s="1">
        <v>29.0</v>
      </c>
      <c r="F949" s="1" t="str">
        <f>LOOKUP(A949, NPCs!A:A, NPCs!C:C)</f>
        <v>Frozen Waste</v>
      </c>
      <c r="G949" s="1" t="str">
        <f>LOOKUP(B949, Maps!A:A, Maps!B:B)</f>
        <v>Frozen Lake</v>
      </c>
    </row>
    <row r="950" ht="15.75" customHeight="1">
      <c r="A950" s="1">
        <v>30.0</v>
      </c>
      <c r="B950" s="1">
        <v>18.0</v>
      </c>
      <c r="C950" s="1">
        <v>90.0</v>
      </c>
      <c r="D950" s="1">
        <v>29.0</v>
      </c>
      <c r="F950" s="1" t="str">
        <f>LOOKUP(A950, NPCs!A:A, NPCs!C:C)</f>
        <v>Frozen Waste</v>
      </c>
      <c r="G950" s="1" t="str">
        <f>LOOKUP(B950, Maps!A:A, Maps!B:B)</f>
        <v>Frozen Lake</v>
      </c>
    </row>
    <row r="951" ht="15.75" customHeight="1">
      <c r="A951" s="1">
        <v>30.0</v>
      </c>
      <c r="B951" s="1">
        <v>18.0</v>
      </c>
      <c r="C951" s="1">
        <v>95.0</v>
      </c>
      <c r="D951" s="1">
        <v>29.0</v>
      </c>
      <c r="F951" s="1" t="str">
        <f>LOOKUP(A951, NPCs!A:A, NPCs!C:C)</f>
        <v>Frozen Waste</v>
      </c>
      <c r="G951" s="1" t="str">
        <f>LOOKUP(B951, Maps!A:A, Maps!B:B)</f>
        <v>Frozen Lake</v>
      </c>
    </row>
    <row r="952" ht="15.75" customHeight="1">
      <c r="A952" s="1">
        <v>30.0</v>
      </c>
      <c r="B952" s="1">
        <v>18.0</v>
      </c>
      <c r="C952" s="1">
        <v>98.0</v>
      </c>
      <c r="D952" s="1">
        <v>32.0</v>
      </c>
      <c r="F952" s="1" t="str">
        <f>LOOKUP(A952, NPCs!A:A, NPCs!C:C)</f>
        <v>Frozen Waste</v>
      </c>
      <c r="G952" s="1" t="str">
        <f>LOOKUP(B952, Maps!A:A, Maps!B:B)</f>
        <v>Frozen Lake</v>
      </c>
    </row>
    <row r="953" ht="15.75" customHeight="1">
      <c r="A953" s="1">
        <v>31.0</v>
      </c>
      <c r="B953" s="1">
        <v>18.0</v>
      </c>
      <c r="C953" s="1">
        <v>80.0</v>
      </c>
      <c r="D953" s="1">
        <v>34.0</v>
      </c>
      <c r="F953" s="1" t="str">
        <f>LOOKUP(A953, NPCs!A:A, NPCs!C:C)</f>
        <v>Iceman</v>
      </c>
      <c r="G953" s="1" t="str">
        <f>LOOKUP(B953, Maps!A:A, Maps!B:B)</f>
        <v>Frozen Lake</v>
      </c>
    </row>
    <row r="954" ht="15.75" customHeight="1">
      <c r="A954" s="1">
        <v>31.0</v>
      </c>
      <c r="B954" s="1">
        <v>18.0</v>
      </c>
      <c r="C954" s="1">
        <v>82.0</v>
      </c>
      <c r="D954" s="1">
        <v>34.0</v>
      </c>
      <c r="F954" s="1" t="str">
        <f>LOOKUP(A954, NPCs!A:A, NPCs!C:C)</f>
        <v>Iceman</v>
      </c>
      <c r="G954" s="1" t="str">
        <f>LOOKUP(B954, Maps!A:A, Maps!B:B)</f>
        <v>Frozen Lake</v>
      </c>
    </row>
    <row r="955" ht="15.75" customHeight="1">
      <c r="A955" s="1">
        <v>31.0</v>
      </c>
      <c r="B955" s="1">
        <v>18.0</v>
      </c>
      <c r="C955" s="1">
        <v>82.0</v>
      </c>
      <c r="D955" s="1">
        <v>13.0</v>
      </c>
      <c r="F955" s="1" t="str">
        <f>LOOKUP(A955, NPCs!A:A, NPCs!C:C)</f>
        <v>Iceman</v>
      </c>
      <c r="G955" s="1" t="str">
        <f>LOOKUP(B955, Maps!A:A, Maps!B:B)</f>
        <v>Frozen Lake</v>
      </c>
    </row>
    <row r="956" ht="15.75" customHeight="1">
      <c r="A956" s="1">
        <v>32.0</v>
      </c>
      <c r="B956" s="1">
        <v>18.0</v>
      </c>
      <c r="C956" s="1">
        <v>66.0</v>
      </c>
      <c r="D956" s="1">
        <v>35.0</v>
      </c>
      <c r="F956" s="1" t="str">
        <f>LOOKUP(A956, NPCs!A:A, NPCs!C:C)</f>
        <v>Iceman</v>
      </c>
      <c r="G956" s="1" t="str">
        <f>LOOKUP(B956, Maps!A:A, Maps!B:B)</f>
        <v>Frozen Lake</v>
      </c>
    </row>
    <row r="957" ht="15.75" customHeight="1">
      <c r="A957" s="1">
        <v>32.0</v>
      </c>
      <c r="B957" s="1">
        <v>18.0</v>
      </c>
      <c r="C957" s="1">
        <v>73.0</v>
      </c>
      <c r="D957" s="1">
        <v>35.0</v>
      </c>
      <c r="F957" s="1" t="str">
        <f>LOOKUP(A957, NPCs!A:A, NPCs!C:C)</f>
        <v>Iceman</v>
      </c>
      <c r="G957" s="1" t="str">
        <f>LOOKUP(B957, Maps!A:A, Maps!B:B)</f>
        <v>Frozen Lake</v>
      </c>
    </row>
    <row r="958" ht="15.75" customHeight="1">
      <c r="A958" s="1">
        <v>32.0</v>
      </c>
      <c r="B958" s="1">
        <v>18.0</v>
      </c>
      <c r="C958" s="1">
        <v>79.0</v>
      </c>
      <c r="D958" s="1">
        <v>35.0</v>
      </c>
      <c r="F958" s="1" t="str">
        <f>LOOKUP(A958, NPCs!A:A, NPCs!C:C)</f>
        <v>Iceman</v>
      </c>
      <c r="G958" s="1" t="str">
        <f>LOOKUP(B958, Maps!A:A, Maps!B:B)</f>
        <v>Frozen Lake</v>
      </c>
    </row>
    <row r="959" ht="15.75" customHeight="1">
      <c r="A959" s="1">
        <v>32.0</v>
      </c>
      <c r="B959" s="1">
        <v>18.0</v>
      </c>
      <c r="C959" s="1">
        <v>87.0</v>
      </c>
      <c r="D959" s="1">
        <v>35.0</v>
      </c>
      <c r="F959" s="1" t="str">
        <f>LOOKUP(A959, NPCs!A:A, NPCs!C:C)</f>
        <v>Iceman</v>
      </c>
      <c r="G959" s="1" t="str">
        <f>LOOKUP(B959, Maps!A:A, Maps!B:B)</f>
        <v>Frozen Lake</v>
      </c>
    </row>
    <row r="960" ht="15.75" customHeight="1">
      <c r="A960" s="1">
        <v>32.0</v>
      </c>
      <c r="B960" s="1">
        <v>18.0</v>
      </c>
      <c r="C960" s="1">
        <v>95.0</v>
      </c>
      <c r="D960" s="1">
        <v>35.0</v>
      </c>
      <c r="F960" s="1" t="str">
        <f>LOOKUP(A960, NPCs!A:A, NPCs!C:C)</f>
        <v>Iceman</v>
      </c>
      <c r="G960" s="1" t="str">
        <f>LOOKUP(B960, Maps!A:A, Maps!B:B)</f>
        <v>Frozen Lake</v>
      </c>
    </row>
    <row r="961" ht="15.75" customHeight="1">
      <c r="A961" s="1">
        <v>32.0</v>
      </c>
      <c r="B961" s="1">
        <v>18.0</v>
      </c>
      <c r="C961" s="1">
        <v>73.0</v>
      </c>
      <c r="D961" s="1">
        <v>40.0</v>
      </c>
      <c r="F961" s="1" t="str">
        <f>LOOKUP(A961, NPCs!A:A, NPCs!C:C)</f>
        <v>Iceman</v>
      </c>
      <c r="G961" s="1" t="str">
        <f>LOOKUP(B961, Maps!A:A, Maps!B:B)</f>
        <v>Frozen Lake</v>
      </c>
    </row>
    <row r="962" ht="15.75" customHeight="1">
      <c r="A962" s="1">
        <v>32.0</v>
      </c>
      <c r="B962" s="1">
        <v>18.0</v>
      </c>
      <c r="C962" s="1">
        <v>79.0</v>
      </c>
      <c r="D962" s="1">
        <v>40.0</v>
      </c>
      <c r="F962" s="1" t="str">
        <f>LOOKUP(A962, NPCs!A:A, NPCs!C:C)</f>
        <v>Iceman</v>
      </c>
      <c r="G962" s="1" t="str">
        <f>LOOKUP(B962, Maps!A:A, Maps!B:B)</f>
        <v>Frozen Lake</v>
      </c>
    </row>
    <row r="963" ht="15.75" customHeight="1">
      <c r="A963" s="1">
        <v>32.0</v>
      </c>
      <c r="B963" s="1">
        <v>18.0</v>
      </c>
      <c r="C963" s="1">
        <v>87.0</v>
      </c>
      <c r="D963" s="1">
        <v>40.0</v>
      </c>
      <c r="F963" s="1" t="str">
        <f>LOOKUP(A963, NPCs!A:A, NPCs!C:C)</f>
        <v>Iceman</v>
      </c>
      <c r="G963" s="1" t="str">
        <f>LOOKUP(B963, Maps!A:A, Maps!B:B)</f>
        <v>Frozen Lake</v>
      </c>
    </row>
    <row r="964" ht="15.75" customHeight="1">
      <c r="A964" s="1">
        <v>32.0</v>
      </c>
      <c r="B964" s="1">
        <v>18.0</v>
      </c>
      <c r="C964" s="1">
        <v>95.0</v>
      </c>
      <c r="D964" s="1">
        <v>40.0</v>
      </c>
      <c r="F964" s="1" t="str">
        <f>LOOKUP(A964, NPCs!A:A, NPCs!C:C)</f>
        <v>Iceman</v>
      </c>
      <c r="G964" s="1" t="str">
        <f>LOOKUP(B964, Maps!A:A, Maps!B:B)</f>
        <v>Frozen Lake</v>
      </c>
    </row>
    <row r="965" ht="15.75" customHeight="1">
      <c r="A965" s="1">
        <v>32.0</v>
      </c>
      <c r="B965" s="1">
        <v>18.0</v>
      </c>
      <c r="C965" s="1">
        <v>73.0</v>
      </c>
      <c r="D965" s="1">
        <v>45.0</v>
      </c>
      <c r="F965" s="1" t="str">
        <f>LOOKUP(A965, NPCs!A:A, NPCs!C:C)</f>
        <v>Iceman</v>
      </c>
      <c r="G965" s="1" t="str">
        <f>LOOKUP(B965, Maps!A:A, Maps!B:B)</f>
        <v>Frozen Lake</v>
      </c>
    </row>
    <row r="966" ht="15.75" customHeight="1">
      <c r="A966" s="1">
        <v>32.0</v>
      </c>
      <c r="B966" s="1">
        <v>18.0</v>
      </c>
      <c r="C966" s="1">
        <v>79.0</v>
      </c>
      <c r="D966" s="1">
        <v>45.0</v>
      </c>
      <c r="F966" s="1" t="str">
        <f>LOOKUP(A966, NPCs!A:A, NPCs!C:C)</f>
        <v>Iceman</v>
      </c>
      <c r="G966" s="1" t="str">
        <f>LOOKUP(B966, Maps!A:A, Maps!B:B)</f>
        <v>Frozen Lake</v>
      </c>
    </row>
    <row r="967" ht="15.75" customHeight="1">
      <c r="A967" s="1">
        <v>32.0</v>
      </c>
      <c r="B967" s="1">
        <v>18.0</v>
      </c>
      <c r="C967" s="1">
        <v>87.0</v>
      </c>
      <c r="D967" s="1">
        <v>45.0</v>
      </c>
      <c r="F967" s="1" t="str">
        <f>LOOKUP(A967, NPCs!A:A, NPCs!C:C)</f>
        <v>Iceman</v>
      </c>
      <c r="G967" s="1" t="str">
        <f>LOOKUP(B967, Maps!A:A, Maps!B:B)</f>
        <v>Frozen Lake</v>
      </c>
    </row>
    <row r="968" ht="15.75" customHeight="1">
      <c r="A968" s="1">
        <v>32.0</v>
      </c>
      <c r="B968" s="1">
        <v>18.0</v>
      </c>
      <c r="C968" s="1">
        <v>95.0</v>
      </c>
      <c r="D968" s="1">
        <v>45.0</v>
      </c>
      <c r="F968" s="1" t="str">
        <f>LOOKUP(A968, NPCs!A:A, NPCs!C:C)</f>
        <v>Iceman</v>
      </c>
      <c r="G968" s="1" t="str">
        <f>LOOKUP(B968, Maps!A:A, Maps!B:B)</f>
        <v>Frozen Lake</v>
      </c>
    </row>
    <row r="969" ht="15.75" customHeight="1">
      <c r="A969" s="1">
        <v>32.0</v>
      </c>
      <c r="B969" s="1">
        <v>18.0</v>
      </c>
      <c r="C969" s="1">
        <v>73.0</v>
      </c>
      <c r="D969" s="1">
        <v>55.0</v>
      </c>
      <c r="F969" s="1" t="str">
        <f>LOOKUP(A969, NPCs!A:A, NPCs!C:C)</f>
        <v>Iceman</v>
      </c>
      <c r="G969" s="1" t="str">
        <f>LOOKUP(B969, Maps!A:A, Maps!B:B)</f>
        <v>Frozen Lake</v>
      </c>
    </row>
    <row r="970" ht="15.75" customHeight="1">
      <c r="A970" s="1">
        <v>32.0</v>
      </c>
      <c r="B970" s="1">
        <v>18.0</v>
      </c>
      <c r="C970" s="1">
        <v>79.0</v>
      </c>
      <c r="D970" s="1">
        <v>55.0</v>
      </c>
      <c r="F970" s="1" t="str">
        <f>LOOKUP(A970, NPCs!A:A, NPCs!C:C)</f>
        <v>Iceman</v>
      </c>
      <c r="G970" s="1" t="str">
        <f>LOOKUP(B970, Maps!A:A, Maps!B:B)</f>
        <v>Frozen Lake</v>
      </c>
    </row>
    <row r="971" ht="15.75" customHeight="1">
      <c r="A971" s="1">
        <v>32.0</v>
      </c>
      <c r="B971" s="1">
        <v>18.0</v>
      </c>
      <c r="C971" s="1">
        <v>87.0</v>
      </c>
      <c r="D971" s="1">
        <v>55.0</v>
      </c>
      <c r="F971" s="1" t="str">
        <f>LOOKUP(A971, NPCs!A:A, NPCs!C:C)</f>
        <v>Iceman</v>
      </c>
      <c r="G971" s="1" t="str">
        <f>LOOKUP(B971, Maps!A:A, Maps!B:B)</f>
        <v>Frozen Lake</v>
      </c>
    </row>
    <row r="972" ht="15.75" customHeight="1">
      <c r="A972" s="1">
        <v>32.0</v>
      </c>
      <c r="B972" s="1">
        <v>18.0</v>
      </c>
      <c r="C972" s="1">
        <v>95.0</v>
      </c>
      <c r="D972" s="1">
        <v>55.0</v>
      </c>
      <c r="F972" s="1" t="str">
        <f>LOOKUP(A972, NPCs!A:A, NPCs!C:C)</f>
        <v>Iceman</v>
      </c>
      <c r="G972" s="1" t="str">
        <f>LOOKUP(B972, Maps!A:A, Maps!B:B)</f>
        <v>Frozen Lake</v>
      </c>
    </row>
    <row r="973" ht="15.75" customHeight="1">
      <c r="A973" s="1">
        <v>32.0</v>
      </c>
      <c r="B973" s="1">
        <v>18.0</v>
      </c>
      <c r="C973" s="1">
        <v>73.0</v>
      </c>
      <c r="D973" s="1">
        <v>60.0</v>
      </c>
      <c r="F973" s="1" t="str">
        <f>LOOKUP(A973, NPCs!A:A, NPCs!C:C)</f>
        <v>Iceman</v>
      </c>
      <c r="G973" s="1" t="str">
        <f>LOOKUP(B973, Maps!A:A, Maps!B:B)</f>
        <v>Frozen Lake</v>
      </c>
    </row>
    <row r="974" ht="15.75" customHeight="1">
      <c r="A974" s="1">
        <v>32.0</v>
      </c>
      <c r="B974" s="1">
        <v>18.0</v>
      </c>
      <c r="C974" s="1">
        <v>79.0</v>
      </c>
      <c r="D974" s="1">
        <v>60.0</v>
      </c>
      <c r="F974" s="1" t="str">
        <f>LOOKUP(A974, NPCs!A:A, NPCs!C:C)</f>
        <v>Iceman</v>
      </c>
      <c r="G974" s="1" t="str">
        <f>LOOKUP(B974, Maps!A:A, Maps!B:B)</f>
        <v>Frozen Lake</v>
      </c>
    </row>
    <row r="975" ht="15.75" customHeight="1">
      <c r="A975" s="1">
        <v>32.0</v>
      </c>
      <c r="B975" s="1">
        <v>18.0</v>
      </c>
      <c r="C975" s="1">
        <v>87.0</v>
      </c>
      <c r="D975" s="1">
        <v>60.0</v>
      </c>
      <c r="F975" s="1" t="str">
        <f>LOOKUP(A975, NPCs!A:A, NPCs!C:C)</f>
        <v>Iceman</v>
      </c>
      <c r="G975" s="1" t="str">
        <f>LOOKUP(B975, Maps!A:A, Maps!B:B)</f>
        <v>Frozen Lake</v>
      </c>
    </row>
    <row r="976" ht="15.75" customHeight="1">
      <c r="A976" s="1">
        <v>32.0</v>
      </c>
      <c r="B976" s="1">
        <v>18.0</v>
      </c>
      <c r="C976" s="1">
        <v>95.0</v>
      </c>
      <c r="D976" s="1">
        <v>60.0</v>
      </c>
      <c r="F976" s="1" t="str">
        <f>LOOKUP(A976, NPCs!A:A, NPCs!C:C)</f>
        <v>Iceman</v>
      </c>
      <c r="G976" s="1" t="str">
        <f>LOOKUP(B976, Maps!A:A, Maps!B:B)</f>
        <v>Frozen Lake</v>
      </c>
    </row>
    <row r="977" ht="15.75" customHeight="1">
      <c r="A977" s="1">
        <v>32.0</v>
      </c>
      <c r="B977" s="1">
        <v>18.0</v>
      </c>
      <c r="C977" s="1">
        <v>98.0</v>
      </c>
      <c r="D977" s="1">
        <v>65.0</v>
      </c>
      <c r="F977" s="1" t="str">
        <f>LOOKUP(A977, NPCs!A:A, NPCs!C:C)</f>
        <v>Iceman</v>
      </c>
      <c r="G977" s="1" t="str">
        <f>LOOKUP(B977, Maps!A:A, Maps!B:B)</f>
        <v>Frozen Lake</v>
      </c>
    </row>
    <row r="978" ht="15.75" customHeight="1">
      <c r="A978" s="1">
        <v>33.0</v>
      </c>
      <c r="B978" s="1">
        <v>18.0</v>
      </c>
      <c r="C978" s="1">
        <v>82.0</v>
      </c>
      <c r="D978" s="1">
        <v>11.0</v>
      </c>
      <c r="F978" s="1" t="str">
        <f>LOOKUP(A978, NPCs!A:A, NPCs!C:C)</f>
        <v>Frosty</v>
      </c>
      <c r="G978" s="1" t="str">
        <f>LOOKUP(B978, Maps!A:A, Maps!B:B)</f>
        <v>Frozen Lake</v>
      </c>
    </row>
    <row r="979" ht="15.75" customHeight="1">
      <c r="A979" s="1">
        <v>37.0</v>
      </c>
      <c r="B979" s="1">
        <v>11.0</v>
      </c>
      <c r="C979" s="1">
        <v>6.0</v>
      </c>
      <c r="D979" s="1">
        <v>85.0</v>
      </c>
      <c r="F979" s="1" t="str">
        <f>LOOKUP(A979, NPCs!A:A, NPCs!C:C)</f>
        <v>Sergeant Persecution</v>
      </c>
      <c r="G979" s="1" t="str">
        <f>LOOKUP(B979, Maps!A:A, Maps!B:B)</f>
        <v>Otherlands</v>
      </c>
    </row>
    <row r="980" ht="15.75" customHeight="1">
      <c r="A980" s="1">
        <v>36.0</v>
      </c>
      <c r="B980" s="1">
        <v>11.0</v>
      </c>
      <c r="C980" s="1">
        <v>10.0</v>
      </c>
      <c r="D980" s="1">
        <v>99.0</v>
      </c>
      <c r="F980" s="1" t="str">
        <f>LOOKUP(A980, NPCs!A:A, NPCs!C:C)</f>
        <v>Private Persecution</v>
      </c>
      <c r="G980" s="1" t="str">
        <f>LOOKUP(B980, Maps!A:A, Maps!B:B)</f>
        <v>Otherlands</v>
      </c>
    </row>
    <row r="981" ht="15.75" customHeight="1">
      <c r="A981" s="1">
        <v>36.0</v>
      </c>
      <c r="B981" s="1">
        <v>11.0</v>
      </c>
      <c r="C981" s="1">
        <v>10.0</v>
      </c>
      <c r="D981" s="1">
        <v>97.0</v>
      </c>
      <c r="F981" s="1" t="str">
        <f>LOOKUP(A981, NPCs!A:A, NPCs!C:C)</f>
        <v>Private Persecution</v>
      </c>
      <c r="G981" s="1" t="str">
        <f>LOOKUP(B981, Maps!A:A, Maps!B:B)</f>
        <v>Otherlands</v>
      </c>
    </row>
    <row r="982" ht="15.75" customHeight="1">
      <c r="A982" s="1">
        <v>36.0</v>
      </c>
      <c r="B982" s="1">
        <v>11.0</v>
      </c>
      <c r="C982" s="1">
        <v>11.0</v>
      </c>
      <c r="D982" s="1">
        <v>99.0</v>
      </c>
      <c r="F982" s="1" t="str">
        <f>LOOKUP(A982, NPCs!A:A, NPCs!C:C)</f>
        <v>Private Persecution</v>
      </c>
      <c r="G982" s="1" t="str">
        <f>LOOKUP(B982, Maps!A:A, Maps!B:B)</f>
        <v>Otherlands</v>
      </c>
    </row>
    <row r="983" ht="15.75" customHeight="1">
      <c r="A983" s="1">
        <v>36.0</v>
      </c>
      <c r="B983" s="1">
        <v>11.0</v>
      </c>
      <c r="C983" s="1">
        <v>11.0</v>
      </c>
      <c r="D983" s="1">
        <v>98.0</v>
      </c>
      <c r="F983" s="1" t="str">
        <f>LOOKUP(A983, NPCs!A:A, NPCs!C:C)</f>
        <v>Private Persecution</v>
      </c>
      <c r="G983" s="1" t="str">
        <f>LOOKUP(B983, Maps!A:A, Maps!B:B)</f>
        <v>Otherlands</v>
      </c>
    </row>
    <row r="984" ht="15.75" customHeight="1">
      <c r="A984" s="1">
        <v>36.0</v>
      </c>
      <c r="B984" s="1">
        <v>11.0</v>
      </c>
      <c r="C984" s="1">
        <v>16.0</v>
      </c>
      <c r="D984" s="1">
        <v>93.0</v>
      </c>
      <c r="F984" s="1" t="str">
        <f>LOOKUP(A984, NPCs!A:A, NPCs!C:C)</f>
        <v>Private Persecution</v>
      </c>
      <c r="G984" s="1" t="str">
        <f>LOOKUP(B984, Maps!A:A, Maps!B:B)</f>
        <v>Otherlands</v>
      </c>
    </row>
    <row r="985" ht="15.75" customHeight="1">
      <c r="A985" s="1">
        <v>36.0</v>
      </c>
      <c r="B985" s="1">
        <v>11.0</v>
      </c>
      <c r="C985" s="1">
        <v>18.0</v>
      </c>
      <c r="D985" s="1">
        <v>93.0</v>
      </c>
      <c r="F985" s="1" t="str">
        <f>LOOKUP(A985, NPCs!A:A, NPCs!C:C)</f>
        <v>Private Persecution</v>
      </c>
      <c r="G985" s="1" t="str">
        <f>LOOKUP(B985, Maps!A:A, Maps!B:B)</f>
        <v>Otherlands</v>
      </c>
    </row>
    <row r="986" ht="15.75" customHeight="1">
      <c r="A986" s="1">
        <v>36.0</v>
      </c>
      <c r="B986" s="1">
        <v>11.0</v>
      </c>
      <c r="C986" s="1">
        <v>17.0</v>
      </c>
      <c r="D986" s="1">
        <v>91.0</v>
      </c>
      <c r="F986" s="1" t="str">
        <f>LOOKUP(A986, NPCs!A:A, NPCs!C:C)</f>
        <v>Private Persecution</v>
      </c>
      <c r="G986" s="1" t="str">
        <f>LOOKUP(B986, Maps!A:A, Maps!B:B)</f>
        <v>Otherlands</v>
      </c>
    </row>
    <row r="987" ht="15.75" customHeight="1">
      <c r="A987" s="1">
        <v>36.0</v>
      </c>
      <c r="B987" s="1">
        <v>11.0</v>
      </c>
      <c r="C987" s="1">
        <v>18.0</v>
      </c>
      <c r="D987" s="1">
        <v>90.0</v>
      </c>
      <c r="F987" s="1" t="str">
        <f>LOOKUP(A987, NPCs!A:A, NPCs!C:C)</f>
        <v>Private Persecution</v>
      </c>
      <c r="G987" s="1" t="str">
        <f>LOOKUP(B987, Maps!A:A, Maps!B:B)</f>
        <v>Otherlands</v>
      </c>
    </row>
    <row r="988" ht="15.75" customHeight="1">
      <c r="A988" s="1">
        <v>36.0</v>
      </c>
      <c r="B988" s="1">
        <v>11.0</v>
      </c>
      <c r="C988" s="1">
        <v>7.0</v>
      </c>
      <c r="D988" s="1">
        <v>92.0</v>
      </c>
      <c r="F988" s="1" t="str">
        <f>LOOKUP(A988, NPCs!A:A, NPCs!C:C)</f>
        <v>Private Persecution</v>
      </c>
      <c r="G988" s="1" t="str">
        <f>LOOKUP(B988, Maps!A:A, Maps!B:B)</f>
        <v>Otherlands</v>
      </c>
    </row>
    <row r="989" ht="15.75" customHeight="1">
      <c r="A989" s="1">
        <v>36.0</v>
      </c>
      <c r="B989" s="1">
        <v>11.0</v>
      </c>
      <c r="C989" s="1">
        <v>6.0</v>
      </c>
      <c r="D989" s="1">
        <v>91.0</v>
      </c>
      <c r="F989" s="1" t="str">
        <f>LOOKUP(A989, NPCs!A:A, NPCs!C:C)</f>
        <v>Private Persecution</v>
      </c>
      <c r="G989" s="1" t="str">
        <f>LOOKUP(B989, Maps!A:A, Maps!B:B)</f>
        <v>Otherlands</v>
      </c>
    </row>
    <row r="990" ht="15.75" customHeight="1">
      <c r="A990" s="1">
        <v>36.0</v>
      </c>
      <c r="B990" s="1">
        <v>11.0</v>
      </c>
      <c r="C990" s="1">
        <v>4.0</v>
      </c>
      <c r="D990" s="1">
        <v>90.0</v>
      </c>
      <c r="F990" s="1" t="str">
        <f>LOOKUP(A990, NPCs!A:A, NPCs!C:C)</f>
        <v>Private Persecution</v>
      </c>
      <c r="G990" s="1" t="str">
        <f>LOOKUP(B990, Maps!A:A, Maps!B:B)</f>
        <v>Otherlands</v>
      </c>
    </row>
    <row r="991" ht="15.75" customHeight="1">
      <c r="A991" s="1">
        <v>36.0</v>
      </c>
      <c r="B991" s="1">
        <v>11.0</v>
      </c>
      <c r="C991" s="1">
        <v>7.0</v>
      </c>
      <c r="D991" s="1">
        <v>87.0</v>
      </c>
      <c r="F991" s="1" t="str">
        <f>LOOKUP(A991, NPCs!A:A, NPCs!C:C)</f>
        <v>Private Persecution</v>
      </c>
      <c r="G991" s="1" t="str">
        <f>LOOKUP(B991, Maps!A:A, Maps!B:B)</f>
        <v>Otherlands</v>
      </c>
    </row>
    <row r="992" ht="15.75" customHeight="1">
      <c r="A992" s="1">
        <v>36.0</v>
      </c>
      <c r="B992" s="1">
        <v>11.0</v>
      </c>
      <c r="C992" s="1">
        <v>9.0</v>
      </c>
      <c r="D992" s="1">
        <v>87.0</v>
      </c>
      <c r="F992" s="1" t="str">
        <f>LOOKUP(A992, NPCs!A:A, NPCs!C:C)</f>
        <v>Private Persecution</v>
      </c>
      <c r="G992" s="1" t="str">
        <f>LOOKUP(B992, Maps!A:A, Maps!B:B)</f>
        <v>Otherlands</v>
      </c>
    </row>
    <row r="993" ht="15.75" customHeight="1">
      <c r="A993" s="1">
        <v>36.0</v>
      </c>
      <c r="B993" s="1">
        <v>11.0</v>
      </c>
      <c r="C993" s="1">
        <v>12.0</v>
      </c>
      <c r="D993" s="1">
        <v>87.0</v>
      </c>
      <c r="F993" s="1" t="str">
        <f>LOOKUP(A993, NPCs!A:A, NPCs!C:C)</f>
        <v>Private Persecution</v>
      </c>
      <c r="G993" s="1" t="str">
        <f>LOOKUP(B993, Maps!A:A, Maps!B:B)</f>
        <v>Otherlands</v>
      </c>
    </row>
    <row r="994" ht="15.75" customHeight="1">
      <c r="A994" s="1">
        <v>36.0</v>
      </c>
      <c r="B994" s="1">
        <v>11.0</v>
      </c>
      <c r="C994" s="1">
        <v>5.0</v>
      </c>
      <c r="D994" s="1">
        <v>86.0</v>
      </c>
      <c r="F994" s="1" t="str">
        <f>LOOKUP(A994, NPCs!A:A, NPCs!C:C)</f>
        <v>Private Persecution</v>
      </c>
      <c r="G994" s="1" t="str">
        <f>LOOKUP(B994, Maps!A:A, Maps!B:B)</f>
        <v>Otherlands</v>
      </c>
    </row>
    <row r="995" ht="15.75" customHeight="1">
      <c r="A995" s="1">
        <v>36.0</v>
      </c>
      <c r="B995" s="1">
        <v>11.0</v>
      </c>
      <c r="C995" s="1">
        <v>5.0</v>
      </c>
      <c r="D995" s="1">
        <v>85.0</v>
      </c>
      <c r="F995" s="1" t="str">
        <f>LOOKUP(A995, NPCs!A:A, NPCs!C:C)</f>
        <v>Private Persecution</v>
      </c>
      <c r="G995" s="1" t="str">
        <f>LOOKUP(B995, Maps!A:A, Maps!B:B)</f>
        <v>Otherlands</v>
      </c>
    </row>
    <row r="996" ht="15.75" customHeight="1">
      <c r="A996" s="1">
        <v>36.0</v>
      </c>
      <c r="B996" s="1">
        <v>11.0</v>
      </c>
      <c r="C996" s="1">
        <v>8.0</v>
      </c>
      <c r="D996" s="1">
        <v>85.0</v>
      </c>
      <c r="F996" s="1" t="str">
        <f>LOOKUP(A996, NPCs!A:A, NPCs!C:C)</f>
        <v>Private Persecution</v>
      </c>
      <c r="G996" s="1" t="str">
        <f>LOOKUP(B996, Maps!A:A, Maps!B:B)</f>
        <v>Otherlands</v>
      </c>
    </row>
    <row r="997" ht="15.75" customHeight="1">
      <c r="A997" s="1">
        <v>36.0</v>
      </c>
      <c r="B997" s="1">
        <v>11.0</v>
      </c>
      <c r="C997" s="1">
        <v>10.0</v>
      </c>
      <c r="D997" s="1">
        <v>85.0</v>
      </c>
      <c r="F997" s="1" t="str">
        <f>LOOKUP(A997, NPCs!A:A, NPCs!C:C)</f>
        <v>Private Persecution</v>
      </c>
      <c r="G997" s="1" t="str">
        <f>LOOKUP(B997, Maps!A:A, Maps!B:B)</f>
        <v>Otherlands</v>
      </c>
    </row>
    <row r="998" ht="15.75" customHeight="1">
      <c r="A998" s="1">
        <v>36.0</v>
      </c>
      <c r="B998" s="1">
        <v>11.0</v>
      </c>
      <c r="C998" s="1">
        <v>9.0</v>
      </c>
      <c r="D998" s="1">
        <v>83.0</v>
      </c>
      <c r="F998" s="1" t="str">
        <f>LOOKUP(A998, NPCs!A:A, NPCs!C:C)</f>
        <v>Private Persecution</v>
      </c>
      <c r="G998" s="1" t="str">
        <f>LOOKUP(B998, Maps!A:A, Maps!B:B)</f>
        <v>Otherlands</v>
      </c>
    </row>
    <row r="999" ht="15.75" customHeight="1">
      <c r="A999" s="1">
        <v>36.0</v>
      </c>
      <c r="B999" s="1">
        <v>11.0</v>
      </c>
      <c r="C999" s="1">
        <v>6.0</v>
      </c>
      <c r="D999" s="1">
        <v>83.0</v>
      </c>
      <c r="F999" s="1" t="str">
        <f>LOOKUP(A999, NPCs!A:A, NPCs!C:C)</f>
        <v>Private Persecution</v>
      </c>
      <c r="G999" s="1" t="str">
        <f>LOOKUP(B999, Maps!A:A, Maps!B:B)</f>
        <v>Otherlands</v>
      </c>
    </row>
    <row r="1000" ht="15.75" customHeight="1">
      <c r="A1000" s="1">
        <v>36.0</v>
      </c>
      <c r="B1000" s="1">
        <v>11.0</v>
      </c>
      <c r="C1000" s="1">
        <v>7.0</v>
      </c>
      <c r="D1000" s="1">
        <v>81.0</v>
      </c>
      <c r="F1000" s="1" t="str">
        <f>LOOKUP(A1000, NPCs!A:A, NPCs!C:C)</f>
        <v>Private Persecution</v>
      </c>
      <c r="G1000" s="1" t="str">
        <f>LOOKUP(B1000, Maps!A:A, Maps!B:B)</f>
        <v>Otherlands</v>
      </c>
    </row>
    <row r="1001" ht="15.75" customHeight="1">
      <c r="A1001" s="1">
        <v>38.0</v>
      </c>
      <c r="B1001" s="1">
        <v>11.0</v>
      </c>
      <c r="C1001" s="1">
        <v>80.0</v>
      </c>
      <c r="D1001" s="1">
        <v>2.0</v>
      </c>
      <c r="F1001" s="1" t="str">
        <f>LOOKUP(A1001, NPCs!A:A, NPCs!C:C)</f>
        <v>Strong Persecution</v>
      </c>
      <c r="G1001" s="1" t="str">
        <f>LOOKUP(B1001, Maps!A:A, Maps!B:B)</f>
        <v>Otherlands</v>
      </c>
    </row>
    <row r="1002" ht="15.75" customHeight="1">
      <c r="A1002" s="1">
        <v>38.0</v>
      </c>
      <c r="B1002" s="1">
        <v>11.0</v>
      </c>
      <c r="C1002" s="1">
        <v>80.0</v>
      </c>
      <c r="D1002" s="1">
        <v>4.0</v>
      </c>
      <c r="F1002" s="1" t="str">
        <f>LOOKUP(A1002, NPCs!A:A, NPCs!C:C)</f>
        <v>Strong Persecution</v>
      </c>
      <c r="G1002" s="1" t="str">
        <f>LOOKUP(B1002, Maps!A:A, Maps!B:B)</f>
        <v>Otherlands</v>
      </c>
    </row>
    <row r="1003" ht="15.75" customHeight="1">
      <c r="A1003" s="1">
        <v>38.0</v>
      </c>
      <c r="B1003" s="1">
        <v>11.0</v>
      </c>
      <c r="C1003" s="1">
        <v>80.0</v>
      </c>
      <c r="D1003" s="1">
        <v>6.0</v>
      </c>
      <c r="F1003" s="1" t="str">
        <f>LOOKUP(A1003, NPCs!A:A, NPCs!C:C)</f>
        <v>Strong Persecution</v>
      </c>
      <c r="G1003" s="1" t="str">
        <f>LOOKUP(B1003, Maps!A:A, Maps!B:B)</f>
        <v>Otherlands</v>
      </c>
    </row>
    <row r="1004" ht="15.75" customHeight="1">
      <c r="A1004" s="1">
        <v>38.0</v>
      </c>
      <c r="B1004" s="1">
        <v>11.0</v>
      </c>
      <c r="C1004" s="1">
        <v>85.0</v>
      </c>
      <c r="D1004" s="1">
        <v>2.0</v>
      </c>
      <c r="F1004" s="1" t="str">
        <f>LOOKUP(A1004, NPCs!A:A, NPCs!C:C)</f>
        <v>Strong Persecution</v>
      </c>
      <c r="G1004" s="1" t="str">
        <f>LOOKUP(B1004, Maps!A:A, Maps!B:B)</f>
        <v>Otherlands</v>
      </c>
    </row>
    <row r="1005" ht="15.75" customHeight="1">
      <c r="A1005" s="1">
        <v>38.0</v>
      </c>
      <c r="B1005" s="1">
        <v>11.0</v>
      </c>
      <c r="C1005" s="1">
        <v>85.0</v>
      </c>
      <c r="D1005" s="1">
        <v>4.0</v>
      </c>
      <c r="F1005" s="1" t="str">
        <f>LOOKUP(A1005, NPCs!A:A, NPCs!C:C)</f>
        <v>Strong Persecution</v>
      </c>
      <c r="G1005" s="1" t="str">
        <f>LOOKUP(B1005, Maps!A:A, Maps!B:B)</f>
        <v>Otherlands</v>
      </c>
    </row>
    <row r="1006" ht="15.75" customHeight="1">
      <c r="A1006" s="1">
        <v>38.0</v>
      </c>
      <c r="B1006" s="1">
        <v>11.0</v>
      </c>
      <c r="C1006" s="1">
        <v>85.0</v>
      </c>
      <c r="D1006" s="1">
        <v>6.0</v>
      </c>
      <c r="F1006" s="1" t="str">
        <f>LOOKUP(A1006, NPCs!A:A, NPCs!C:C)</f>
        <v>Strong Persecution</v>
      </c>
      <c r="G1006" s="1" t="str">
        <f>LOOKUP(B1006, Maps!A:A, Maps!B:B)</f>
        <v>Otherlands</v>
      </c>
    </row>
    <row r="1007" ht="15.75" customHeight="1">
      <c r="A1007" s="1">
        <v>35.0</v>
      </c>
      <c r="B1007" s="1">
        <v>11.0</v>
      </c>
      <c r="C1007" s="1">
        <v>60.0</v>
      </c>
      <c r="D1007" s="1">
        <v>6.0</v>
      </c>
      <c r="F1007" s="1" t="str">
        <f>LOOKUP(A1007, NPCs!A:A, NPCs!C:C)</f>
        <v>Moldy Persecution</v>
      </c>
      <c r="G1007" s="1" t="str">
        <f>LOOKUP(B1007, Maps!A:A, Maps!B:B)</f>
        <v>Otherlands</v>
      </c>
    </row>
    <row r="1008" ht="15.75" customHeight="1">
      <c r="A1008" s="1">
        <v>35.0</v>
      </c>
      <c r="B1008" s="1">
        <v>11.0</v>
      </c>
      <c r="C1008" s="1">
        <v>64.0</v>
      </c>
      <c r="D1008" s="1">
        <v>6.0</v>
      </c>
      <c r="F1008" s="1" t="str">
        <f>LOOKUP(A1008, NPCs!A:A, NPCs!C:C)</f>
        <v>Moldy Persecution</v>
      </c>
      <c r="G1008" s="1" t="str">
        <f>LOOKUP(B1008, Maps!A:A, Maps!B:B)</f>
        <v>Otherlands</v>
      </c>
    </row>
    <row r="1009" ht="15.75" customHeight="1">
      <c r="A1009" s="1">
        <v>35.0</v>
      </c>
      <c r="B1009" s="1">
        <v>11.0</v>
      </c>
      <c r="C1009" s="1">
        <v>68.0</v>
      </c>
      <c r="D1009" s="1">
        <v>6.0</v>
      </c>
      <c r="F1009" s="1" t="str">
        <f>LOOKUP(A1009, NPCs!A:A, NPCs!C:C)</f>
        <v>Moldy Persecution</v>
      </c>
      <c r="G1009" s="1" t="str">
        <f>LOOKUP(B1009, Maps!A:A, Maps!B:B)</f>
        <v>Otherlands</v>
      </c>
    </row>
    <row r="1010" ht="15.75" customHeight="1">
      <c r="A1010" s="1">
        <v>35.0</v>
      </c>
      <c r="B1010" s="1">
        <v>11.0</v>
      </c>
      <c r="C1010" s="1">
        <v>75.0</v>
      </c>
      <c r="D1010" s="1">
        <v>6.0</v>
      </c>
      <c r="F1010" s="1" t="str">
        <f>LOOKUP(A1010, NPCs!A:A, NPCs!C:C)</f>
        <v>Moldy Persecution</v>
      </c>
      <c r="G1010" s="1" t="str">
        <f>LOOKUP(B1010, Maps!A:A, Maps!B:B)</f>
        <v>Otherlands</v>
      </c>
    </row>
    <row r="1011" ht="15.75" customHeight="1">
      <c r="A1011" s="1">
        <v>35.0</v>
      </c>
      <c r="B1011" s="1">
        <v>11.0</v>
      </c>
      <c r="C1011" s="1">
        <v>79.0</v>
      </c>
      <c r="D1011" s="1">
        <v>6.0</v>
      </c>
      <c r="F1011" s="1" t="str">
        <f>LOOKUP(A1011, NPCs!A:A, NPCs!C:C)</f>
        <v>Moldy Persecution</v>
      </c>
      <c r="G1011" s="1" t="str">
        <f>LOOKUP(B1011, Maps!A:A, Maps!B:B)</f>
        <v>Otherlands</v>
      </c>
    </row>
    <row r="1012" ht="15.75" customHeight="1">
      <c r="A1012" s="1">
        <v>35.0</v>
      </c>
      <c r="B1012" s="1">
        <v>11.0</v>
      </c>
      <c r="C1012" s="1">
        <v>60.0</v>
      </c>
      <c r="D1012" s="1">
        <v>12.0</v>
      </c>
      <c r="F1012" s="1" t="str">
        <f>LOOKUP(A1012, NPCs!A:A, NPCs!C:C)</f>
        <v>Moldy Persecution</v>
      </c>
      <c r="G1012" s="1" t="str">
        <f>LOOKUP(B1012, Maps!A:A, Maps!B:B)</f>
        <v>Otherlands</v>
      </c>
    </row>
    <row r="1013" ht="15.75" customHeight="1">
      <c r="A1013" s="1">
        <v>35.0</v>
      </c>
      <c r="B1013" s="1">
        <v>11.0</v>
      </c>
      <c r="C1013" s="1">
        <v>64.0</v>
      </c>
      <c r="D1013" s="1">
        <v>12.0</v>
      </c>
      <c r="F1013" s="1" t="str">
        <f>LOOKUP(A1013, NPCs!A:A, NPCs!C:C)</f>
        <v>Moldy Persecution</v>
      </c>
      <c r="G1013" s="1" t="str">
        <f>LOOKUP(B1013, Maps!A:A, Maps!B:B)</f>
        <v>Otherlands</v>
      </c>
    </row>
    <row r="1014" ht="15.75" customHeight="1">
      <c r="A1014" s="1">
        <v>35.0</v>
      </c>
      <c r="B1014" s="1">
        <v>11.0</v>
      </c>
      <c r="C1014" s="1">
        <v>68.0</v>
      </c>
      <c r="D1014" s="1">
        <v>12.0</v>
      </c>
      <c r="F1014" s="1" t="str">
        <f>LOOKUP(A1014, NPCs!A:A, NPCs!C:C)</f>
        <v>Moldy Persecution</v>
      </c>
      <c r="G1014" s="1" t="str">
        <f>LOOKUP(B1014, Maps!A:A, Maps!B:B)</f>
        <v>Otherlands</v>
      </c>
    </row>
    <row r="1015" ht="15.75" customHeight="1">
      <c r="A1015" s="1">
        <v>35.0</v>
      </c>
      <c r="B1015" s="1">
        <v>11.0</v>
      </c>
      <c r="C1015" s="1">
        <v>75.0</v>
      </c>
      <c r="D1015" s="1">
        <v>12.0</v>
      </c>
      <c r="F1015" s="1" t="str">
        <f>LOOKUP(A1015, NPCs!A:A, NPCs!C:C)</f>
        <v>Moldy Persecution</v>
      </c>
      <c r="G1015" s="1" t="str">
        <f>LOOKUP(B1015, Maps!A:A, Maps!B:B)</f>
        <v>Otherlands</v>
      </c>
    </row>
    <row r="1016" ht="15.75" customHeight="1">
      <c r="A1016" s="1">
        <v>35.0</v>
      </c>
      <c r="B1016" s="1">
        <v>11.0</v>
      </c>
      <c r="C1016" s="1">
        <v>79.0</v>
      </c>
      <c r="D1016" s="1">
        <v>12.0</v>
      </c>
      <c r="F1016" s="1" t="str">
        <f>LOOKUP(A1016, NPCs!A:A, NPCs!C:C)</f>
        <v>Moldy Persecution</v>
      </c>
      <c r="G1016" s="1" t="str">
        <f>LOOKUP(B1016, Maps!A:A, Maps!B:B)</f>
        <v>Otherlands</v>
      </c>
    </row>
    <row r="1017" ht="15.75" customHeight="1">
      <c r="A1017" s="1">
        <v>35.0</v>
      </c>
      <c r="B1017" s="1">
        <v>11.0</v>
      </c>
      <c r="C1017" s="1">
        <v>60.0</v>
      </c>
      <c r="D1017" s="1">
        <v>16.0</v>
      </c>
      <c r="F1017" s="1" t="str">
        <f>LOOKUP(A1017, NPCs!A:A, NPCs!C:C)</f>
        <v>Moldy Persecution</v>
      </c>
      <c r="G1017" s="1" t="str">
        <f>LOOKUP(B1017, Maps!A:A, Maps!B:B)</f>
        <v>Otherlands</v>
      </c>
    </row>
    <row r="1018" ht="15.75" customHeight="1">
      <c r="A1018" s="1">
        <v>35.0</v>
      </c>
      <c r="B1018" s="1">
        <v>11.0</v>
      </c>
      <c r="C1018" s="1">
        <v>64.0</v>
      </c>
      <c r="D1018" s="1">
        <v>16.0</v>
      </c>
      <c r="F1018" s="1" t="str">
        <f>LOOKUP(A1018, NPCs!A:A, NPCs!C:C)</f>
        <v>Moldy Persecution</v>
      </c>
      <c r="G1018" s="1" t="str">
        <f>LOOKUP(B1018, Maps!A:A, Maps!B:B)</f>
        <v>Otherlands</v>
      </c>
    </row>
    <row r="1019" ht="15.75" customHeight="1">
      <c r="A1019" s="1">
        <v>35.0</v>
      </c>
      <c r="B1019" s="1">
        <v>11.0</v>
      </c>
      <c r="C1019" s="1">
        <v>68.0</v>
      </c>
      <c r="D1019" s="1">
        <v>16.0</v>
      </c>
      <c r="F1019" s="1" t="str">
        <f>LOOKUP(A1019, NPCs!A:A, NPCs!C:C)</f>
        <v>Moldy Persecution</v>
      </c>
      <c r="G1019" s="1" t="str">
        <f>LOOKUP(B1019, Maps!A:A, Maps!B:B)</f>
        <v>Otherlands</v>
      </c>
    </row>
    <row r="1020" ht="15.75" customHeight="1">
      <c r="A1020" s="1">
        <v>35.0</v>
      </c>
      <c r="B1020" s="1">
        <v>11.0</v>
      </c>
      <c r="C1020" s="1">
        <v>75.0</v>
      </c>
      <c r="D1020" s="1">
        <v>16.0</v>
      </c>
      <c r="F1020" s="1" t="str">
        <f>LOOKUP(A1020, NPCs!A:A, NPCs!C:C)</f>
        <v>Moldy Persecution</v>
      </c>
      <c r="G1020" s="1" t="str">
        <f>LOOKUP(B1020, Maps!A:A, Maps!B:B)</f>
        <v>Otherlands</v>
      </c>
    </row>
    <row r="1021" ht="15.75" customHeight="1">
      <c r="A1021" s="1">
        <v>35.0</v>
      </c>
      <c r="B1021" s="1">
        <v>11.0</v>
      </c>
      <c r="C1021" s="1">
        <v>79.0</v>
      </c>
      <c r="D1021" s="1">
        <v>16.0</v>
      </c>
      <c r="F1021" s="1" t="str">
        <f>LOOKUP(A1021, NPCs!A:A, NPCs!C:C)</f>
        <v>Moldy Persecution</v>
      </c>
      <c r="G1021" s="1" t="str">
        <f>LOOKUP(B1021, Maps!A:A, Maps!B:B)</f>
        <v>Otherlands</v>
      </c>
    </row>
    <row r="1022" ht="15.75" customHeight="1">
      <c r="A1022" s="1">
        <v>35.0</v>
      </c>
      <c r="B1022" s="1">
        <v>11.0</v>
      </c>
      <c r="C1022" s="1">
        <v>60.0</v>
      </c>
      <c r="D1022" s="1">
        <v>20.0</v>
      </c>
      <c r="F1022" s="1" t="str">
        <f>LOOKUP(A1022, NPCs!A:A, NPCs!C:C)</f>
        <v>Moldy Persecution</v>
      </c>
      <c r="G1022" s="1" t="str">
        <f>LOOKUP(B1022, Maps!A:A, Maps!B:B)</f>
        <v>Otherlands</v>
      </c>
    </row>
    <row r="1023" ht="15.75" customHeight="1">
      <c r="A1023" s="1">
        <v>35.0</v>
      </c>
      <c r="B1023" s="1">
        <v>11.0</v>
      </c>
      <c r="C1023" s="1">
        <v>64.0</v>
      </c>
      <c r="D1023" s="1">
        <v>20.0</v>
      </c>
      <c r="F1023" s="1" t="str">
        <f>LOOKUP(A1023, NPCs!A:A, NPCs!C:C)</f>
        <v>Moldy Persecution</v>
      </c>
      <c r="G1023" s="1" t="str">
        <f>LOOKUP(B1023, Maps!A:A, Maps!B:B)</f>
        <v>Otherlands</v>
      </c>
    </row>
    <row r="1024" ht="15.75" customHeight="1">
      <c r="A1024" s="1">
        <v>35.0</v>
      </c>
      <c r="B1024" s="1">
        <v>11.0</v>
      </c>
      <c r="C1024" s="1">
        <v>68.0</v>
      </c>
      <c r="D1024" s="1">
        <v>20.0</v>
      </c>
      <c r="F1024" s="1" t="str">
        <f>LOOKUP(A1024, NPCs!A:A, NPCs!C:C)</f>
        <v>Moldy Persecution</v>
      </c>
      <c r="G1024" s="1" t="str">
        <f>LOOKUP(B1024, Maps!A:A, Maps!B:B)</f>
        <v>Otherlands</v>
      </c>
    </row>
    <row r="1025" ht="15.75" customHeight="1">
      <c r="A1025" s="1">
        <v>35.0</v>
      </c>
      <c r="B1025" s="1">
        <v>11.0</v>
      </c>
      <c r="C1025" s="1">
        <v>75.0</v>
      </c>
      <c r="D1025" s="1">
        <v>20.0</v>
      </c>
      <c r="F1025" s="1" t="str">
        <f>LOOKUP(A1025, NPCs!A:A, NPCs!C:C)</f>
        <v>Moldy Persecution</v>
      </c>
      <c r="G1025" s="1" t="str">
        <f>LOOKUP(B1025, Maps!A:A, Maps!B:B)</f>
        <v>Otherlands</v>
      </c>
    </row>
    <row r="1026" ht="15.75" customHeight="1">
      <c r="A1026" s="1">
        <v>35.0</v>
      </c>
      <c r="B1026" s="1">
        <v>11.0</v>
      </c>
      <c r="C1026" s="1">
        <v>79.0</v>
      </c>
      <c r="D1026" s="1">
        <v>20.0</v>
      </c>
      <c r="F1026" s="1" t="str">
        <f>LOOKUP(A1026, NPCs!A:A, NPCs!C:C)</f>
        <v>Moldy Persecution</v>
      </c>
      <c r="G1026" s="1" t="str">
        <f>LOOKUP(B1026, Maps!A:A, Maps!B:B)</f>
        <v>Otherlands</v>
      </c>
    </row>
    <row r="1027" ht="15.75" customHeight="1">
      <c r="A1027" s="1">
        <v>35.0</v>
      </c>
      <c r="B1027" s="1">
        <v>11.0</v>
      </c>
      <c r="C1027" s="1">
        <v>80.0</v>
      </c>
      <c r="D1027" s="1">
        <v>21.0</v>
      </c>
      <c r="F1027" s="1" t="str">
        <f>LOOKUP(A1027, NPCs!A:A, NPCs!C:C)</f>
        <v>Moldy Persecution</v>
      </c>
      <c r="G1027" s="1" t="str">
        <f>LOOKUP(B1027, Maps!A:A, Maps!B:B)</f>
        <v>Otherlands</v>
      </c>
    </row>
    <row r="1028" ht="15.75" customHeight="1">
      <c r="A1028" s="1">
        <v>35.0</v>
      </c>
      <c r="B1028" s="1">
        <v>11.0</v>
      </c>
      <c r="C1028" s="1">
        <v>58.0</v>
      </c>
      <c r="D1028" s="1">
        <v>33.0</v>
      </c>
      <c r="F1028" s="1" t="str">
        <f>LOOKUP(A1028, NPCs!A:A, NPCs!C:C)</f>
        <v>Moldy Persecution</v>
      </c>
      <c r="G1028" s="1" t="str">
        <f>LOOKUP(B1028, Maps!A:A, Maps!B:B)</f>
        <v>Otherlands</v>
      </c>
    </row>
    <row r="1029" ht="15.75" customHeight="1">
      <c r="A1029" s="1">
        <v>35.0</v>
      </c>
      <c r="B1029" s="1">
        <v>11.0</v>
      </c>
      <c r="C1029" s="1">
        <v>65.0</v>
      </c>
      <c r="D1029" s="1">
        <v>33.0</v>
      </c>
      <c r="F1029" s="1" t="str">
        <f>LOOKUP(A1029, NPCs!A:A, NPCs!C:C)</f>
        <v>Moldy Persecution</v>
      </c>
      <c r="G1029" s="1" t="str">
        <f>LOOKUP(B1029, Maps!A:A, Maps!B:B)</f>
        <v>Otherlands</v>
      </c>
    </row>
    <row r="1030" ht="15.75" customHeight="1">
      <c r="A1030" s="1">
        <v>35.0</v>
      </c>
      <c r="B1030" s="1">
        <v>11.0</v>
      </c>
      <c r="C1030" s="1">
        <v>68.0</v>
      </c>
      <c r="D1030" s="1">
        <v>33.0</v>
      </c>
      <c r="F1030" s="1" t="str">
        <f>LOOKUP(A1030, NPCs!A:A, NPCs!C:C)</f>
        <v>Moldy Persecution</v>
      </c>
      <c r="G1030" s="1" t="str">
        <f>LOOKUP(B1030, Maps!A:A, Maps!B:B)</f>
        <v>Otherlands</v>
      </c>
    </row>
    <row r="1031" ht="15.75" customHeight="1">
      <c r="A1031" s="1">
        <v>35.0</v>
      </c>
      <c r="B1031" s="1">
        <v>11.0</v>
      </c>
      <c r="C1031" s="1">
        <v>72.0</v>
      </c>
      <c r="D1031" s="1">
        <v>33.0</v>
      </c>
      <c r="F1031" s="1" t="str">
        <f>LOOKUP(A1031, NPCs!A:A, NPCs!C:C)</f>
        <v>Moldy Persecution</v>
      </c>
      <c r="G1031" s="1" t="str">
        <f>LOOKUP(B1031, Maps!A:A, Maps!B:B)</f>
        <v>Otherlands</v>
      </c>
    </row>
    <row r="1032" ht="15.75" customHeight="1">
      <c r="A1032" s="1">
        <v>35.0</v>
      </c>
      <c r="B1032" s="1">
        <v>11.0</v>
      </c>
      <c r="C1032" s="1">
        <v>76.0</v>
      </c>
      <c r="D1032" s="1">
        <v>33.0</v>
      </c>
      <c r="F1032" s="1" t="str">
        <f>LOOKUP(A1032, NPCs!A:A, NPCs!C:C)</f>
        <v>Moldy Persecution</v>
      </c>
      <c r="G1032" s="1" t="str">
        <f>LOOKUP(B1032, Maps!A:A, Maps!B:B)</f>
        <v>Otherlands</v>
      </c>
    </row>
    <row r="1033" ht="15.75" customHeight="1">
      <c r="A1033" s="1">
        <v>35.0</v>
      </c>
      <c r="B1033" s="1">
        <v>11.0</v>
      </c>
      <c r="C1033" s="1">
        <v>58.0</v>
      </c>
      <c r="D1033" s="1">
        <v>39.0</v>
      </c>
      <c r="F1033" s="1" t="str">
        <f>LOOKUP(A1033, NPCs!A:A, NPCs!C:C)</f>
        <v>Moldy Persecution</v>
      </c>
      <c r="G1033" s="1" t="str">
        <f>LOOKUP(B1033, Maps!A:A, Maps!B:B)</f>
        <v>Otherlands</v>
      </c>
    </row>
    <row r="1034" ht="15.75" customHeight="1">
      <c r="A1034" s="1">
        <v>35.0</v>
      </c>
      <c r="B1034" s="1">
        <v>11.0</v>
      </c>
      <c r="C1034" s="1">
        <v>65.0</v>
      </c>
      <c r="D1034" s="1">
        <v>39.0</v>
      </c>
      <c r="F1034" s="1" t="str">
        <f>LOOKUP(A1034, NPCs!A:A, NPCs!C:C)</f>
        <v>Moldy Persecution</v>
      </c>
      <c r="G1034" s="1" t="str">
        <f>LOOKUP(B1034, Maps!A:A, Maps!B:B)</f>
        <v>Otherlands</v>
      </c>
    </row>
    <row r="1035" ht="15.75" customHeight="1">
      <c r="A1035" s="1">
        <v>35.0</v>
      </c>
      <c r="B1035" s="1">
        <v>11.0</v>
      </c>
      <c r="C1035" s="1">
        <v>68.0</v>
      </c>
      <c r="D1035" s="1">
        <v>39.0</v>
      </c>
      <c r="F1035" s="1" t="str">
        <f>LOOKUP(A1035, NPCs!A:A, NPCs!C:C)</f>
        <v>Moldy Persecution</v>
      </c>
      <c r="G1035" s="1" t="str">
        <f>LOOKUP(B1035, Maps!A:A, Maps!B:B)</f>
        <v>Otherlands</v>
      </c>
    </row>
    <row r="1036" ht="15.75" customHeight="1">
      <c r="A1036" s="1">
        <v>35.0</v>
      </c>
      <c r="B1036" s="1">
        <v>11.0</v>
      </c>
      <c r="C1036" s="1">
        <v>72.0</v>
      </c>
      <c r="D1036" s="1">
        <v>39.0</v>
      </c>
      <c r="F1036" s="1" t="str">
        <f>LOOKUP(A1036, NPCs!A:A, NPCs!C:C)</f>
        <v>Moldy Persecution</v>
      </c>
      <c r="G1036" s="1" t="str">
        <f>LOOKUP(B1036, Maps!A:A, Maps!B:B)</f>
        <v>Otherlands</v>
      </c>
    </row>
    <row r="1037" ht="15.75" customHeight="1">
      <c r="A1037" s="1">
        <v>35.0</v>
      </c>
      <c r="B1037" s="1">
        <v>11.0</v>
      </c>
      <c r="C1037" s="1">
        <v>76.0</v>
      </c>
      <c r="D1037" s="1">
        <v>39.0</v>
      </c>
      <c r="F1037" s="1" t="str">
        <f>LOOKUP(A1037, NPCs!A:A, NPCs!C:C)</f>
        <v>Moldy Persecution</v>
      </c>
      <c r="G1037" s="1" t="str">
        <f>LOOKUP(B1037, Maps!A:A, Maps!B:B)</f>
        <v>Otherlands</v>
      </c>
    </row>
    <row r="1038" ht="15.75" customHeight="1">
      <c r="A1038" s="1">
        <v>35.0</v>
      </c>
      <c r="B1038" s="1">
        <v>11.0</v>
      </c>
      <c r="C1038" s="1">
        <v>58.0</v>
      </c>
      <c r="D1038" s="1">
        <v>45.0</v>
      </c>
      <c r="F1038" s="1" t="str">
        <f>LOOKUP(A1038, NPCs!A:A, NPCs!C:C)</f>
        <v>Moldy Persecution</v>
      </c>
      <c r="G1038" s="1" t="str">
        <f>LOOKUP(B1038, Maps!A:A, Maps!B:B)</f>
        <v>Otherlands</v>
      </c>
    </row>
    <row r="1039" ht="15.75" customHeight="1">
      <c r="A1039" s="1">
        <v>35.0</v>
      </c>
      <c r="B1039" s="1">
        <v>11.0</v>
      </c>
      <c r="C1039" s="1">
        <v>65.0</v>
      </c>
      <c r="D1039" s="1">
        <v>45.0</v>
      </c>
      <c r="F1039" s="1" t="str">
        <f>LOOKUP(A1039, NPCs!A:A, NPCs!C:C)</f>
        <v>Moldy Persecution</v>
      </c>
      <c r="G1039" s="1" t="str">
        <f>LOOKUP(B1039, Maps!A:A, Maps!B:B)</f>
        <v>Otherlands</v>
      </c>
    </row>
    <row r="1040" ht="15.75" customHeight="1">
      <c r="A1040" s="1">
        <v>35.0</v>
      </c>
      <c r="B1040" s="1">
        <v>11.0</v>
      </c>
      <c r="C1040" s="1">
        <v>68.0</v>
      </c>
      <c r="D1040" s="1">
        <v>45.0</v>
      </c>
      <c r="F1040" s="1" t="str">
        <f>LOOKUP(A1040, NPCs!A:A, NPCs!C:C)</f>
        <v>Moldy Persecution</v>
      </c>
      <c r="G1040" s="1" t="str">
        <f>LOOKUP(B1040, Maps!A:A, Maps!B:B)</f>
        <v>Otherlands</v>
      </c>
    </row>
    <row r="1041" ht="15.75" customHeight="1">
      <c r="A1041" s="1">
        <v>35.0</v>
      </c>
      <c r="B1041" s="1">
        <v>11.0</v>
      </c>
      <c r="C1041" s="1">
        <v>72.0</v>
      </c>
      <c r="D1041" s="1">
        <v>45.0</v>
      </c>
      <c r="F1041" s="1" t="str">
        <f>LOOKUP(A1041, NPCs!A:A, NPCs!C:C)</f>
        <v>Moldy Persecution</v>
      </c>
      <c r="G1041" s="1" t="str">
        <f>LOOKUP(B1041, Maps!A:A, Maps!B:B)</f>
        <v>Otherlands</v>
      </c>
    </row>
    <row r="1042" ht="15.75" customHeight="1">
      <c r="A1042" s="1">
        <v>35.0</v>
      </c>
      <c r="B1042" s="1">
        <v>11.0</v>
      </c>
      <c r="C1042" s="1">
        <v>76.0</v>
      </c>
      <c r="D1042" s="1">
        <v>45.0</v>
      </c>
      <c r="F1042" s="1" t="str">
        <f>LOOKUP(A1042, NPCs!A:A, NPCs!C:C)</f>
        <v>Moldy Persecution</v>
      </c>
      <c r="G1042" s="1" t="str">
        <f>LOOKUP(B1042, Maps!A:A, Maps!B:B)</f>
        <v>Otherlands</v>
      </c>
    </row>
    <row r="1043" ht="15.75" customHeight="1">
      <c r="A1043" s="1">
        <v>35.0</v>
      </c>
      <c r="B1043" s="1">
        <v>11.0</v>
      </c>
      <c r="C1043" s="1">
        <v>58.0</v>
      </c>
      <c r="D1043" s="1">
        <v>50.0</v>
      </c>
      <c r="F1043" s="1" t="str">
        <f>LOOKUP(A1043, NPCs!A:A, NPCs!C:C)</f>
        <v>Moldy Persecution</v>
      </c>
      <c r="G1043" s="1" t="str">
        <f>LOOKUP(B1043, Maps!A:A, Maps!B:B)</f>
        <v>Otherlands</v>
      </c>
    </row>
    <row r="1044" ht="15.75" customHeight="1">
      <c r="A1044" s="1">
        <v>35.0</v>
      </c>
      <c r="B1044" s="1">
        <v>11.0</v>
      </c>
      <c r="C1044" s="1">
        <v>65.0</v>
      </c>
      <c r="D1044" s="1">
        <v>50.0</v>
      </c>
      <c r="F1044" s="1" t="str">
        <f>LOOKUP(A1044, NPCs!A:A, NPCs!C:C)</f>
        <v>Moldy Persecution</v>
      </c>
      <c r="G1044" s="1" t="str">
        <f>LOOKUP(B1044, Maps!A:A, Maps!B:B)</f>
        <v>Otherlands</v>
      </c>
    </row>
    <row r="1045" ht="15.75" customHeight="1">
      <c r="A1045" s="1">
        <v>35.0</v>
      </c>
      <c r="B1045" s="1">
        <v>11.0</v>
      </c>
      <c r="C1045" s="1">
        <v>68.0</v>
      </c>
      <c r="D1045" s="1">
        <v>50.0</v>
      </c>
      <c r="F1045" s="1" t="str">
        <f>LOOKUP(A1045, NPCs!A:A, NPCs!C:C)</f>
        <v>Moldy Persecution</v>
      </c>
      <c r="G1045" s="1" t="str">
        <f>LOOKUP(B1045, Maps!A:A, Maps!B:B)</f>
        <v>Otherlands</v>
      </c>
    </row>
    <row r="1046" ht="15.75" customHeight="1">
      <c r="A1046" s="1">
        <v>35.0</v>
      </c>
      <c r="B1046" s="1">
        <v>11.0</v>
      </c>
      <c r="C1046" s="1">
        <v>72.0</v>
      </c>
      <c r="D1046" s="1">
        <v>50.0</v>
      </c>
      <c r="F1046" s="1" t="str">
        <f>LOOKUP(A1046, NPCs!A:A, NPCs!C:C)</f>
        <v>Moldy Persecution</v>
      </c>
      <c r="G1046" s="1" t="str">
        <f>LOOKUP(B1046, Maps!A:A, Maps!B:B)</f>
        <v>Otherlands</v>
      </c>
    </row>
    <row r="1047" ht="15.75" customHeight="1">
      <c r="A1047" s="1">
        <v>35.0</v>
      </c>
      <c r="B1047" s="1">
        <v>11.0</v>
      </c>
      <c r="C1047" s="1">
        <v>76.0</v>
      </c>
      <c r="D1047" s="1">
        <v>50.0</v>
      </c>
      <c r="F1047" s="1" t="str">
        <f>LOOKUP(A1047, NPCs!A:A, NPCs!C:C)</f>
        <v>Moldy Persecution</v>
      </c>
      <c r="G1047" s="1" t="str">
        <f>LOOKUP(B1047, Maps!A:A, Maps!B:B)</f>
        <v>Otherlands</v>
      </c>
    </row>
    <row r="1048" ht="15.75" customHeight="1">
      <c r="A1048" s="1">
        <v>35.0</v>
      </c>
      <c r="B1048" s="1">
        <v>11.0</v>
      </c>
      <c r="C1048" s="1">
        <v>78.0</v>
      </c>
      <c r="D1048" s="1">
        <v>51.0</v>
      </c>
      <c r="F1048" s="1" t="str">
        <f>LOOKUP(A1048, NPCs!A:A, NPCs!C:C)</f>
        <v>Moldy Persecution</v>
      </c>
      <c r="G1048" s="1" t="str">
        <f>LOOKUP(B1048, Maps!A:A, Maps!B:B)</f>
        <v>Otherlands</v>
      </c>
    </row>
    <row r="1049" ht="15.75" customHeight="1">
      <c r="A1049" s="1">
        <v>34.0</v>
      </c>
      <c r="B1049" s="1">
        <v>11.0</v>
      </c>
      <c r="C1049" s="1">
        <v>56.0</v>
      </c>
      <c r="D1049" s="1">
        <v>68.0</v>
      </c>
      <c r="F1049" s="1" t="str">
        <f>LOOKUP(A1049, NPCs!A:A, NPCs!C:C)</f>
        <v>Weak Persecution</v>
      </c>
      <c r="G1049" s="1" t="str">
        <f>LOOKUP(B1049, Maps!A:A, Maps!B:B)</f>
        <v>Otherlands</v>
      </c>
    </row>
    <row r="1050" ht="15.75" customHeight="1">
      <c r="A1050" s="1">
        <v>34.0</v>
      </c>
      <c r="B1050" s="1">
        <v>11.0</v>
      </c>
      <c r="C1050" s="1">
        <v>59.0</v>
      </c>
      <c r="D1050" s="1">
        <v>68.0</v>
      </c>
      <c r="F1050" s="1" t="str">
        <f>LOOKUP(A1050, NPCs!A:A, NPCs!C:C)</f>
        <v>Weak Persecution</v>
      </c>
      <c r="G1050" s="1" t="str">
        <f>LOOKUP(B1050, Maps!A:A, Maps!B:B)</f>
        <v>Otherlands</v>
      </c>
    </row>
    <row r="1051" ht="15.75" customHeight="1">
      <c r="A1051" s="1">
        <v>34.0</v>
      </c>
      <c r="B1051" s="1">
        <v>11.0</v>
      </c>
      <c r="C1051" s="1">
        <v>64.0</v>
      </c>
      <c r="D1051" s="1">
        <v>68.0</v>
      </c>
      <c r="F1051" s="1" t="str">
        <f>LOOKUP(A1051, NPCs!A:A, NPCs!C:C)</f>
        <v>Weak Persecution</v>
      </c>
      <c r="G1051" s="1" t="str">
        <f>LOOKUP(B1051, Maps!A:A, Maps!B:B)</f>
        <v>Otherlands</v>
      </c>
    </row>
    <row r="1052" ht="15.75" customHeight="1">
      <c r="A1052" s="1">
        <v>34.0</v>
      </c>
      <c r="B1052" s="1">
        <v>11.0</v>
      </c>
      <c r="C1052" s="1">
        <v>69.0</v>
      </c>
      <c r="D1052" s="1">
        <v>68.0</v>
      </c>
      <c r="F1052" s="1" t="str">
        <f>LOOKUP(A1052, NPCs!A:A, NPCs!C:C)</f>
        <v>Weak Persecution</v>
      </c>
      <c r="G1052" s="1" t="str">
        <f>LOOKUP(B1052, Maps!A:A, Maps!B:B)</f>
        <v>Otherlands</v>
      </c>
    </row>
    <row r="1053" ht="15.75" customHeight="1">
      <c r="A1053" s="1">
        <v>34.0</v>
      </c>
      <c r="B1053" s="1">
        <v>11.0</v>
      </c>
      <c r="C1053" s="1">
        <v>75.0</v>
      </c>
      <c r="D1053" s="1">
        <v>68.0</v>
      </c>
      <c r="F1053" s="1" t="str">
        <f>LOOKUP(A1053, NPCs!A:A, NPCs!C:C)</f>
        <v>Weak Persecution</v>
      </c>
      <c r="G1053" s="1" t="str">
        <f>LOOKUP(B1053, Maps!A:A, Maps!B:B)</f>
        <v>Otherlands</v>
      </c>
    </row>
    <row r="1054" ht="15.75" customHeight="1">
      <c r="A1054" s="1">
        <v>34.0</v>
      </c>
      <c r="B1054" s="1">
        <v>11.0</v>
      </c>
      <c r="C1054" s="1">
        <v>56.0</v>
      </c>
      <c r="D1054" s="1">
        <v>75.0</v>
      </c>
      <c r="F1054" s="1" t="str">
        <f>LOOKUP(A1054, NPCs!A:A, NPCs!C:C)</f>
        <v>Weak Persecution</v>
      </c>
      <c r="G1054" s="1" t="str">
        <f>LOOKUP(B1054, Maps!A:A, Maps!B:B)</f>
        <v>Otherlands</v>
      </c>
    </row>
    <row r="1055" ht="15.75" customHeight="1">
      <c r="A1055" s="1">
        <v>34.0</v>
      </c>
      <c r="B1055" s="1">
        <v>11.0</v>
      </c>
      <c r="C1055" s="1">
        <v>59.0</v>
      </c>
      <c r="D1055" s="1">
        <v>75.0</v>
      </c>
      <c r="F1055" s="1" t="str">
        <f>LOOKUP(A1055, NPCs!A:A, NPCs!C:C)</f>
        <v>Weak Persecution</v>
      </c>
      <c r="G1055" s="1" t="str">
        <f>LOOKUP(B1055, Maps!A:A, Maps!B:B)</f>
        <v>Otherlands</v>
      </c>
    </row>
    <row r="1056" ht="15.75" customHeight="1">
      <c r="A1056" s="1">
        <v>34.0</v>
      </c>
      <c r="B1056" s="1">
        <v>11.0</v>
      </c>
      <c r="C1056" s="1">
        <v>64.0</v>
      </c>
      <c r="D1056" s="1">
        <v>75.0</v>
      </c>
      <c r="F1056" s="1" t="str">
        <f>LOOKUP(A1056, NPCs!A:A, NPCs!C:C)</f>
        <v>Weak Persecution</v>
      </c>
      <c r="G1056" s="1" t="str">
        <f>LOOKUP(B1056, Maps!A:A, Maps!B:B)</f>
        <v>Otherlands</v>
      </c>
    </row>
    <row r="1057" ht="15.75" customHeight="1">
      <c r="A1057" s="1">
        <v>34.0</v>
      </c>
      <c r="B1057" s="1">
        <v>11.0</v>
      </c>
      <c r="C1057" s="1">
        <v>69.0</v>
      </c>
      <c r="D1057" s="1">
        <v>75.0</v>
      </c>
      <c r="F1057" s="1" t="str">
        <f>LOOKUP(A1057, NPCs!A:A, NPCs!C:C)</f>
        <v>Weak Persecution</v>
      </c>
      <c r="G1057" s="1" t="str">
        <f>LOOKUP(B1057, Maps!A:A, Maps!B:B)</f>
        <v>Otherlands</v>
      </c>
    </row>
    <row r="1058" ht="15.75" customHeight="1">
      <c r="A1058" s="1">
        <v>34.0</v>
      </c>
      <c r="B1058" s="1">
        <v>11.0</v>
      </c>
      <c r="C1058" s="1">
        <v>75.0</v>
      </c>
      <c r="D1058" s="1">
        <v>75.0</v>
      </c>
      <c r="F1058" s="1" t="str">
        <f>LOOKUP(A1058, NPCs!A:A, NPCs!C:C)</f>
        <v>Weak Persecution</v>
      </c>
      <c r="G1058" s="1" t="str">
        <f>LOOKUP(B1058, Maps!A:A, Maps!B:B)</f>
        <v>Otherlands</v>
      </c>
    </row>
    <row r="1059" ht="15.75" customHeight="1">
      <c r="A1059" s="1">
        <v>34.0</v>
      </c>
      <c r="B1059" s="1">
        <v>11.0</v>
      </c>
      <c r="C1059" s="1">
        <v>56.0</v>
      </c>
      <c r="D1059" s="1">
        <v>80.0</v>
      </c>
      <c r="F1059" s="1" t="str">
        <f>LOOKUP(A1059, NPCs!A:A, NPCs!C:C)</f>
        <v>Weak Persecution</v>
      </c>
      <c r="G1059" s="1" t="str">
        <f>LOOKUP(B1059, Maps!A:A, Maps!B:B)</f>
        <v>Otherlands</v>
      </c>
    </row>
    <row r="1060" ht="15.75" customHeight="1">
      <c r="A1060" s="1">
        <v>34.0</v>
      </c>
      <c r="B1060" s="1">
        <v>11.0</v>
      </c>
      <c r="C1060" s="1">
        <v>59.0</v>
      </c>
      <c r="D1060" s="1">
        <v>80.0</v>
      </c>
      <c r="F1060" s="1" t="str">
        <f>LOOKUP(A1060, NPCs!A:A, NPCs!C:C)</f>
        <v>Weak Persecution</v>
      </c>
      <c r="G1060" s="1" t="str">
        <f>LOOKUP(B1060, Maps!A:A, Maps!B:B)</f>
        <v>Otherlands</v>
      </c>
    </row>
    <row r="1061" ht="15.75" customHeight="1">
      <c r="A1061" s="1">
        <v>34.0</v>
      </c>
      <c r="B1061" s="1">
        <v>11.0</v>
      </c>
      <c r="C1061" s="1">
        <v>64.0</v>
      </c>
      <c r="D1061" s="1">
        <v>80.0</v>
      </c>
      <c r="F1061" s="1" t="str">
        <f>LOOKUP(A1061, NPCs!A:A, NPCs!C:C)</f>
        <v>Weak Persecution</v>
      </c>
      <c r="G1061" s="1" t="str">
        <f>LOOKUP(B1061, Maps!A:A, Maps!B:B)</f>
        <v>Otherlands</v>
      </c>
    </row>
    <row r="1062" ht="15.75" customHeight="1">
      <c r="A1062" s="1">
        <v>34.0</v>
      </c>
      <c r="B1062" s="1">
        <v>11.0</v>
      </c>
      <c r="C1062" s="1">
        <v>69.0</v>
      </c>
      <c r="D1062" s="1">
        <v>80.0</v>
      </c>
      <c r="F1062" s="1" t="str">
        <f>LOOKUP(A1062, NPCs!A:A, NPCs!C:C)</f>
        <v>Weak Persecution</v>
      </c>
      <c r="G1062" s="1" t="str">
        <f>LOOKUP(B1062, Maps!A:A, Maps!B:B)</f>
        <v>Otherlands</v>
      </c>
    </row>
    <row r="1063" ht="15.75" customHeight="1">
      <c r="A1063" s="1">
        <v>34.0</v>
      </c>
      <c r="B1063" s="1">
        <v>11.0</v>
      </c>
      <c r="C1063" s="1">
        <v>75.0</v>
      </c>
      <c r="D1063" s="1">
        <v>80.0</v>
      </c>
      <c r="F1063" s="1" t="str">
        <f>LOOKUP(A1063, NPCs!A:A, NPCs!C:C)</f>
        <v>Weak Persecution</v>
      </c>
      <c r="G1063" s="1" t="str">
        <f>LOOKUP(B1063, Maps!A:A, Maps!B:B)</f>
        <v>Otherlands</v>
      </c>
    </row>
    <row r="1064" ht="15.75" customHeight="1">
      <c r="A1064" s="1">
        <v>34.0</v>
      </c>
      <c r="B1064" s="1">
        <v>11.0</v>
      </c>
      <c r="C1064" s="1">
        <v>56.0</v>
      </c>
      <c r="D1064" s="1">
        <v>87.0</v>
      </c>
      <c r="F1064" s="1" t="str">
        <f>LOOKUP(A1064, NPCs!A:A, NPCs!C:C)</f>
        <v>Weak Persecution</v>
      </c>
      <c r="G1064" s="1" t="str">
        <f>LOOKUP(B1064, Maps!A:A, Maps!B:B)</f>
        <v>Otherlands</v>
      </c>
    </row>
    <row r="1065" ht="15.75" customHeight="1">
      <c r="A1065" s="1">
        <v>34.0</v>
      </c>
      <c r="B1065" s="1">
        <v>11.0</v>
      </c>
      <c r="C1065" s="1">
        <v>59.0</v>
      </c>
      <c r="D1065" s="1">
        <v>87.0</v>
      </c>
      <c r="F1065" s="1" t="str">
        <f>LOOKUP(A1065, NPCs!A:A, NPCs!C:C)</f>
        <v>Weak Persecution</v>
      </c>
      <c r="G1065" s="1" t="str">
        <f>LOOKUP(B1065, Maps!A:A, Maps!B:B)</f>
        <v>Otherlands</v>
      </c>
    </row>
    <row r="1066" ht="15.75" customHeight="1">
      <c r="A1066" s="1">
        <v>34.0</v>
      </c>
      <c r="B1066" s="1">
        <v>11.0</v>
      </c>
      <c r="C1066" s="1">
        <v>64.0</v>
      </c>
      <c r="D1066" s="1">
        <v>87.0</v>
      </c>
      <c r="F1066" s="1" t="str">
        <f>LOOKUP(A1066, NPCs!A:A, NPCs!C:C)</f>
        <v>Weak Persecution</v>
      </c>
      <c r="G1066" s="1" t="str">
        <f>LOOKUP(B1066, Maps!A:A, Maps!B:B)</f>
        <v>Otherlands</v>
      </c>
    </row>
    <row r="1067" ht="15.75" customHeight="1">
      <c r="A1067" s="1">
        <v>34.0</v>
      </c>
      <c r="B1067" s="1">
        <v>11.0</v>
      </c>
      <c r="C1067" s="1">
        <v>69.0</v>
      </c>
      <c r="D1067" s="1">
        <v>87.0</v>
      </c>
      <c r="F1067" s="1" t="str">
        <f>LOOKUP(A1067, NPCs!A:A, NPCs!C:C)</f>
        <v>Weak Persecution</v>
      </c>
      <c r="G1067" s="1" t="str">
        <f>LOOKUP(B1067, Maps!A:A, Maps!B:B)</f>
        <v>Otherlands</v>
      </c>
    </row>
    <row r="1068" ht="15.75" customHeight="1">
      <c r="A1068" s="1">
        <v>34.0</v>
      </c>
      <c r="B1068" s="1">
        <v>11.0</v>
      </c>
      <c r="C1068" s="1">
        <v>75.0</v>
      </c>
      <c r="D1068" s="1">
        <v>87.0</v>
      </c>
      <c r="F1068" s="1" t="str">
        <f>LOOKUP(A1068, NPCs!A:A, NPCs!C:C)</f>
        <v>Weak Persecution</v>
      </c>
      <c r="G1068" s="1" t="str">
        <f>LOOKUP(B1068, Maps!A:A, Maps!B:B)</f>
        <v>Otherlands</v>
      </c>
    </row>
    <row r="1069" ht="15.75" customHeight="1">
      <c r="A1069" s="1">
        <v>34.0</v>
      </c>
      <c r="B1069" s="1">
        <v>11.0</v>
      </c>
      <c r="C1069" s="1">
        <v>56.0</v>
      </c>
      <c r="D1069" s="1">
        <v>94.0</v>
      </c>
      <c r="F1069" s="1" t="str">
        <f>LOOKUP(A1069, NPCs!A:A, NPCs!C:C)</f>
        <v>Weak Persecution</v>
      </c>
      <c r="G1069" s="1" t="str">
        <f>LOOKUP(B1069, Maps!A:A, Maps!B:B)</f>
        <v>Otherlands</v>
      </c>
    </row>
    <row r="1070" ht="15.75" customHeight="1">
      <c r="A1070" s="1">
        <v>34.0</v>
      </c>
      <c r="B1070" s="1">
        <v>11.0</v>
      </c>
      <c r="C1070" s="1">
        <v>59.0</v>
      </c>
      <c r="D1070" s="1">
        <v>94.0</v>
      </c>
      <c r="F1070" s="1" t="str">
        <f>LOOKUP(A1070, NPCs!A:A, NPCs!C:C)</f>
        <v>Weak Persecution</v>
      </c>
      <c r="G1070" s="1" t="str">
        <f>LOOKUP(B1070, Maps!A:A, Maps!B:B)</f>
        <v>Otherlands</v>
      </c>
    </row>
    <row r="1071" ht="15.75" customHeight="1">
      <c r="A1071" s="1">
        <v>34.0</v>
      </c>
      <c r="B1071" s="1">
        <v>11.0</v>
      </c>
      <c r="C1071" s="1">
        <v>64.0</v>
      </c>
      <c r="D1071" s="1">
        <v>94.0</v>
      </c>
      <c r="F1071" s="1" t="str">
        <f>LOOKUP(A1071, NPCs!A:A, NPCs!C:C)</f>
        <v>Weak Persecution</v>
      </c>
      <c r="G1071" s="1" t="str">
        <f>LOOKUP(B1071, Maps!A:A, Maps!B:B)</f>
        <v>Otherlands</v>
      </c>
    </row>
    <row r="1072" ht="15.75" customHeight="1">
      <c r="A1072" s="1">
        <v>34.0</v>
      </c>
      <c r="B1072" s="1">
        <v>11.0</v>
      </c>
      <c r="C1072" s="1">
        <v>69.0</v>
      </c>
      <c r="D1072" s="1">
        <v>94.0</v>
      </c>
      <c r="F1072" s="1" t="str">
        <f>LOOKUP(A1072, NPCs!A:A, NPCs!C:C)</f>
        <v>Weak Persecution</v>
      </c>
      <c r="G1072" s="1" t="str">
        <f>LOOKUP(B1072, Maps!A:A, Maps!B:B)</f>
        <v>Otherlands</v>
      </c>
    </row>
    <row r="1073" ht="15.75" customHeight="1">
      <c r="A1073" s="1">
        <v>34.0</v>
      </c>
      <c r="B1073" s="1">
        <v>11.0</v>
      </c>
      <c r="C1073" s="1">
        <v>75.0</v>
      </c>
      <c r="D1073" s="1">
        <v>94.0</v>
      </c>
      <c r="F1073" s="1" t="str">
        <f>LOOKUP(A1073, NPCs!A:A, NPCs!C:C)</f>
        <v>Weak Persecution</v>
      </c>
      <c r="G1073" s="1" t="str">
        <f>LOOKUP(B1073, Maps!A:A, Maps!B:B)</f>
        <v>Otherlands</v>
      </c>
    </row>
    <row r="1074" ht="15.75" customHeight="1">
      <c r="A1074" s="1">
        <v>34.0</v>
      </c>
      <c r="B1074" s="1">
        <v>11.0</v>
      </c>
      <c r="C1074" s="1">
        <v>77.0</v>
      </c>
      <c r="D1074" s="1">
        <v>95.0</v>
      </c>
      <c r="F1074" s="1" t="str">
        <f>LOOKUP(A1074, NPCs!A:A, NPCs!C:C)</f>
        <v>Weak Persecution</v>
      </c>
      <c r="G1074" s="1" t="str">
        <f>LOOKUP(B1074, Maps!A:A, Maps!B:B)</f>
        <v>Otherlands</v>
      </c>
    </row>
    <row r="1075" ht="15.75" customHeight="1">
      <c r="A1075" s="1">
        <v>49.0</v>
      </c>
      <c r="B1075" s="1">
        <v>12.0</v>
      </c>
      <c r="C1075" s="1">
        <v>20.0</v>
      </c>
      <c r="D1075" s="1">
        <v>4.0</v>
      </c>
      <c r="F1075" s="1" t="str">
        <f>LOOKUP(A1075, NPCs!A:A, NPCs!C:C)</f>
        <v>Strong Persecution</v>
      </c>
      <c r="G1075" s="1" t="str">
        <f>LOOKUP(B1075, Maps!A:A, Maps!B:B)</f>
        <v>Mindless Mines</v>
      </c>
    </row>
    <row r="1076" ht="15.75" customHeight="1">
      <c r="A1076" s="1">
        <v>39.0</v>
      </c>
      <c r="B1076" s="1">
        <v>12.0</v>
      </c>
      <c r="C1076" s="1">
        <v>25.0</v>
      </c>
      <c r="D1076" s="1">
        <v>4.0</v>
      </c>
      <c r="F1076" s="1" t="str">
        <f>LOOKUP(A1076, NPCs!A:A, NPCs!C:C)</f>
        <v>Persecution</v>
      </c>
      <c r="G1076" s="1" t="str">
        <f>LOOKUP(B1076, Maps!A:A, Maps!B:B)</f>
        <v>Mindless Mines</v>
      </c>
    </row>
    <row r="1077" ht="15.75" customHeight="1">
      <c r="A1077" s="1">
        <v>49.0</v>
      </c>
      <c r="B1077" s="1">
        <v>12.0</v>
      </c>
      <c r="C1077" s="1">
        <v>30.0</v>
      </c>
      <c r="D1077" s="1">
        <v>4.0</v>
      </c>
      <c r="F1077" s="1" t="str">
        <f>LOOKUP(A1077, NPCs!A:A, NPCs!C:C)</f>
        <v>Strong Persecution</v>
      </c>
      <c r="G1077" s="1" t="str">
        <f>LOOKUP(B1077, Maps!A:A, Maps!B:B)</f>
        <v>Mindless Mines</v>
      </c>
    </row>
    <row r="1078" ht="15.75" customHeight="1">
      <c r="A1078" s="1">
        <v>39.0</v>
      </c>
      <c r="B1078" s="1">
        <v>12.0</v>
      </c>
      <c r="C1078" s="1">
        <v>35.0</v>
      </c>
      <c r="D1078" s="1">
        <v>4.0</v>
      </c>
      <c r="F1078" s="1" t="str">
        <f>LOOKUP(A1078, NPCs!A:A, NPCs!C:C)</f>
        <v>Persecution</v>
      </c>
      <c r="G1078" s="1" t="str">
        <f>LOOKUP(B1078, Maps!A:A, Maps!B:B)</f>
        <v>Mindless Mines</v>
      </c>
    </row>
    <row r="1079" ht="15.75" customHeight="1">
      <c r="A1079" s="1">
        <v>49.0</v>
      </c>
      <c r="B1079" s="1">
        <v>12.0</v>
      </c>
      <c r="C1079" s="1">
        <v>40.0</v>
      </c>
      <c r="D1079" s="1">
        <v>4.0</v>
      </c>
      <c r="F1079" s="1" t="str">
        <f>LOOKUP(A1079, NPCs!A:A, NPCs!C:C)</f>
        <v>Strong Persecution</v>
      </c>
      <c r="G1079" s="1" t="str">
        <f>LOOKUP(B1079, Maps!A:A, Maps!B:B)</f>
        <v>Mindless Mines</v>
      </c>
    </row>
    <row r="1080" ht="15.75" customHeight="1">
      <c r="A1080" s="1">
        <v>39.0</v>
      </c>
      <c r="B1080" s="1">
        <v>12.0</v>
      </c>
      <c r="C1080" s="1">
        <v>45.0</v>
      </c>
      <c r="D1080" s="1">
        <v>4.0</v>
      </c>
      <c r="F1080" s="1" t="str">
        <f>LOOKUP(A1080, NPCs!A:A, NPCs!C:C)</f>
        <v>Persecution</v>
      </c>
      <c r="G1080" s="1" t="str">
        <f>LOOKUP(B1080, Maps!A:A, Maps!B:B)</f>
        <v>Mindless Mines</v>
      </c>
    </row>
    <row r="1081" ht="15.75" customHeight="1">
      <c r="A1081" s="1">
        <v>49.0</v>
      </c>
      <c r="B1081" s="1">
        <v>12.0</v>
      </c>
      <c r="C1081" s="1">
        <v>50.0</v>
      </c>
      <c r="D1081" s="1">
        <v>4.0</v>
      </c>
      <c r="F1081" s="1" t="str">
        <f>LOOKUP(A1081, NPCs!A:A, NPCs!C:C)</f>
        <v>Strong Persecution</v>
      </c>
      <c r="G1081" s="1" t="str">
        <f>LOOKUP(B1081, Maps!A:A, Maps!B:B)</f>
        <v>Mindless Mines</v>
      </c>
    </row>
    <row r="1082" ht="15.75" customHeight="1">
      <c r="A1082" s="1">
        <v>39.0</v>
      </c>
      <c r="B1082" s="1">
        <v>12.0</v>
      </c>
      <c r="C1082" s="1">
        <v>55.0</v>
      </c>
      <c r="D1082" s="1">
        <v>4.0</v>
      </c>
      <c r="F1082" s="1" t="str">
        <f>LOOKUP(A1082, NPCs!A:A, NPCs!C:C)</f>
        <v>Persecution</v>
      </c>
      <c r="G1082" s="1" t="str">
        <f>LOOKUP(B1082, Maps!A:A, Maps!B:B)</f>
        <v>Mindless Mines</v>
      </c>
    </row>
    <row r="1083" ht="15.75" customHeight="1">
      <c r="A1083" s="1">
        <v>49.0</v>
      </c>
      <c r="B1083" s="1">
        <v>12.0</v>
      </c>
      <c r="C1083" s="1">
        <v>60.0</v>
      </c>
      <c r="D1083" s="1">
        <v>4.0</v>
      </c>
      <c r="F1083" s="1" t="str">
        <f>LOOKUP(A1083, NPCs!A:A, NPCs!C:C)</f>
        <v>Strong Persecution</v>
      </c>
      <c r="G1083" s="1" t="str">
        <f>LOOKUP(B1083, Maps!A:A, Maps!B:B)</f>
        <v>Mindless Mines</v>
      </c>
    </row>
    <row r="1084" ht="15.75" customHeight="1">
      <c r="A1084" s="1">
        <v>39.0</v>
      </c>
      <c r="B1084" s="1">
        <v>12.0</v>
      </c>
      <c r="C1084" s="1">
        <v>65.0</v>
      </c>
      <c r="D1084" s="1">
        <v>4.0</v>
      </c>
      <c r="F1084" s="1" t="str">
        <f>LOOKUP(A1084, NPCs!A:A, NPCs!C:C)</f>
        <v>Persecution</v>
      </c>
      <c r="G1084" s="1" t="str">
        <f>LOOKUP(B1084, Maps!A:A, Maps!B:B)</f>
        <v>Mindless Mines</v>
      </c>
    </row>
    <row r="1085" ht="15.75" customHeight="1">
      <c r="A1085" s="1">
        <v>49.0</v>
      </c>
      <c r="B1085" s="1">
        <v>12.0</v>
      </c>
      <c r="C1085" s="1">
        <v>80.0</v>
      </c>
      <c r="D1085" s="1">
        <v>4.0</v>
      </c>
      <c r="F1085" s="1" t="str">
        <f>LOOKUP(A1085, NPCs!A:A, NPCs!C:C)</f>
        <v>Strong Persecution</v>
      </c>
      <c r="G1085" s="1" t="str">
        <f>LOOKUP(B1085, Maps!A:A, Maps!B:B)</f>
        <v>Mindless Mines</v>
      </c>
    </row>
    <row r="1086" ht="15.75" customHeight="1">
      <c r="A1086" s="1">
        <v>39.0</v>
      </c>
      <c r="B1086" s="1">
        <v>12.0</v>
      </c>
      <c r="C1086" s="1">
        <v>85.0</v>
      </c>
      <c r="D1086" s="1">
        <v>4.0</v>
      </c>
      <c r="F1086" s="1" t="str">
        <f>LOOKUP(A1086, NPCs!A:A, NPCs!C:C)</f>
        <v>Persecution</v>
      </c>
      <c r="G1086" s="1" t="str">
        <f>LOOKUP(B1086, Maps!A:A, Maps!B:B)</f>
        <v>Mindless Mines</v>
      </c>
    </row>
    <row r="1087" ht="15.75" customHeight="1">
      <c r="A1087" s="1">
        <v>49.0</v>
      </c>
      <c r="B1087" s="1">
        <v>12.0</v>
      </c>
      <c r="C1087" s="1">
        <v>90.0</v>
      </c>
      <c r="D1087" s="1">
        <v>4.0</v>
      </c>
      <c r="F1087" s="1" t="str">
        <f>LOOKUP(A1087, NPCs!A:A, NPCs!C:C)</f>
        <v>Strong Persecution</v>
      </c>
      <c r="G1087" s="1" t="str">
        <f>LOOKUP(B1087, Maps!A:A, Maps!B:B)</f>
        <v>Mindless Mines</v>
      </c>
    </row>
    <row r="1088" ht="15.75" customHeight="1">
      <c r="A1088" s="1">
        <v>39.0</v>
      </c>
      <c r="B1088" s="1">
        <v>12.0</v>
      </c>
      <c r="C1088" s="1">
        <v>92.0</v>
      </c>
      <c r="D1088" s="1">
        <v>4.0</v>
      </c>
      <c r="F1088" s="1" t="str">
        <f>LOOKUP(A1088, NPCs!A:A, NPCs!C:C)</f>
        <v>Persecution</v>
      </c>
      <c r="G1088" s="1" t="str">
        <f>LOOKUP(B1088, Maps!A:A, Maps!B:B)</f>
        <v>Mindless Mines</v>
      </c>
    </row>
    <row r="1089" ht="15.75" customHeight="1">
      <c r="A1089" s="1">
        <v>49.0</v>
      </c>
      <c r="B1089" s="1">
        <v>12.0</v>
      </c>
      <c r="C1089" s="1">
        <v>97.0</v>
      </c>
      <c r="D1089" s="1">
        <v>4.0</v>
      </c>
      <c r="F1089" s="1" t="str">
        <f>LOOKUP(A1089, NPCs!A:A, NPCs!C:C)</f>
        <v>Strong Persecution</v>
      </c>
      <c r="G1089" s="1" t="str">
        <f>LOOKUP(B1089, Maps!A:A, Maps!B:B)</f>
        <v>Mindless Mines</v>
      </c>
    </row>
    <row r="1090" ht="15.75" customHeight="1">
      <c r="A1090" s="1">
        <v>39.0</v>
      </c>
      <c r="B1090" s="1">
        <v>12.0</v>
      </c>
      <c r="C1090" s="1">
        <v>20.0</v>
      </c>
      <c r="D1090" s="1">
        <v>10.0</v>
      </c>
      <c r="F1090" s="1" t="str">
        <f>LOOKUP(A1090, NPCs!A:A, NPCs!C:C)</f>
        <v>Persecution</v>
      </c>
      <c r="G1090" s="1" t="str">
        <f>LOOKUP(B1090, Maps!A:A, Maps!B:B)</f>
        <v>Mindless Mines</v>
      </c>
    </row>
    <row r="1091" ht="15.75" customHeight="1">
      <c r="A1091" s="1">
        <v>49.0</v>
      </c>
      <c r="B1091" s="1">
        <v>12.0</v>
      </c>
      <c r="C1091" s="1">
        <v>25.0</v>
      </c>
      <c r="D1091" s="1">
        <v>10.0</v>
      </c>
      <c r="F1091" s="1" t="str">
        <f>LOOKUP(A1091, NPCs!A:A, NPCs!C:C)</f>
        <v>Strong Persecution</v>
      </c>
      <c r="G1091" s="1" t="str">
        <f>LOOKUP(B1091, Maps!A:A, Maps!B:B)</f>
        <v>Mindless Mines</v>
      </c>
    </row>
    <row r="1092" ht="15.75" customHeight="1">
      <c r="A1092" s="1">
        <v>39.0</v>
      </c>
      <c r="B1092" s="1">
        <v>12.0</v>
      </c>
      <c r="C1092" s="1">
        <v>30.0</v>
      </c>
      <c r="D1092" s="1">
        <v>10.0</v>
      </c>
      <c r="F1092" s="1" t="str">
        <f>LOOKUP(A1092, NPCs!A:A, NPCs!C:C)</f>
        <v>Persecution</v>
      </c>
      <c r="G1092" s="1" t="str">
        <f>LOOKUP(B1092, Maps!A:A, Maps!B:B)</f>
        <v>Mindless Mines</v>
      </c>
    </row>
    <row r="1093" ht="15.75" customHeight="1">
      <c r="A1093" s="1">
        <v>49.0</v>
      </c>
      <c r="B1093" s="1">
        <v>12.0</v>
      </c>
      <c r="C1093" s="1">
        <v>35.0</v>
      </c>
      <c r="D1093" s="1">
        <v>10.0</v>
      </c>
      <c r="F1093" s="1" t="str">
        <f>LOOKUP(A1093, NPCs!A:A, NPCs!C:C)</f>
        <v>Strong Persecution</v>
      </c>
      <c r="G1093" s="1" t="str">
        <f>LOOKUP(B1093, Maps!A:A, Maps!B:B)</f>
        <v>Mindless Mines</v>
      </c>
    </row>
    <row r="1094" ht="15.75" customHeight="1">
      <c r="A1094" s="1">
        <v>39.0</v>
      </c>
      <c r="B1094" s="1">
        <v>12.0</v>
      </c>
      <c r="C1094" s="1">
        <v>40.0</v>
      </c>
      <c r="D1094" s="1">
        <v>10.0</v>
      </c>
      <c r="F1094" s="1" t="str">
        <f>LOOKUP(A1094, NPCs!A:A, NPCs!C:C)</f>
        <v>Persecution</v>
      </c>
      <c r="G1094" s="1" t="str">
        <f>LOOKUP(B1094, Maps!A:A, Maps!B:B)</f>
        <v>Mindless Mines</v>
      </c>
    </row>
    <row r="1095" ht="15.75" customHeight="1">
      <c r="A1095" s="1">
        <v>49.0</v>
      </c>
      <c r="B1095" s="1">
        <v>12.0</v>
      </c>
      <c r="C1095" s="1">
        <v>45.0</v>
      </c>
      <c r="D1095" s="1">
        <v>10.0</v>
      </c>
      <c r="F1095" s="1" t="str">
        <f>LOOKUP(A1095, NPCs!A:A, NPCs!C:C)</f>
        <v>Strong Persecution</v>
      </c>
      <c r="G1095" s="1" t="str">
        <f>LOOKUP(B1095, Maps!A:A, Maps!B:B)</f>
        <v>Mindless Mines</v>
      </c>
    </row>
    <row r="1096" ht="15.75" customHeight="1">
      <c r="A1096" s="1">
        <v>39.0</v>
      </c>
      <c r="B1096" s="1">
        <v>12.0</v>
      </c>
      <c r="C1096" s="1">
        <v>50.0</v>
      </c>
      <c r="D1096" s="1">
        <v>10.0</v>
      </c>
      <c r="F1096" s="1" t="str">
        <f>LOOKUP(A1096, NPCs!A:A, NPCs!C:C)</f>
        <v>Persecution</v>
      </c>
      <c r="G1096" s="1" t="str">
        <f>LOOKUP(B1096, Maps!A:A, Maps!B:B)</f>
        <v>Mindless Mines</v>
      </c>
    </row>
    <row r="1097" ht="15.75" customHeight="1">
      <c r="A1097" s="1">
        <v>49.0</v>
      </c>
      <c r="B1097" s="1">
        <v>12.0</v>
      </c>
      <c r="C1097" s="1">
        <v>55.0</v>
      </c>
      <c r="D1097" s="1">
        <v>10.0</v>
      </c>
      <c r="F1097" s="1" t="str">
        <f>LOOKUP(A1097, NPCs!A:A, NPCs!C:C)</f>
        <v>Strong Persecution</v>
      </c>
      <c r="G1097" s="1" t="str">
        <f>LOOKUP(B1097, Maps!A:A, Maps!B:B)</f>
        <v>Mindless Mines</v>
      </c>
    </row>
    <row r="1098" ht="15.75" customHeight="1">
      <c r="A1098" s="1">
        <v>39.0</v>
      </c>
      <c r="B1098" s="1">
        <v>12.0</v>
      </c>
      <c r="C1098" s="1">
        <v>60.0</v>
      </c>
      <c r="D1098" s="1">
        <v>10.0</v>
      </c>
      <c r="F1098" s="1" t="str">
        <f>LOOKUP(A1098, NPCs!A:A, NPCs!C:C)</f>
        <v>Persecution</v>
      </c>
      <c r="G1098" s="1" t="str">
        <f>LOOKUP(B1098, Maps!A:A, Maps!B:B)</f>
        <v>Mindless Mines</v>
      </c>
    </row>
    <row r="1099" ht="15.75" customHeight="1">
      <c r="A1099" s="1">
        <v>49.0</v>
      </c>
      <c r="B1099" s="1">
        <v>12.0</v>
      </c>
      <c r="C1099" s="1">
        <v>65.0</v>
      </c>
      <c r="D1099" s="1">
        <v>10.0</v>
      </c>
      <c r="F1099" s="1" t="str">
        <f>LOOKUP(A1099, NPCs!A:A, NPCs!C:C)</f>
        <v>Strong Persecution</v>
      </c>
      <c r="G1099" s="1" t="str">
        <f>LOOKUP(B1099, Maps!A:A, Maps!B:B)</f>
        <v>Mindless Mines</v>
      </c>
    </row>
    <row r="1100" ht="15.75" customHeight="1">
      <c r="A1100" s="1">
        <v>39.0</v>
      </c>
      <c r="B1100" s="1">
        <v>12.0</v>
      </c>
      <c r="C1100" s="1">
        <v>80.0</v>
      </c>
      <c r="D1100" s="1">
        <v>10.0</v>
      </c>
      <c r="F1100" s="1" t="str">
        <f>LOOKUP(A1100, NPCs!A:A, NPCs!C:C)</f>
        <v>Persecution</v>
      </c>
      <c r="G1100" s="1" t="str">
        <f>LOOKUP(B1100, Maps!A:A, Maps!B:B)</f>
        <v>Mindless Mines</v>
      </c>
    </row>
    <row r="1101" ht="15.75" customHeight="1">
      <c r="A1101" s="1">
        <v>49.0</v>
      </c>
      <c r="B1101" s="1">
        <v>12.0</v>
      </c>
      <c r="C1101" s="1">
        <v>85.0</v>
      </c>
      <c r="D1101" s="1">
        <v>10.0</v>
      </c>
      <c r="F1101" s="1" t="str">
        <f>LOOKUP(A1101, NPCs!A:A, NPCs!C:C)</f>
        <v>Strong Persecution</v>
      </c>
      <c r="G1101" s="1" t="str">
        <f>LOOKUP(B1101, Maps!A:A, Maps!B:B)</f>
        <v>Mindless Mines</v>
      </c>
    </row>
    <row r="1102" ht="15.75" customHeight="1">
      <c r="A1102" s="1">
        <v>39.0</v>
      </c>
      <c r="B1102" s="1">
        <v>12.0</v>
      </c>
      <c r="C1102" s="1">
        <v>90.0</v>
      </c>
      <c r="D1102" s="1">
        <v>10.0</v>
      </c>
      <c r="F1102" s="1" t="str">
        <f>LOOKUP(A1102, NPCs!A:A, NPCs!C:C)</f>
        <v>Persecution</v>
      </c>
      <c r="G1102" s="1" t="str">
        <f>LOOKUP(B1102, Maps!A:A, Maps!B:B)</f>
        <v>Mindless Mines</v>
      </c>
    </row>
    <row r="1103" ht="15.75" customHeight="1">
      <c r="A1103" s="1">
        <v>49.0</v>
      </c>
      <c r="B1103" s="1">
        <v>12.0</v>
      </c>
      <c r="C1103" s="1">
        <v>92.0</v>
      </c>
      <c r="D1103" s="1">
        <v>10.0</v>
      </c>
      <c r="F1103" s="1" t="str">
        <f>LOOKUP(A1103, NPCs!A:A, NPCs!C:C)</f>
        <v>Strong Persecution</v>
      </c>
      <c r="G1103" s="1" t="str">
        <f>LOOKUP(B1103, Maps!A:A, Maps!B:B)</f>
        <v>Mindless Mines</v>
      </c>
    </row>
    <row r="1104" ht="15.75" customHeight="1">
      <c r="A1104" s="1">
        <v>39.0</v>
      </c>
      <c r="B1104" s="1">
        <v>12.0</v>
      </c>
      <c r="C1104" s="1">
        <v>97.0</v>
      </c>
      <c r="D1104" s="1">
        <v>10.0</v>
      </c>
      <c r="F1104" s="1" t="str">
        <f>LOOKUP(A1104, NPCs!A:A, NPCs!C:C)</f>
        <v>Persecution</v>
      </c>
      <c r="G1104" s="1" t="str">
        <f>LOOKUP(B1104, Maps!A:A, Maps!B:B)</f>
        <v>Mindless Mines</v>
      </c>
    </row>
    <row r="1105" ht="15.75" customHeight="1">
      <c r="A1105" s="1">
        <v>49.0</v>
      </c>
      <c r="B1105" s="1">
        <v>12.0</v>
      </c>
      <c r="C1105" s="1">
        <v>20.0</v>
      </c>
      <c r="D1105" s="1">
        <v>14.0</v>
      </c>
      <c r="F1105" s="1" t="str">
        <f>LOOKUP(A1105, NPCs!A:A, NPCs!C:C)</f>
        <v>Strong Persecution</v>
      </c>
      <c r="G1105" s="1" t="str">
        <f>LOOKUP(B1105, Maps!A:A, Maps!B:B)</f>
        <v>Mindless Mines</v>
      </c>
    </row>
    <row r="1106" ht="15.75" customHeight="1">
      <c r="A1106" s="1">
        <v>39.0</v>
      </c>
      <c r="B1106" s="1">
        <v>12.0</v>
      </c>
      <c r="C1106" s="1">
        <v>25.0</v>
      </c>
      <c r="D1106" s="1">
        <v>14.0</v>
      </c>
      <c r="F1106" s="1" t="str">
        <f>LOOKUP(A1106, NPCs!A:A, NPCs!C:C)</f>
        <v>Persecution</v>
      </c>
      <c r="G1106" s="1" t="str">
        <f>LOOKUP(B1106, Maps!A:A, Maps!B:B)</f>
        <v>Mindless Mines</v>
      </c>
    </row>
    <row r="1107" ht="15.75" customHeight="1">
      <c r="A1107" s="1">
        <v>49.0</v>
      </c>
      <c r="B1107" s="1">
        <v>12.0</v>
      </c>
      <c r="C1107" s="1">
        <v>30.0</v>
      </c>
      <c r="D1107" s="1">
        <v>14.0</v>
      </c>
      <c r="F1107" s="1" t="str">
        <f>LOOKUP(A1107, NPCs!A:A, NPCs!C:C)</f>
        <v>Strong Persecution</v>
      </c>
      <c r="G1107" s="1" t="str">
        <f>LOOKUP(B1107, Maps!A:A, Maps!B:B)</f>
        <v>Mindless Mines</v>
      </c>
    </row>
    <row r="1108" ht="15.75" customHeight="1">
      <c r="A1108" s="1">
        <v>39.0</v>
      </c>
      <c r="B1108" s="1">
        <v>12.0</v>
      </c>
      <c r="C1108" s="1">
        <v>35.0</v>
      </c>
      <c r="D1108" s="1">
        <v>14.0</v>
      </c>
      <c r="F1108" s="1" t="str">
        <f>LOOKUP(A1108, NPCs!A:A, NPCs!C:C)</f>
        <v>Persecution</v>
      </c>
      <c r="G1108" s="1" t="str">
        <f>LOOKUP(B1108, Maps!A:A, Maps!B:B)</f>
        <v>Mindless Mines</v>
      </c>
    </row>
    <row r="1109" ht="15.75" customHeight="1">
      <c r="A1109" s="1">
        <v>49.0</v>
      </c>
      <c r="B1109" s="1">
        <v>12.0</v>
      </c>
      <c r="C1109" s="1">
        <v>40.0</v>
      </c>
      <c r="D1109" s="1">
        <v>14.0</v>
      </c>
      <c r="F1109" s="1" t="str">
        <f>LOOKUP(A1109, NPCs!A:A, NPCs!C:C)</f>
        <v>Strong Persecution</v>
      </c>
      <c r="G1109" s="1" t="str">
        <f>LOOKUP(B1109, Maps!A:A, Maps!B:B)</f>
        <v>Mindless Mines</v>
      </c>
    </row>
    <row r="1110" ht="15.75" customHeight="1">
      <c r="A1110" s="1">
        <v>39.0</v>
      </c>
      <c r="B1110" s="1">
        <v>12.0</v>
      </c>
      <c r="C1110" s="1">
        <v>45.0</v>
      </c>
      <c r="D1110" s="1">
        <v>14.0</v>
      </c>
      <c r="F1110" s="1" t="str">
        <f>LOOKUP(A1110, NPCs!A:A, NPCs!C:C)</f>
        <v>Persecution</v>
      </c>
      <c r="G1110" s="1" t="str">
        <f>LOOKUP(B1110, Maps!A:A, Maps!B:B)</f>
        <v>Mindless Mines</v>
      </c>
    </row>
    <row r="1111" ht="15.75" customHeight="1">
      <c r="A1111" s="1">
        <v>49.0</v>
      </c>
      <c r="B1111" s="1">
        <v>12.0</v>
      </c>
      <c r="C1111" s="1">
        <v>50.0</v>
      </c>
      <c r="D1111" s="1">
        <v>14.0</v>
      </c>
      <c r="F1111" s="1" t="str">
        <f>LOOKUP(A1111, NPCs!A:A, NPCs!C:C)</f>
        <v>Strong Persecution</v>
      </c>
      <c r="G1111" s="1" t="str">
        <f>LOOKUP(B1111, Maps!A:A, Maps!B:B)</f>
        <v>Mindless Mines</v>
      </c>
    </row>
    <row r="1112" ht="15.75" customHeight="1">
      <c r="A1112" s="1">
        <v>39.0</v>
      </c>
      <c r="B1112" s="1">
        <v>12.0</v>
      </c>
      <c r="C1112" s="1">
        <v>55.0</v>
      </c>
      <c r="D1112" s="1">
        <v>14.0</v>
      </c>
      <c r="F1112" s="1" t="str">
        <f>LOOKUP(A1112, NPCs!A:A, NPCs!C:C)</f>
        <v>Persecution</v>
      </c>
      <c r="G1112" s="1" t="str">
        <f>LOOKUP(B1112, Maps!A:A, Maps!B:B)</f>
        <v>Mindless Mines</v>
      </c>
    </row>
    <row r="1113" ht="15.75" customHeight="1">
      <c r="A1113" s="1">
        <v>49.0</v>
      </c>
      <c r="B1113" s="1">
        <v>12.0</v>
      </c>
      <c r="C1113" s="1">
        <v>60.0</v>
      </c>
      <c r="D1113" s="1">
        <v>14.0</v>
      </c>
      <c r="F1113" s="1" t="str">
        <f>LOOKUP(A1113, NPCs!A:A, NPCs!C:C)</f>
        <v>Strong Persecution</v>
      </c>
      <c r="G1113" s="1" t="str">
        <f>LOOKUP(B1113, Maps!A:A, Maps!B:B)</f>
        <v>Mindless Mines</v>
      </c>
    </row>
    <row r="1114" ht="15.75" customHeight="1">
      <c r="A1114" s="1">
        <v>39.0</v>
      </c>
      <c r="B1114" s="1">
        <v>12.0</v>
      </c>
      <c r="C1114" s="1">
        <v>65.0</v>
      </c>
      <c r="D1114" s="1">
        <v>14.0</v>
      </c>
      <c r="F1114" s="1" t="str">
        <f>LOOKUP(A1114, NPCs!A:A, NPCs!C:C)</f>
        <v>Persecution</v>
      </c>
      <c r="G1114" s="1" t="str">
        <f>LOOKUP(B1114, Maps!A:A, Maps!B:B)</f>
        <v>Mindless Mines</v>
      </c>
    </row>
    <row r="1115" ht="15.75" customHeight="1">
      <c r="A1115" s="1">
        <v>49.0</v>
      </c>
      <c r="B1115" s="1">
        <v>12.0</v>
      </c>
      <c r="C1115" s="1">
        <v>80.0</v>
      </c>
      <c r="D1115" s="1">
        <v>14.0</v>
      </c>
      <c r="F1115" s="1" t="str">
        <f>LOOKUP(A1115, NPCs!A:A, NPCs!C:C)</f>
        <v>Strong Persecution</v>
      </c>
      <c r="G1115" s="1" t="str">
        <f>LOOKUP(B1115, Maps!A:A, Maps!B:B)</f>
        <v>Mindless Mines</v>
      </c>
    </row>
    <row r="1116" ht="15.75" customHeight="1">
      <c r="A1116" s="1">
        <v>39.0</v>
      </c>
      <c r="B1116" s="1">
        <v>12.0</v>
      </c>
      <c r="C1116" s="1">
        <v>85.0</v>
      </c>
      <c r="D1116" s="1">
        <v>14.0</v>
      </c>
      <c r="F1116" s="1" t="str">
        <f>LOOKUP(A1116, NPCs!A:A, NPCs!C:C)</f>
        <v>Persecution</v>
      </c>
      <c r="G1116" s="1" t="str">
        <f>LOOKUP(B1116, Maps!A:A, Maps!B:B)</f>
        <v>Mindless Mines</v>
      </c>
    </row>
    <row r="1117" ht="15.75" customHeight="1">
      <c r="A1117" s="1">
        <v>49.0</v>
      </c>
      <c r="B1117" s="1">
        <v>12.0</v>
      </c>
      <c r="C1117" s="1">
        <v>90.0</v>
      </c>
      <c r="D1117" s="1">
        <v>14.0</v>
      </c>
      <c r="F1117" s="1" t="str">
        <f>LOOKUP(A1117, NPCs!A:A, NPCs!C:C)</f>
        <v>Strong Persecution</v>
      </c>
      <c r="G1117" s="1" t="str">
        <f>LOOKUP(B1117, Maps!A:A, Maps!B:B)</f>
        <v>Mindless Mines</v>
      </c>
    </row>
    <row r="1118" ht="15.75" customHeight="1">
      <c r="A1118" s="1">
        <v>39.0</v>
      </c>
      <c r="B1118" s="1">
        <v>12.0</v>
      </c>
      <c r="C1118" s="1">
        <v>92.0</v>
      </c>
      <c r="D1118" s="1">
        <v>14.0</v>
      </c>
      <c r="F1118" s="1" t="str">
        <f>LOOKUP(A1118, NPCs!A:A, NPCs!C:C)</f>
        <v>Persecution</v>
      </c>
      <c r="G1118" s="1" t="str">
        <f>LOOKUP(B1118, Maps!A:A, Maps!B:B)</f>
        <v>Mindless Mines</v>
      </c>
    </row>
    <row r="1119" ht="15.75" customHeight="1">
      <c r="A1119" s="1">
        <v>49.0</v>
      </c>
      <c r="B1119" s="1">
        <v>12.0</v>
      </c>
      <c r="C1119" s="1">
        <v>97.0</v>
      </c>
      <c r="D1119" s="1">
        <v>14.0</v>
      </c>
      <c r="F1119" s="1" t="str">
        <f>LOOKUP(A1119, NPCs!A:A, NPCs!C:C)</f>
        <v>Strong Persecution</v>
      </c>
      <c r="G1119" s="1" t="str">
        <f>LOOKUP(B1119, Maps!A:A, Maps!B:B)</f>
        <v>Mindless Mines</v>
      </c>
    </row>
    <row r="1120" ht="15.75" customHeight="1">
      <c r="A1120" s="1">
        <v>39.0</v>
      </c>
      <c r="B1120" s="1">
        <v>12.0</v>
      </c>
      <c r="C1120" s="1">
        <v>20.0</v>
      </c>
      <c r="D1120" s="1">
        <v>20.0</v>
      </c>
      <c r="F1120" s="1" t="str">
        <f>LOOKUP(A1120, NPCs!A:A, NPCs!C:C)</f>
        <v>Persecution</v>
      </c>
      <c r="G1120" s="1" t="str">
        <f>LOOKUP(B1120, Maps!A:A, Maps!B:B)</f>
        <v>Mindless Mines</v>
      </c>
    </row>
    <row r="1121" ht="15.75" customHeight="1">
      <c r="A1121" s="1">
        <v>49.0</v>
      </c>
      <c r="B1121" s="1">
        <v>12.0</v>
      </c>
      <c r="C1121" s="1">
        <v>25.0</v>
      </c>
      <c r="D1121" s="1">
        <v>20.0</v>
      </c>
      <c r="F1121" s="1" t="str">
        <f>LOOKUP(A1121, NPCs!A:A, NPCs!C:C)</f>
        <v>Strong Persecution</v>
      </c>
      <c r="G1121" s="1" t="str">
        <f>LOOKUP(B1121, Maps!A:A, Maps!B:B)</f>
        <v>Mindless Mines</v>
      </c>
    </row>
    <row r="1122" ht="15.75" customHeight="1">
      <c r="A1122" s="1">
        <v>39.0</v>
      </c>
      <c r="B1122" s="1">
        <v>12.0</v>
      </c>
      <c r="C1122" s="1">
        <v>30.0</v>
      </c>
      <c r="D1122" s="1">
        <v>20.0</v>
      </c>
      <c r="F1122" s="1" t="str">
        <f>LOOKUP(A1122, NPCs!A:A, NPCs!C:C)</f>
        <v>Persecution</v>
      </c>
      <c r="G1122" s="1" t="str">
        <f>LOOKUP(B1122, Maps!A:A, Maps!B:B)</f>
        <v>Mindless Mines</v>
      </c>
    </row>
    <row r="1123" ht="15.75" customHeight="1">
      <c r="A1123" s="1">
        <v>49.0</v>
      </c>
      <c r="B1123" s="1">
        <v>12.0</v>
      </c>
      <c r="C1123" s="1">
        <v>35.0</v>
      </c>
      <c r="D1123" s="1">
        <v>20.0</v>
      </c>
      <c r="F1123" s="1" t="str">
        <f>LOOKUP(A1123, NPCs!A:A, NPCs!C:C)</f>
        <v>Strong Persecution</v>
      </c>
      <c r="G1123" s="1" t="str">
        <f>LOOKUP(B1123, Maps!A:A, Maps!B:B)</f>
        <v>Mindless Mines</v>
      </c>
    </row>
    <row r="1124" ht="15.75" customHeight="1">
      <c r="A1124" s="1">
        <v>39.0</v>
      </c>
      <c r="B1124" s="1">
        <v>12.0</v>
      </c>
      <c r="C1124" s="1">
        <v>40.0</v>
      </c>
      <c r="D1124" s="1">
        <v>20.0</v>
      </c>
      <c r="F1124" s="1" t="str">
        <f>LOOKUP(A1124, NPCs!A:A, NPCs!C:C)</f>
        <v>Persecution</v>
      </c>
      <c r="G1124" s="1" t="str">
        <f>LOOKUP(B1124, Maps!A:A, Maps!B:B)</f>
        <v>Mindless Mines</v>
      </c>
    </row>
    <row r="1125" ht="15.75" customHeight="1">
      <c r="A1125" s="1">
        <v>49.0</v>
      </c>
      <c r="B1125" s="1">
        <v>12.0</v>
      </c>
      <c r="C1125" s="1">
        <v>45.0</v>
      </c>
      <c r="D1125" s="1">
        <v>20.0</v>
      </c>
      <c r="F1125" s="1" t="str">
        <f>LOOKUP(A1125, NPCs!A:A, NPCs!C:C)</f>
        <v>Strong Persecution</v>
      </c>
      <c r="G1125" s="1" t="str">
        <f>LOOKUP(B1125, Maps!A:A, Maps!B:B)</f>
        <v>Mindless Mines</v>
      </c>
    </row>
    <row r="1126" ht="15.75" customHeight="1">
      <c r="A1126" s="1">
        <v>39.0</v>
      </c>
      <c r="B1126" s="1">
        <v>12.0</v>
      </c>
      <c r="C1126" s="1">
        <v>50.0</v>
      </c>
      <c r="D1126" s="1">
        <v>20.0</v>
      </c>
      <c r="F1126" s="1" t="str">
        <f>LOOKUP(A1126, NPCs!A:A, NPCs!C:C)</f>
        <v>Persecution</v>
      </c>
      <c r="G1126" s="1" t="str">
        <f>LOOKUP(B1126, Maps!A:A, Maps!B:B)</f>
        <v>Mindless Mines</v>
      </c>
    </row>
    <row r="1127" ht="15.75" customHeight="1">
      <c r="A1127" s="1">
        <v>49.0</v>
      </c>
      <c r="B1127" s="1">
        <v>12.0</v>
      </c>
      <c r="C1127" s="1">
        <v>55.0</v>
      </c>
      <c r="D1127" s="1">
        <v>20.0</v>
      </c>
      <c r="F1127" s="1" t="str">
        <f>LOOKUP(A1127, NPCs!A:A, NPCs!C:C)</f>
        <v>Strong Persecution</v>
      </c>
      <c r="G1127" s="1" t="str">
        <f>LOOKUP(B1127, Maps!A:A, Maps!B:B)</f>
        <v>Mindless Mines</v>
      </c>
    </row>
    <row r="1128" ht="15.75" customHeight="1">
      <c r="A1128" s="1">
        <v>39.0</v>
      </c>
      <c r="B1128" s="1">
        <v>12.0</v>
      </c>
      <c r="C1128" s="1">
        <v>60.0</v>
      </c>
      <c r="D1128" s="1">
        <v>20.0</v>
      </c>
      <c r="F1128" s="1" t="str">
        <f>LOOKUP(A1128, NPCs!A:A, NPCs!C:C)</f>
        <v>Persecution</v>
      </c>
      <c r="G1128" s="1" t="str">
        <f>LOOKUP(B1128, Maps!A:A, Maps!B:B)</f>
        <v>Mindless Mines</v>
      </c>
    </row>
    <row r="1129" ht="15.75" customHeight="1">
      <c r="A1129" s="1">
        <v>49.0</v>
      </c>
      <c r="B1129" s="1">
        <v>12.0</v>
      </c>
      <c r="C1129" s="1">
        <v>65.0</v>
      </c>
      <c r="D1129" s="1">
        <v>20.0</v>
      </c>
      <c r="F1129" s="1" t="str">
        <f>LOOKUP(A1129, NPCs!A:A, NPCs!C:C)</f>
        <v>Strong Persecution</v>
      </c>
      <c r="G1129" s="1" t="str">
        <f>LOOKUP(B1129, Maps!A:A, Maps!B:B)</f>
        <v>Mindless Mines</v>
      </c>
    </row>
    <row r="1130" ht="15.75" customHeight="1">
      <c r="A1130" s="1">
        <v>39.0</v>
      </c>
      <c r="B1130" s="1">
        <v>12.0</v>
      </c>
      <c r="C1130" s="1">
        <v>80.0</v>
      </c>
      <c r="D1130" s="1">
        <v>20.0</v>
      </c>
      <c r="F1130" s="1" t="str">
        <f>LOOKUP(A1130, NPCs!A:A, NPCs!C:C)</f>
        <v>Persecution</v>
      </c>
      <c r="G1130" s="1" t="str">
        <f>LOOKUP(B1130, Maps!A:A, Maps!B:B)</f>
        <v>Mindless Mines</v>
      </c>
    </row>
    <row r="1131" ht="15.75" customHeight="1">
      <c r="A1131" s="1">
        <v>49.0</v>
      </c>
      <c r="B1131" s="1">
        <v>12.0</v>
      </c>
      <c r="C1131" s="1">
        <v>85.0</v>
      </c>
      <c r="D1131" s="1">
        <v>20.0</v>
      </c>
      <c r="F1131" s="1" t="str">
        <f>LOOKUP(A1131, NPCs!A:A, NPCs!C:C)</f>
        <v>Strong Persecution</v>
      </c>
      <c r="G1131" s="1" t="str">
        <f>LOOKUP(B1131, Maps!A:A, Maps!B:B)</f>
        <v>Mindless Mines</v>
      </c>
    </row>
    <row r="1132" ht="15.75" customHeight="1">
      <c r="A1132" s="1">
        <v>39.0</v>
      </c>
      <c r="B1132" s="1">
        <v>12.0</v>
      </c>
      <c r="C1132" s="1">
        <v>90.0</v>
      </c>
      <c r="D1132" s="1">
        <v>20.0</v>
      </c>
      <c r="F1132" s="1" t="str">
        <f>LOOKUP(A1132, NPCs!A:A, NPCs!C:C)</f>
        <v>Persecution</v>
      </c>
      <c r="G1132" s="1" t="str">
        <f>LOOKUP(B1132, Maps!A:A, Maps!B:B)</f>
        <v>Mindless Mines</v>
      </c>
    </row>
    <row r="1133" ht="15.75" customHeight="1">
      <c r="A1133" s="1">
        <v>49.0</v>
      </c>
      <c r="B1133" s="1">
        <v>12.0</v>
      </c>
      <c r="C1133" s="1">
        <v>92.0</v>
      </c>
      <c r="D1133" s="1">
        <v>20.0</v>
      </c>
      <c r="F1133" s="1" t="str">
        <f>LOOKUP(A1133, NPCs!A:A, NPCs!C:C)</f>
        <v>Strong Persecution</v>
      </c>
      <c r="G1133" s="1" t="str">
        <f>LOOKUP(B1133, Maps!A:A, Maps!B:B)</f>
        <v>Mindless Mines</v>
      </c>
    </row>
    <row r="1134" ht="15.75" customHeight="1">
      <c r="A1134" s="1">
        <v>39.0</v>
      </c>
      <c r="B1134" s="1">
        <v>12.0</v>
      </c>
      <c r="C1134" s="1">
        <v>97.0</v>
      </c>
      <c r="D1134" s="1">
        <v>20.0</v>
      </c>
      <c r="F1134" s="1" t="str">
        <f>LOOKUP(A1134, NPCs!A:A, NPCs!C:C)</f>
        <v>Persecution</v>
      </c>
      <c r="G1134" s="1" t="str">
        <f>LOOKUP(B1134, Maps!A:A, Maps!B:B)</f>
        <v>Mindless Mines</v>
      </c>
    </row>
    <row r="1135" ht="15.75" customHeight="1">
      <c r="A1135" s="1">
        <v>49.0</v>
      </c>
      <c r="B1135" s="1">
        <v>12.0</v>
      </c>
      <c r="C1135" s="1">
        <v>20.0</v>
      </c>
      <c r="D1135" s="1">
        <v>34.0</v>
      </c>
      <c r="F1135" s="1" t="str">
        <f>LOOKUP(A1135, NPCs!A:A, NPCs!C:C)</f>
        <v>Strong Persecution</v>
      </c>
      <c r="G1135" s="1" t="str">
        <f>LOOKUP(B1135, Maps!A:A, Maps!B:B)</f>
        <v>Mindless Mines</v>
      </c>
    </row>
    <row r="1136" ht="15.75" customHeight="1">
      <c r="A1136" s="1">
        <v>39.0</v>
      </c>
      <c r="B1136" s="1">
        <v>12.0</v>
      </c>
      <c r="C1136" s="1">
        <v>25.0</v>
      </c>
      <c r="D1136" s="1">
        <v>34.0</v>
      </c>
      <c r="F1136" s="1" t="str">
        <f>LOOKUP(A1136, NPCs!A:A, NPCs!C:C)</f>
        <v>Persecution</v>
      </c>
      <c r="G1136" s="1" t="str">
        <f>LOOKUP(B1136, Maps!A:A, Maps!B:B)</f>
        <v>Mindless Mines</v>
      </c>
    </row>
    <row r="1137" ht="15.75" customHeight="1">
      <c r="A1137" s="1">
        <v>49.0</v>
      </c>
      <c r="B1137" s="1">
        <v>12.0</v>
      </c>
      <c r="C1137" s="1">
        <v>30.0</v>
      </c>
      <c r="D1137" s="1">
        <v>34.0</v>
      </c>
      <c r="F1137" s="1" t="str">
        <f>LOOKUP(A1137, NPCs!A:A, NPCs!C:C)</f>
        <v>Strong Persecution</v>
      </c>
      <c r="G1137" s="1" t="str">
        <f>LOOKUP(B1137, Maps!A:A, Maps!B:B)</f>
        <v>Mindless Mines</v>
      </c>
    </row>
    <row r="1138" ht="15.75" customHeight="1">
      <c r="A1138" s="1">
        <v>39.0</v>
      </c>
      <c r="B1138" s="1">
        <v>12.0</v>
      </c>
      <c r="C1138" s="1">
        <v>35.0</v>
      </c>
      <c r="D1138" s="1">
        <v>34.0</v>
      </c>
      <c r="F1138" s="1" t="str">
        <f>LOOKUP(A1138, NPCs!A:A, NPCs!C:C)</f>
        <v>Persecution</v>
      </c>
      <c r="G1138" s="1" t="str">
        <f>LOOKUP(B1138, Maps!A:A, Maps!B:B)</f>
        <v>Mindless Mines</v>
      </c>
    </row>
    <row r="1139" ht="15.75" customHeight="1">
      <c r="A1139" s="1">
        <v>49.0</v>
      </c>
      <c r="B1139" s="1">
        <v>12.0</v>
      </c>
      <c r="C1139" s="1">
        <v>40.0</v>
      </c>
      <c r="D1139" s="1">
        <v>34.0</v>
      </c>
      <c r="F1139" s="1" t="str">
        <f>LOOKUP(A1139, NPCs!A:A, NPCs!C:C)</f>
        <v>Strong Persecution</v>
      </c>
      <c r="G1139" s="1" t="str">
        <f>LOOKUP(B1139, Maps!A:A, Maps!B:B)</f>
        <v>Mindless Mines</v>
      </c>
    </row>
    <row r="1140" ht="15.75" customHeight="1">
      <c r="A1140" s="1">
        <v>39.0</v>
      </c>
      <c r="B1140" s="1">
        <v>12.0</v>
      </c>
      <c r="C1140" s="1">
        <v>45.0</v>
      </c>
      <c r="D1140" s="1">
        <v>34.0</v>
      </c>
      <c r="F1140" s="1" t="str">
        <f>LOOKUP(A1140, NPCs!A:A, NPCs!C:C)</f>
        <v>Persecution</v>
      </c>
      <c r="G1140" s="1" t="str">
        <f>LOOKUP(B1140, Maps!A:A, Maps!B:B)</f>
        <v>Mindless Mines</v>
      </c>
    </row>
    <row r="1141" ht="15.75" customHeight="1">
      <c r="A1141" s="1">
        <v>49.0</v>
      </c>
      <c r="B1141" s="1">
        <v>12.0</v>
      </c>
      <c r="C1141" s="1">
        <v>50.0</v>
      </c>
      <c r="D1141" s="1">
        <v>34.0</v>
      </c>
      <c r="F1141" s="1" t="str">
        <f>LOOKUP(A1141, NPCs!A:A, NPCs!C:C)</f>
        <v>Strong Persecution</v>
      </c>
      <c r="G1141" s="1" t="str">
        <f>LOOKUP(B1141, Maps!A:A, Maps!B:B)</f>
        <v>Mindless Mines</v>
      </c>
    </row>
    <row r="1142" ht="15.75" customHeight="1">
      <c r="A1142" s="1">
        <v>39.0</v>
      </c>
      <c r="B1142" s="1">
        <v>12.0</v>
      </c>
      <c r="C1142" s="1">
        <v>55.0</v>
      </c>
      <c r="D1142" s="1">
        <v>34.0</v>
      </c>
      <c r="F1142" s="1" t="str">
        <f>LOOKUP(A1142, NPCs!A:A, NPCs!C:C)</f>
        <v>Persecution</v>
      </c>
      <c r="G1142" s="1" t="str">
        <f>LOOKUP(B1142, Maps!A:A, Maps!B:B)</f>
        <v>Mindless Mines</v>
      </c>
    </row>
    <row r="1143" ht="15.75" customHeight="1">
      <c r="A1143" s="1">
        <v>49.0</v>
      </c>
      <c r="B1143" s="1">
        <v>12.0</v>
      </c>
      <c r="C1143" s="1">
        <v>60.0</v>
      </c>
      <c r="D1143" s="1">
        <v>34.0</v>
      </c>
      <c r="F1143" s="1" t="str">
        <f>LOOKUP(A1143, NPCs!A:A, NPCs!C:C)</f>
        <v>Strong Persecution</v>
      </c>
      <c r="G1143" s="1" t="str">
        <f>LOOKUP(B1143, Maps!A:A, Maps!B:B)</f>
        <v>Mindless Mines</v>
      </c>
    </row>
    <row r="1144" ht="15.75" customHeight="1">
      <c r="A1144" s="1">
        <v>39.0</v>
      </c>
      <c r="B1144" s="1">
        <v>12.0</v>
      </c>
      <c r="C1144" s="1">
        <v>65.0</v>
      </c>
      <c r="D1144" s="1">
        <v>34.0</v>
      </c>
      <c r="F1144" s="1" t="str">
        <f>LOOKUP(A1144, NPCs!A:A, NPCs!C:C)</f>
        <v>Persecution</v>
      </c>
      <c r="G1144" s="1" t="str">
        <f>LOOKUP(B1144, Maps!A:A, Maps!B:B)</f>
        <v>Mindless Mines</v>
      </c>
    </row>
    <row r="1145" ht="15.75" customHeight="1">
      <c r="A1145" s="1">
        <v>49.0</v>
      </c>
      <c r="B1145" s="1">
        <v>12.0</v>
      </c>
      <c r="C1145" s="1">
        <v>80.0</v>
      </c>
      <c r="D1145" s="1">
        <v>34.0</v>
      </c>
      <c r="F1145" s="1" t="str">
        <f>LOOKUP(A1145, NPCs!A:A, NPCs!C:C)</f>
        <v>Strong Persecution</v>
      </c>
      <c r="G1145" s="1" t="str">
        <f>LOOKUP(B1145, Maps!A:A, Maps!B:B)</f>
        <v>Mindless Mines</v>
      </c>
    </row>
    <row r="1146" ht="15.75" customHeight="1">
      <c r="A1146" s="1">
        <v>39.0</v>
      </c>
      <c r="B1146" s="1">
        <v>12.0</v>
      </c>
      <c r="C1146" s="1">
        <v>85.0</v>
      </c>
      <c r="D1146" s="1">
        <v>34.0</v>
      </c>
      <c r="F1146" s="1" t="str">
        <f>LOOKUP(A1146, NPCs!A:A, NPCs!C:C)</f>
        <v>Persecution</v>
      </c>
      <c r="G1146" s="1" t="str">
        <f>LOOKUP(B1146, Maps!A:A, Maps!B:B)</f>
        <v>Mindless Mines</v>
      </c>
    </row>
    <row r="1147" ht="15.75" customHeight="1">
      <c r="A1147" s="1">
        <v>49.0</v>
      </c>
      <c r="B1147" s="1">
        <v>12.0</v>
      </c>
      <c r="C1147" s="1">
        <v>90.0</v>
      </c>
      <c r="D1147" s="1">
        <v>34.0</v>
      </c>
      <c r="F1147" s="1" t="str">
        <f>LOOKUP(A1147, NPCs!A:A, NPCs!C:C)</f>
        <v>Strong Persecution</v>
      </c>
      <c r="G1147" s="1" t="str">
        <f>LOOKUP(B1147, Maps!A:A, Maps!B:B)</f>
        <v>Mindless Mines</v>
      </c>
    </row>
    <row r="1148" ht="15.75" customHeight="1">
      <c r="A1148" s="1">
        <v>39.0</v>
      </c>
      <c r="B1148" s="1">
        <v>12.0</v>
      </c>
      <c r="C1148" s="1">
        <v>92.0</v>
      </c>
      <c r="D1148" s="1">
        <v>34.0</v>
      </c>
      <c r="F1148" s="1" t="str">
        <f>LOOKUP(A1148, NPCs!A:A, NPCs!C:C)</f>
        <v>Persecution</v>
      </c>
      <c r="G1148" s="1" t="str">
        <f>LOOKUP(B1148, Maps!A:A, Maps!B:B)</f>
        <v>Mindless Mines</v>
      </c>
    </row>
    <row r="1149" ht="15.75" customHeight="1">
      <c r="A1149" s="1">
        <v>49.0</v>
      </c>
      <c r="B1149" s="1">
        <v>12.0</v>
      </c>
      <c r="C1149" s="1">
        <v>97.0</v>
      </c>
      <c r="D1149" s="1">
        <v>34.0</v>
      </c>
      <c r="F1149" s="1" t="str">
        <f>LOOKUP(A1149, NPCs!A:A, NPCs!C:C)</f>
        <v>Strong Persecution</v>
      </c>
      <c r="G1149" s="1" t="str">
        <f>LOOKUP(B1149, Maps!A:A, Maps!B:B)</f>
        <v>Mindless Mines</v>
      </c>
    </row>
    <row r="1150" ht="15.75" customHeight="1">
      <c r="A1150" s="1">
        <v>39.0</v>
      </c>
      <c r="B1150" s="1">
        <v>12.0</v>
      </c>
      <c r="C1150" s="1">
        <v>20.0</v>
      </c>
      <c r="D1150" s="1">
        <v>40.0</v>
      </c>
      <c r="F1150" s="1" t="str">
        <f>LOOKUP(A1150, NPCs!A:A, NPCs!C:C)</f>
        <v>Persecution</v>
      </c>
      <c r="G1150" s="1" t="str">
        <f>LOOKUP(B1150, Maps!A:A, Maps!B:B)</f>
        <v>Mindless Mines</v>
      </c>
    </row>
    <row r="1151" ht="15.75" customHeight="1">
      <c r="A1151" s="1">
        <v>49.0</v>
      </c>
      <c r="B1151" s="1">
        <v>12.0</v>
      </c>
      <c r="C1151" s="1">
        <v>25.0</v>
      </c>
      <c r="D1151" s="1">
        <v>40.0</v>
      </c>
      <c r="F1151" s="1" t="str">
        <f>LOOKUP(A1151, NPCs!A:A, NPCs!C:C)</f>
        <v>Strong Persecution</v>
      </c>
      <c r="G1151" s="1" t="str">
        <f>LOOKUP(B1151, Maps!A:A, Maps!B:B)</f>
        <v>Mindless Mines</v>
      </c>
    </row>
    <row r="1152" ht="15.75" customHeight="1">
      <c r="A1152" s="1">
        <v>39.0</v>
      </c>
      <c r="B1152" s="1">
        <v>12.0</v>
      </c>
      <c r="C1152" s="1">
        <v>30.0</v>
      </c>
      <c r="D1152" s="1">
        <v>40.0</v>
      </c>
      <c r="F1152" s="1" t="str">
        <f>LOOKUP(A1152, NPCs!A:A, NPCs!C:C)</f>
        <v>Persecution</v>
      </c>
      <c r="G1152" s="1" t="str">
        <f>LOOKUP(B1152, Maps!A:A, Maps!B:B)</f>
        <v>Mindless Mines</v>
      </c>
    </row>
    <row r="1153" ht="15.75" customHeight="1">
      <c r="A1153" s="1">
        <v>49.0</v>
      </c>
      <c r="B1153" s="1">
        <v>12.0</v>
      </c>
      <c r="C1153" s="1">
        <v>35.0</v>
      </c>
      <c r="D1153" s="1">
        <v>40.0</v>
      </c>
      <c r="F1153" s="1" t="str">
        <f>LOOKUP(A1153, NPCs!A:A, NPCs!C:C)</f>
        <v>Strong Persecution</v>
      </c>
      <c r="G1153" s="1" t="str">
        <f>LOOKUP(B1153, Maps!A:A, Maps!B:B)</f>
        <v>Mindless Mines</v>
      </c>
    </row>
    <row r="1154" ht="15.75" customHeight="1">
      <c r="A1154" s="1">
        <v>39.0</v>
      </c>
      <c r="B1154" s="1">
        <v>12.0</v>
      </c>
      <c r="C1154" s="1">
        <v>40.0</v>
      </c>
      <c r="D1154" s="1">
        <v>40.0</v>
      </c>
      <c r="F1154" s="1" t="str">
        <f>LOOKUP(A1154, NPCs!A:A, NPCs!C:C)</f>
        <v>Persecution</v>
      </c>
      <c r="G1154" s="1" t="str">
        <f>LOOKUP(B1154, Maps!A:A, Maps!B:B)</f>
        <v>Mindless Mines</v>
      </c>
    </row>
    <row r="1155" ht="15.75" customHeight="1">
      <c r="A1155" s="1">
        <v>49.0</v>
      </c>
      <c r="B1155" s="1">
        <v>12.0</v>
      </c>
      <c r="C1155" s="1">
        <v>45.0</v>
      </c>
      <c r="D1155" s="1">
        <v>40.0</v>
      </c>
      <c r="F1155" s="1" t="str">
        <f>LOOKUP(A1155, NPCs!A:A, NPCs!C:C)</f>
        <v>Strong Persecution</v>
      </c>
      <c r="G1155" s="1" t="str">
        <f>LOOKUP(B1155, Maps!A:A, Maps!B:B)</f>
        <v>Mindless Mines</v>
      </c>
    </row>
    <row r="1156" ht="15.75" customHeight="1">
      <c r="A1156" s="1">
        <v>39.0</v>
      </c>
      <c r="B1156" s="1">
        <v>12.0</v>
      </c>
      <c r="C1156" s="1">
        <v>50.0</v>
      </c>
      <c r="D1156" s="1">
        <v>40.0</v>
      </c>
      <c r="F1156" s="1" t="str">
        <f>LOOKUP(A1156, NPCs!A:A, NPCs!C:C)</f>
        <v>Persecution</v>
      </c>
      <c r="G1156" s="1" t="str">
        <f>LOOKUP(B1156, Maps!A:A, Maps!B:B)</f>
        <v>Mindless Mines</v>
      </c>
    </row>
    <row r="1157" ht="15.75" customHeight="1">
      <c r="A1157" s="1">
        <v>49.0</v>
      </c>
      <c r="B1157" s="1">
        <v>12.0</v>
      </c>
      <c r="C1157" s="1">
        <v>55.0</v>
      </c>
      <c r="D1157" s="1">
        <v>40.0</v>
      </c>
      <c r="F1157" s="1" t="str">
        <f>LOOKUP(A1157, NPCs!A:A, NPCs!C:C)</f>
        <v>Strong Persecution</v>
      </c>
      <c r="G1157" s="1" t="str">
        <f>LOOKUP(B1157, Maps!A:A, Maps!B:B)</f>
        <v>Mindless Mines</v>
      </c>
    </row>
    <row r="1158" ht="15.75" customHeight="1">
      <c r="A1158" s="1">
        <v>39.0</v>
      </c>
      <c r="B1158" s="1">
        <v>12.0</v>
      </c>
      <c r="C1158" s="1">
        <v>60.0</v>
      </c>
      <c r="D1158" s="1">
        <v>40.0</v>
      </c>
      <c r="F1158" s="1" t="str">
        <f>LOOKUP(A1158, NPCs!A:A, NPCs!C:C)</f>
        <v>Persecution</v>
      </c>
      <c r="G1158" s="1" t="str">
        <f>LOOKUP(B1158, Maps!A:A, Maps!B:B)</f>
        <v>Mindless Mines</v>
      </c>
    </row>
    <row r="1159" ht="15.75" customHeight="1">
      <c r="A1159" s="1">
        <v>49.0</v>
      </c>
      <c r="B1159" s="1">
        <v>12.0</v>
      </c>
      <c r="C1159" s="1">
        <v>65.0</v>
      </c>
      <c r="D1159" s="1">
        <v>40.0</v>
      </c>
      <c r="F1159" s="1" t="str">
        <f>LOOKUP(A1159, NPCs!A:A, NPCs!C:C)</f>
        <v>Strong Persecution</v>
      </c>
      <c r="G1159" s="1" t="str">
        <f>LOOKUP(B1159, Maps!A:A, Maps!B:B)</f>
        <v>Mindless Mines</v>
      </c>
    </row>
    <row r="1160" ht="15.75" customHeight="1">
      <c r="A1160" s="1">
        <v>39.0</v>
      </c>
      <c r="B1160" s="1">
        <v>12.0</v>
      </c>
      <c r="C1160" s="1">
        <v>80.0</v>
      </c>
      <c r="D1160" s="1">
        <v>40.0</v>
      </c>
      <c r="F1160" s="1" t="str">
        <f>LOOKUP(A1160, NPCs!A:A, NPCs!C:C)</f>
        <v>Persecution</v>
      </c>
      <c r="G1160" s="1" t="str">
        <f>LOOKUP(B1160, Maps!A:A, Maps!B:B)</f>
        <v>Mindless Mines</v>
      </c>
    </row>
    <row r="1161" ht="15.75" customHeight="1">
      <c r="A1161" s="1">
        <v>49.0</v>
      </c>
      <c r="B1161" s="1">
        <v>12.0</v>
      </c>
      <c r="C1161" s="1">
        <v>85.0</v>
      </c>
      <c r="D1161" s="1">
        <v>40.0</v>
      </c>
      <c r="F1161" s="1" t="str">
        <f>LOOKUP(A1161, NPCs!A:A, NPCs!C:C)</f>
        <v>Strong Persecution</v>
      </c>
      <c r="G1161" s="1" t="str">
        <f>LOOKUP(B1161, Maps!A:A, Maps!B:B)</f>
        <v>Mindless Mines</v>
      </c>
    </row>
    <row r="1162" ht="15.75" customHeight="1">
      <c r="A1162" s="1">
        <v>39.0</v>
      </c>
      <c r="B1162" s="1">
        <v>12.0</v>
      </c>
      <c r="C1162" s="1">
        <v>90.0</v>
      </c>
      <c r="D1162" s="1">
        <v>40.0</v>
      </c>
      <c r="F1162" s="1" t="str">
        <f>LOOKUP(A1162, NPCs!A:A, NPCs!C:C)</f>
        <v>Persecution</v>
      </c>
      <c r="G1162" s="1" t="str">
        <f>LOOKUP(B1162, Maps!A:A, Maps!B:B)</f>
        <v>Mindless Mines</v>
      </c>
    </row>
    <row r="1163" ht="15.75" customHeight="1">
      <c r="A1163" s="1">
        <v>49.0</v>
      </c>
      <c r="B1163" s="1">
        <v>12.0</v>
      </c>
      <c r="C1163" s="1">
        <v>92.0</v>
      </c>
      <c r="D1163" s="1">
        <v>40.0</v>
      </c>
      <c r="F1163" s="1" t="str">
        <f>LOOKUP(A1163, NPCs!A:A, NPCs!C:C)</f>
        <v>Strong Persecution</v>
      </c>
      <c r="G1163" s="1" t="str">
        <f>LOOKUP(B1163, Maps!A:A, Maps!B:B)</f>
        <v>Mindless Mines</v>
      </c>
    </row>
    <row r="1164" ht="15.75" customHeight="1">
      <c r="A1164" s="1">
        <v>39.0</v>
      </c>
      <c r="B1164" s="1">
        <v>12.0</v>
      </c>
      <c r="C1164" s="1">
        <v>97.0</v>
      </c>
      <c r="D1164" s="1">
        <v>40.0</v>
      </c>
      <c r="F1164" s="1" t="str">
        <f>LOOKUP(A1164, NPCs!A:A, NPCs!C:C)</f>
        <v>Persecution</v>
      </c>
      <c r="G1164" s="1" t="str">
        <f>LOOKUP(B1164, Maps!A:A, Maps!B:B)</f>
        <v>Mindless Mines</v>
      </c>
    </row>
    <row r="1165" ht="15.75" customHeight="1">
      <c r="A1165" s="1">
        <v>49.0</v>
      </c>
      <c r="B1165" s="1">
        <v>12.0</v>
      </c>
      <c r="C1165" s="1">
        <v>20.0</v>
      </c>
      <c r="D1165" s="1">
        <v>50.0</v>
      </c>
      <c r="F1165" s="1" t="str">
        <f>LOOKUP(A1165, NPCs!A:A, NPCs!C:C)</f>
        <v>Strong Persecution</v>
      </c>
      <c r="G1165" s="1" t="str">
        <f>LOOKUP(B1165, Maps!A:A, Maps!B:B)</f>
        <v>Mindless Mines</v>
      </c>
    </row>
    <row r="1166" ht="15.75" customHeight="1">
      <c r="A1166" s="1">
        <v>39.0</v>
      </c>
      <c r="B1166" s="1">
        <v>12.0</v>
      </c>
      <c r="C1166" s="1">
        <v>25.0</v>
      </c>
      <c r="D1166" s="1">
        <v>50.0</v>
      </c>
      <c r="F1166" s="1" t="str">
        <f>LOOKUP(A1166, NPCs!A:A, NPCs!C:C)</f>
        <v>Persecution</v>
      </c>
      <c r="G1166" s="1" t="str">
        <f>LOOKUP(B1166, Maps!A:A, Maps!B:B)</f>
        <v>Mindless Mines</v>
      </c>
    </row>
    <row r="1167" ht="15.75" customHeight="1">
      <c r="A1167" s="1">
        <v>49.0</v>
      </c>
      <c r="B1167" s="1">
        <v>12.0</v>
      </c>
      <c r="C1167" s="1">
        <v>30.0</v>
      </c>
      <c r="D1167" s="1">
        <v>50.0</v>
      </c>
      <c r="F1167" s="1" t="str">
        <f>LOOKUP(A1167, NPCs!A:A, NPCs!C:C)</f>
        <v>Strong Persecution</v>
      </c>
      <c r="G1167" s="1" t="str">
        <f>LOOKUP(B1167, Maps!A:A, Maps!B:B)</f>
        <v>Mindless Mines</v>
      </c>
    </row>
    <row r="1168" ht="15.75" customHeight="1">
      <c r="A1168" s="1">
        <v>39.0</v>
      </c>
      <c r="B1168" s="1">
        <v>12.0</v>
      </c>
      <c r="C1168" s="1">
        <v>35.0</v>
      </c>
      <c r="D1168" s="1">
        <v>50.0</v>
      </c>
      <c r="F1168" s="1" t="str">
        <f>LOOKUP(A1168, NPCs!A:A, NPCs!C:C)</f>
        <v>Persecution</v>
      </c>
      <c r="G1168" s="1" t="str">
        <f>LOOKUP(B1168, Maps!A:A, Maps!B:B)</f>
        <v>Mindless Mines</v>
      </c>
    </row>
    <row r="1169" ht="15.75" customHeight="1">
      <c r="A1169" s="1">
        <v>49.0</v>
      </c>
      <c r="B1169" s="1">
        <v>12.0</v>
      </c>
      <c r="C1169" s="1">
        <v>40.0</v>
      </c>
      <c r="D1169" s="1">
        <v>50.0</v>
      </c>
      <c r="F1169" s="1" t="str">
        <f>LOOKUP(A1169, NPCs!A:A, NPCs!C:C)</f>
        <v>Strong Persecution</v>
      </c>
      <c r="G1169" s="1" t="str">
        <f>LOOKUP(B1169, Maps!A:A, Maps!B:B)</f>
        <v>Mindless Mines</v>
      </c>
    </row>
    <row r="1170" ht="15.75" customHeight="1">
      <c r="A1170" s="1">
        <v>39.0</v>
      </c>
      <c r="B1170" s="1">
        <v>12.0</v>
      </c>
      <c r="C1170" s="1">
        <v>45.0</v>
      </c>
      <c r="D1170" s="1">
        <v>50.0</v>
      </c>
      <c r="F1170" s="1" t="str">
        <f>LOOKUP(A1170, NPCs!A:A, NPCs!C:C)</f>
        <v>Persecution</v>
      </c>
      <c r="G1170" s="1" t="str">
        <f>LOOKUP(B1170, Maps!A:A, Maps!B:B)</f>
        <v>Mindless Mines</v>
      </c>
    </row>
    <row r="1171" ht="15.75" customHeight="1">
      <c r="A1171" s="1">
        <v>49.0</v>
      </c>
      <c r="B1171" s="1">
        <v>12.0</v>
      </c>
      <c r="C1171" s="1">
        <v>50.0</v>
      </c>
      <c r="D1171" s="1">
        <v>50.0</v>
      </c>
      <c r="F1171" s="1" t="str">
        <f>LOOKUP(A1171, NPCs!A:A, NPCs!C:C)</f>
        <v>Strong Persecution</v>
      </c>
      <c r="G1171" s="1" t="str">
        <f>LOOKUP(B1171, Maps!A:A, Maps!B:B)</f>
        <v>Mindless Mines</v>
      </c>
    </row>
    <row r="1172" ht="15.75" customHeight="1">
      <c r="A1172" s="1">
        <v>39.0</v>
      </c>
      <c r="B1172" s="1">
        <v>12.0</v>
      </c>
      <c r="C1172" s="1">
        <v>55.0</v>
      </c>
      <c r="D1172" s="1">
        <v>50.0</v>
      </c>
      <c r="F1172" s="1" t="str">
        <f>LOOKUP(A1172, NPCs!A:A, NPCs!C:C)</f>
        <v>Persecution</v>
      </c>
      <c r="G1172" s="1" t="str">
        <f>LOOKUP(B1172, Maps!A:A, Maps!B:B)</f>
        <v>Mindless Mines</v>
      </c>
    </row>
    <row r="1173" ht="15.75" customHeight="1">
      <c r="A1173" s="1">
        <v>49.0</v>
      </c>
      <c r="B1173" s="1">
        <v>12.0</v>
      </c>
      <c r="C1173" s="1">
        <v>60.0</v>
      </c>
      <c r="D1173" s="1">
        <v>50.0</v>
      </c>
      <c r="F1173" s="1" t="str">
        <f>LOOKUP(A1173, NPCs!A:A, NPCs!C:C)</f>
        <v>Strong Persecution</v>
      </c>
      <c r="G1173" s="1" t="str">
        <f>LOOKUP(B1173, Maps!A:A, Maps!B:B)</f>
        <v>Mindless Mines</v>
      </c>
    </row>
    <row r="1174" ht="15.75" customHeight="1">
      <c r="A1174" s="1">
        <v>39.0</v>
      </c>
      <c r="B1174" s="1">
        <v>12.0</v>
      </c>
      <c r="C1174" s="1">
        <v>65.0</v>
      </c>
      <c r="D1174" s="1">
        <v>50.0</v>
      </c>
      <c r="F1174" s="1" t="str">
        <f>LOOKUP(A1174, NPCs!A:A, NPCs!C:C)</f>
        <v>Persecution</v>
      </c>
      <c r="G1174" s="1" t="str">
        <f>LOOKUP(B1174, Maps!A:A, Maps!B:B)</f>
        <v>Mindless Mines</v>
      </c>
    </row>
    <row r="1175" ht="15.75" customHeight="1">
      <c r="A1175" s="1">
        <v>49.0</v>
      </c>
      <c r="B1175" s="1">
        <v>12.0</v>
      </c>
      <c r="C1175" s="1">
        <v>80.0</v>
      </c>
      <c r="D1175" s="1">
        <v>50.0</v>
      </c>
      <c r="F1175" s="1" t="str">
        <f>LOOKUP(A1175, NPCs!A:A, NPCs!C:C)</f>
        <v>Strong Persecution</v>
      </c>
      <c r="G1175" s="1" t="str">
        <f>LOOKUP(B1175, Maps!A:A, Maps!B:B)</f>
        <v>Mindless Mines</v>
      </c>
    </row>
    <row r="1176" ht="15.75" customHeight="1">
      <c r="A1176" s="1">
        <v>39.0</v>
      </c>
      <c r="B1176" s="1">
        <v>12.0</v>
      </c>
      <c r="C1176" s="1">
        <v>85.0</v>
      </c>
      <c r="D1176" s="1">
        <v>50.0</v>
      </c>
      <c r="F1176" s="1" t="str">
        <f>LOOKUP(A1176, NPCs!A:A, NPCs!C:C)</f>
        <v>Persecution</v>
      </c>
      <c r="G1176" s="1" t="str">
        <f>LOOKUP(B1176, Maps!A:A, Maps!B:B)</f>
        <v>Mindless Mines</v>
      </c>
    </row>
    <row r="1177" ht="15.75" customHeight="1">
      <c r="A1177" s="1">
        <v>49.0</v>
      </c>
      <c r="B1177" s="1">
        <v>12.0</v>
      </c>
      <c r="C1177" s="1">
        <v>90.0</v>
      </c>
      <c r="D1177" s="1">
        <v>50.0</v>
      </c>
      <c r="F1177" s="1" t="str">
        <f>LOOKUP(A1177, NPCs!A:A, NPCs!C:C)</f>
        <v>Strong Persecution</v>
      </c>
      <c r="G1177" s="1" t="str">
        <f>LOOKUP(B1177, Maps!A:A, Maps!B:B)</f>
        <v>Mindless Mines</v>
      </c>
    </row>
    <row r="1178" ht="15.75" customHeight="1">
      <c r="A1178" s="1">
        <v>39.0</v>
      </c>
      <c r="B1178" s="1">
        <v>12.0</v>
      </c>
      <c r="C1178" s="1">
        <v>92.0</v>
      </c>
      <c r="D1178" s="1">
        <v>50.0</v>
      </c>
      <c r="F1178" s="1" t="str">
        <f>LOOKUP(A1178, NPCs!A:A, NPCs!C:C)</f>
        <v>Persecution</v>
      </c>
      <c r="G1178" s="1" t="str">
        <f>LOOKUP(B1178, Maps!A:A, Maps!B:B)</f>
        <v>Mindless Mines</v>
      </c>
    </row>
    <row r="1179" ht="15.75" customHeight="1">
      <c r="A1179" s="1">
        <v>49.0</v>
      </c>
      <c r="B1179" s="1">
        <v>12.0</v>
      </c>
      <c r="C1179" s="1">
        <v>97.0</v>
      </c>
      <c r="D1179" s="1">
        <v>50.0</v>
      </c>
      <c r="F1179" s="1" t="str">
        <f>LOOKUP(A1179, NPCs!A:A, NPCs!C:C)</f>
        <v>Strong Persecution</v>
      </c>
      <c r="G1179" s="1" t="str">
        <f>LOOKUP(B1179, Maps!A:A, Maps!B:B)</f>
        <v>Mindless Mines</v>
      </c>
    </row>
    <row r="1180" ht="15.75" customHeight="1">
      <c r="A1180" s="1">
        <v>39.0</v>
      </c>
      <c r="B1180" s="1">
        <v>12.0</v>
      </c>
      <c r="C1180" s="1">
        <v>20.0</v>
      </c>
      <c r="D1180" s="1">
        <v>60.0</v>
      </c>
      <c r="F1180" s="1" t="str">
        <f>LOOKUP(A1180, NPCs!A:A, NPCs!C:C)</f>
        <v>Persecution</v>
      </c>
      <c r="G1180" s="1" t="str">
        <f>LOOKUP(B1180, Maps!A:A, Maps!B:B)</f>
        <v>Mindless Mines</v>
      </c>
    </row>
    <row r="1181" ht="15.75" customHeight="1">
      <c r="A1181" s="1">
        <v>49.0</v>
      </c>
      <c r="B1181" s="1">
        <v>12.0</v>
      </c>
      <c r="C1181" s="1">
        <v>25.0</v>
      </c>
      <c r="D1181" s="1">
        <v>60.0</v>
      </c>
      <c r="F1181" s="1" t="str">
        <f>LOOKUP(A1181, NPCs!A:A, NPCs!C:C)</f>
        <v>Strong Persecution</v>
      </c>
      <c r="G1181" s="1" t="str">
        <f>LOOKUP(B1181, Maps!A:A, Maps!B:B)</f>
        <v>Mindless Mines</v>
      </c>
    </row>
    <row r="1182" ht="15.75" customHeight="1">
      <c r="A1182" s="1">
        <v>39.0</v>
      </c>
      <c r="B1182" s="1">
        <v>12.0</v>
      </c>
      <c r="C1182" s="1">
        <v>30.0</v>
      </c>
      <c r="D1182" s="1">
        <v>60.0</v>
      </c>
      <c r="F1182" s="1" t="str">
        <f>LOOKUP(A1182, NPCs!A:A, NPCs!C:C)</f>
        <v>Persecution</v>
      </c>
      <c r="G1182" s="1" t="str">
        <f>LOOKUP(B1182, Maps!A:A, Maps!B:B)</f>
        <v>Mindless Mines</v>
      </c>
    </row>
    <row r="1183" ht="15.75" customHeight="1">
      <c r="A1183" s="1">
        <v>49.0</v>
      </c>
      <c r="B1183" s="1">
        <v>12.0</v>
      </c>
      <c r="C1183" s="1">
        <v>35.0</v>
      </c>
      <c r="D1183" s="1">
        <v>60.0</v>
      </c>
      <c r="F1183" s="1" t="str">
        <f>LOOKUP(A1183, NPCs!A:A, NPCs!C:C)</f>
        <v>Strong Persecution</v>
      </c>
      <c r="G1183" s="1" t="str">
        <f>LOOKUP(B1183, Maps!A:A, Maps!B:B)</f>
        <v>Mindless Mines</v>
      </c>
    </row>
    <row r="1184" ht="15.75" customHeight="1">
      <c r="A1184" s="1">
        <v>39.0</v>
      </c>
      <c r="B1184" s="1">
        <v>12.0</v>
      </c>
      <c r="C1184" s="1">
        <v>40.0</v>
      </c>
      <c r="D1184" s="1">
        <v>60.0</v>
      </c>
      <c r="F1184" s="1" t="str">
        <f>LOOKUP(A1184, NPCs!A:A, NPCs!C:C)</f>
        <v>Persecution</v>
      </c>
      <c r="G1184" s="1" t="str">
        <f>LOOKUP(B1184, Maps!A:A, Maps!B:B)</f>
        <v>Mindless Mines</v>
      </c>
    </row>
    <row r="1185" ht="15.75" customHeight="1">
      <c r="A1185" s="1">
        <v>49.0</v>
      </c>
      <c r="B1185" s="1">
        <v>12.0</v>
      </c>
      <c r="C1185" s="1">
        <v>45.0</v>
      </c>
      <c r="D1185" s="1">
        <v>60.0</v>
      </c>
      <c r="F1185" s="1" t="str">
        <f>LOOKUP(A1185, NPCs!A:A, NPCs!C:C)</f>
        <v>Strong Persecution</v>
      </c>
      <c r="G1185" s="1" t="str">
        <f>LOOKUP(B1185, Maps!A:A, Maps!B:B)</f>
        <v>Mindless Mines</v>
      </c>
    </row>
    <row r="1186" ht="15.75" customHeight="1">
      <c r="A1186" s="1">
        <v>39.0</v>
      </c>
      <c r="B1186" s="1">
        <v>12.0</v>
      </c>
      <c r="C1186" s="1">
        <v>50.0</v>
      </c>
      <c r="D1186" s="1">
        <v>60.0</v>
      </c>
      <c r="F1186" s="1" t="str">
        <f>LOOKUP(A1186, NPCs!A:A, NPCs!C:C)</f>
        <v>Persecution</v>
      </c>
      <c r="G1186" s="1" t="str">
        <f>LOOKUP(B1186, Maps!A:A, Maps!B:B)</f>
        <v>Mindless Mines</v>
      </c>
    </row>
    <row r="1187" ht="15.75" customHeight="1">
      <c r="A1187" s="1">
        <v>49.0</v>
      </c>
      <c r="B1187" s="1">
        <v>12.0</v>
      </c>
      <c r="C1187" s="1">
        <v>55.0</v>
      </c>
      <c r="D1187" s="1">
        <v>60.0</v>
      </c>
      <c r="F1187" s="1" t="str">
        <f>LOOKUP(A1187, NPCs!A:A, NPCs!C:C)</f>
        <v>Strong Persecution</v>
      </c>
      <c r="G1187" s="1" t="str">
        <f>LOOKUP(B1187, Maps!A:A, Maps!B:B)</f>
        <v>Mindless Mines</v>
      </c>
    </row>
    <row r="1188" ht="15.75" customHeight="1">
      <c r="A1188" s="1">
        <v>39.0</v>
      </c>
      <c r="B1188" s="1">
        <v>12.0</v>
      </c>
      <c r="C1188" s="1">
        <v>60.0</v>
      </c>
      <c r="D1188" s="1">
        <v>60.0</v>
      </c>
      <c r="F1188" s="1" t="str">
        <f>LOOKUP(A1188, NPCs!A:A, NPCs!C:C)</f>
        <v>Persecution</v>
      </c>
      <c r="G1188" s="1" t="str">
        <f>LOOKUP(B1188, Maps!A:A, Maps!B:B)</f>
        <v>Mindless Mines</v>
      </c>
    </row>
    <row r="1189" ht="15.75" customHeight="1">
      <c r="A1189" s="1">
        <v>49.0</v>
      </c>
      <c r="B1189" s="1">
        <v>12.0</v>
      </c>
      <c r="C1189" s="1">
        <v>65.0</v>
      </c>
      <c r="D1189" s="1">
        <v>60.0</v>
      </c>
      <c r="F1189" s="1" t="str">
        <f>LOOKUP(A1189, NPCs!A:A, NPCs!C:C)</f>
        <v>Strong Persecution</v>
      </c>
      <c r="G1189" s="1" t="str">
        <f>LOOKUP(B1189, Maps!A:A, Maps!B:B)</f>
        <v>Mindless Mines</v>
      </c>
    </row>
    <row r="1190" ht="15.75" customHeight="1">
      <c r="A1190" s="1">
        <v>39.0</v>
      </c>
      <c r="B1190" s="1">
        <v>12.0</v>
      </c>
      <c r="C1190" s="1">
        <v>80.0</v>
      </c>
      <c r="D1190" s="1">
        <v>60.0</v>
      </c>
      <c r="F1190" s="1" t="str">
        <f>LOOKUP(A1190, NPCs!A:A, NPCs!C:C)</f>
        <v>Persecution</v>
      </c>
      <c r="G1190" s="1" t="str">
        <f>LOOKUP(B1190, Maps!A:A, Maps!B:B)</f>
        <v>Mindless Mines</v>
      </c>
    </row>
    <row r="1191" ht="15.75" customHeight="1">
      <c r="A1191" s="1">
        <v>49.0</v>
      </c>
      <c r="B1191" s="1">
        <v>12.0</v>
      </c>
      <c r="C1191" s="1">
        <v>85.0</v>
      </c>
      <c r="D1191" s="1">
        <v>60.0</v>
      </c>
      <c r="F1191" s="1" t="str">
        <f>LOOKUP(A1191, NPCs!A:A, NPCs!C:C)</f>
        <v>Strong Persecution</v>
      </c>
      <c r="G1191" s="1" t="str">
        <f>LOOKUP(B1191, Maps!A:A, Maps!B:B)</f>
        <v>Mindless Mines</v>
      </c>
    </row>
    <row r="1192" ht="15.75" customHeight="1">
      <c r="A1192" s="1">
        <v>39.0</v>
      </c>
      <c r="B1192" s="1">
        <v>12.0</v>
      </c>
      <c r="C1192" s="1">
        <v>90.0</v>
      </c>
      <c r="D1192" s="1">
        <v>60.0</v>
      </c>
      <c r="F1192" s="1" t="str">
        <f>LOOKUP(A1192, NPCs!A:A, NPCs!C:C)</f>
        <v>Persecution</v>
      </c>
      <c r="G1192" s="1" t="str">
        <f>LOOKUP(B1192, Maps!A:A, Maps!B:B)</f>
        <v>Mindless Mines</v>
      </c>
    </row>
    <row r="1193" ht="15.75" customHeight="1">
      <c r="A1193" s="1">
        <v>49.0</v>
      </c>
      <c r="B1193" s="1">
        <v>12.0</v>
      </c>
      <c r="C1193" s="1">
        <v>92.0</v>
      </c>
      <c r="D1193" s="1">
        <v>60.0</v>
      </c>
      <c r="F1193" s="1" t="str">
        <f>LOOKUP(A1193, NPCs!A:A, NPCs!C:C)</f>
        <v>Strong Persecution</v>
      </c>
      <c r="G1193" s="1" t="str">
        <f>LOOKUP(B1193, Maps!A:A, Maps!B:B)</f>
        <v>Mindless Mines</v>
      </c>
    </row>
    <row r="1194" ht="15.75" customHeight="1">
      <c r="A1194" s="1">
        <v>39.0</v>
      </c>
      <c r="B1194" s="1">
        <v>12.0</v>
      </c>
      <c r="C1194" s="1">
        <v>97.0</v>
      </c>
      <c r="D1194" s="1">
        <v>60.0</v>
      </c>
      <c r="F1194" s="1" t="str">
        <f>LOOKUP(A1194, NPCs!A:A, NPCs!C:C)</f>
        <v>Persecution</v>
      </c>
      <c r="G1194" s="1" t="str">
        <f>LOOKUP(B1194, Maps!A:A, Maps!B:B)</f>
        <v>Mindless Mines</v>
      </c>
    </row>
    <row r="1195" ht="15.75" customHeight="1">
      <c r="A1195" s="1">
        <v>39.0</v>
      </c>
      <c r="B1195" s="1">
        <v>12.0</v>
      </c>
      <c r="C1195" s="1">
        <v>99.0</v>
      </c>
      <c r="D1195" s="1">
        <v>67.0</v>
      </c>
      <c r="F1195" s="1" t="str">
        <f>LOOKUP(A1195, NPCs!A:A, NPCs!C:C)</f>
        <v>Persecution</v>
      </c>
      <c r="G1195" s="1" t="str">
        <f>LOOKUP(B1195, Maps!A:A, Maps!B:B)</f>
        <v>Mindless Mines</v>
      </c>
    </row>
    <row r="1196" ht="15.75" customHeight="1">
      <c r="A1196" s="1">
        <v>49.0</v>
      </c>
      <c r="B1196" s="1">
        <v>12.0</v>
      </c>
      <c r="C1196" s="1">
        <v>2.0</v>
      </c>
      <c r="D1196" s="1">
        <v>68.0</v>
      </c>
      <c r="F1196" s="1" t="str">
        <f>LOOKUP(A1196, NPCs!A:A, NPCs!C:C)</f>
        <v>Strong Persecution</v>
      </c>
      <c r="G1196" s="1" t="str">
        <f>LOOKUP(B1196, Maps!A:A, Maps!B:B)</f>
        <v>Mindless Mines</v>
      </c>
    </row>
    <row r="1197" ht="15.75" customHeight="1">
      <c r="A1197" s="1">
        <v>39.0</v>
      </c>
      <c r="B1197" s="1">
        <v>12.0</v>
      </c>
      <c r="C1197" s="1">
        <v>10.0</v>
      </c>
      <c r="D1197" s="1">
        <v>68.0</v>
      </c>
      <c r="F1197" s="1" t="str">
        <f>LOOKUP(A1197, NPCs!A:A, NPCs!C:C)</f>
        <v>Persecution</v>
      </c>
      <c r="G1197" s="1" t="str">
        <f>LOOKUP(B1197, Maps!A:A, Maps!B:B)</f>
        <v>Mindless Mines</v>
      </c>
    </row>
    <row r="1198" ht="15.75" customHeight="1">
      <c r="A1198" s="1">
        <v>49.0</v>
      </c>
      <c r="B1198" s="1">
        <v>12.0</v>
      </c>
      <c r="C1198" s="1">
        <v>20.0</v>
      </c>
      <c r="D1198" s="1">
        <v>68.0</v>
      </c>
      <c r="F1198" s="1" t="str">
        <f>LOOKUP(A1198, NPCs!A:A, NPCs!C:C)</f>
        <v>Strong Persecution</v>
      </c>
      <c r="G1198" s="1" t="str">
        <f>LOOKUP(B1198, Maps!A:A, Maps!B:B)</f>
        <v>Mindless Mines</v>
      </c>
    </row>
    <row r="1199" ht="15.75" customHeight="1">
      <c r="A1199" s="1">
        <v>39.0</v>
      </c>
      <c r="B1199" s="1">
        <v>12.0</v>
      </c>
      <c r="C1199" s="1">
        <v>30.0</v>
      </c>
      <c r="D1199" s="1">
        <v>68.0</v>
      </c>
      <c r="F1199" s="1" t="str">
        <f>LOOKUP(A1199, NPCs!A:A, NPCs!C:C)</f>
        <v>Persecution</v>
      </c>
      <c r="G1199" s="1" t="str">
        <f>LOOKUP(B1199, Maps!A:A, Maps!B:B)</f>
        <v>Mindless Mines</v>
      </c>
    </row>
    <row r="1200" ht="15.75" customHeight="1">
      <c r="A1200" s="1">
        <v>49.0</v>
      </c>
      <c r="B1200" s="1">
        <v>12.0</v>
      </c>
      <c r="C1200" s="1">
        <v>40.0</v>
      </c>
      <c r="D1200" s="1">
        <v>68.0</v>
      </c>
      <c r="F1200" s="1" t="str">
        <f>LOOKUP(A1200, NPCs!A:A, NPCs!C:C)</f>
        <v>Strong Persecution</v>
      </c>
      <c r="G1200" s="1" t="str">
        <f>LOOKUP(B1200, Maps!A:A, Maps!B:B)</f>
        <v>Mindless Mines</v>
      </c>
    </row>
    <row r="1201" ht="15.75" customHeight="1">
      <c r="A1201" s="1">
        <v>39.0</v>
      </c>
      <c r="B1201" s="1">
        <v>12.0</v>
      </c>
      <c r="C1201" s="1">
        <v>50.0</v>
      </c>
      <c r="D1201" s="1">
        <v>68.0</v>
      </c>
      <c r="F1201" s="1" t="str">
        <f>LOOKUP(A1201, NPCs!A:A, NPCs!C:C)</f>
        <v>Persecution</v>
      </c>
      <c r="G1201" s="1" t="str">
        <f>LOOKUP(B1201, Maps!A:A, Maps!B:B)</f>
        <v>Mindless Mines</v>
      </c>
    </row>
    <row r="1202" ht="15.75" customHeight="1">
      <c r="A1202" s="1">
        <v>49.0</v>
      </c>
      <c r="B1202" s="1">
        <v>12.0</v>
      </c>
      <c r="C1202" s="1">
        <v>60.0</v>
      </c>
      <c r="D1202" s="1">
        <v>68.0</v>
      </c>
      <c r="F1202" s="1" t="str">
        <f>LOOKUP(A1202, NPCs!A:A, NPCs!C:C)</f>
        <v>Strong Persecution</v>
      </c>
      <c r="G1202" s="1" t="str">
        <f>LOOKUP(B1202, Maps!A:A, Maps!B:B)</f>
        <v>Mindless Mines</v>
      </c>
    </row>
    <row r="1203" ht="15.75" customHeight="1">
      <c r="A1203" s="1">
        <v>39.0</v>
      </c>
      <c r="B1203" s="1">
        <v>12.0</v>
      </c>
      <c r="C1203" s="1">
        <v>65.0</v>
      </c>
      <c r="D1203" s="1">
        <v>68.0</v>
      </c>
      <c r="F1203" s="1" t="str">
        <f>LOOKUP(A1203, NPCs!A:A, NPCs!C:C)</f>
        <v>Persecution</v>
      </c>
      <c r="G1203" s="1" t="str">
        <f>LOOKUP(B1203, Maps!A:A, Maps!B:B)</f>
        <v>Mindless Mines</v>
      </c>
    </row>
    <row r="1204" ht="15.75" customHeight="1">
      <c r="A1204" s="1">
        <v>39.0</v>
      </c>
      <c r="B1204" s="1">
        <v>12.0</v>
      </c>
      <c r="C1204" s="1">
        <v>2.0</v>
      </c>
      <c r="D1204" s="1">
        <v>76.0</v>
      </c>
      <c r="F1204" s="1" t="str">
        <f>LOOKUP(A1204, NPCs!A:A, NPCs!C:C)</f>
        <v>Persecution</v>
      </c>
      <c r="G1204" s="1" t="str">
        <f>LOOKUP(B1204, Maps!A:A, Maps!B:B)</f>
        <v>Mindless Mines</v>
      </c>
    </row>
    <row r="1205" ht="15.75" customHeight="1">
      <c r="A1205" s="1">
        <v>49.0</v>
      </c>
      <c r="B1205" s="1">
        <v>12.0</v>
      </c>
      <c r="C1205" s="1">
        <v>10.0</v>
      </c>
      <c r="D1205" s="1">
        <v>76.0</v>
      </c>
      <c r="F1205" s="1" t="str">
        <f>LOOKUP(A1205, NPCs!A:A, NPCs!C:C)</f>
        <v>Strong Persecution</v>
      </c>
      <c r="G1205" s="1" t="str">
        <f>LOOKUP(B1205, Maps!A:A, Maps!B:B)</f>
        <v>Mindless Mines</v>
      </c>
    </row>
    <row r="1206" ht="15.75" customHeight="1">
      <c r="A1206" s="1">
        <v>39.0</v>
      </c>
      <c r="B1206" s="1">
        <v>12.0</v>
      </c>
      <c r="C1206" s="1">
        <v>20.0</v>
      </c>
      <c r="D1206" s="1">
        <v>76.0</v>
      </c>
      <c r="F1206" s="1" t="str">
        <f>LOOKUP(A1206, NPCs!A:A, NPCs!C:C)</f>
        <v>Persecution</v>
      </c>
      <c r="G1206" s="1" t="str">
        <f>LOOKUP(B1206, Maps!A:A, Maps!B:B)</f>
        <v>Mindless Mines</v>
      </c>
    </row>
    <row r="1207" ht="15.75" customHeight="1">
      <c r="A1207" s="1">
        <v>49.0</v>
      </c>
      <c r="B1207" s="1">
        <v>12.0</v>
      </c>
      <c r="C1207" s="1">
        <v>30.0</v>
      </c>
      <c r="D1207" s="1">
        <v>76.0</v>
      </c>
      <c r="F1207" s="1" t="str">
        <f>LOOKUP(A1207, NPCs!A:A, NPCs!C:C)</f>
        <v>Strong Persecution</v>
      </c>
      <c r="G1207" s="1" t="str">
        <f>LOOKUP(B1207, Maps!A:A, Maps!B:B)</f>
        <v>Mindless Mines</v>
      </c>
    </row>
    <row r="1208" ht="15.75" customHeight="1">
      <c r="A1208" s="1">
        <v>39.0</v>
      </c>
      <c r="B1208" s="1">
        <v>12.0</v>
      </c>
      <c r="C1208" s="1">
        <v>40.0</v>
      </c>
      <c r="D1208" s="1">
        <v>76.0</v>
      </c>
      <c r="F1208" s="1" t="str">
        <f>LOOKUP(A1208, NPCs!A:A, NPCs!C:C)</f>
        <v>Persecution</v>
      </c>
      <c r="G1208" s="1" t="str">
        <f>LOOKUP(B1208, Maps!A:A, Maps!B:B)</f>
        <v>Mindless Mines</v>
      </c>
    </row>
    <row r="1209" ht="15.75" customHeight="1">
      <c r="A1209" s="1">
        <v>49.0</v>
      </c>
      <c r="B1209" s="1">
        <v>12.0</v>
      </c>
      <c r="C1209" s="1">
        <v>50.0</v>
      </c>
      <c r="D1209" s="1">
        <v>76.0</v>
      </c>
      <c r="F1209" s="1" t="str">
        <f>LOOKUP(A1209, NPCs!A:A, NPCs!C:C)</f>
        <v>Strong Persecution</v>
      </c>
      <c r="G1209" s="1" t="str">
        <f>LOOKUP(B1209, Maps!A:A, Maps!B:B)</f>
        <v>Mindless Mines</v>
      </c>
    </row>
    <row r="1210" ht="15.75" customHeight="1">
      <c r="A1210" s="1">
        <v>39.0</v>
      </c>
      <c r="B1210" s="1">
        <v>12.0</v>
      </c>
      <c r="C1210" s="1">
        <v>60.0</v>
      </c>
      <c r="D1210" s="1">
        <v>76.0</v>
      </c>
      <c r="F1210" s="1" t="str">
        <f>LOOKUP(A1210, NPCs!A:A, NPCs!C:C)</f>
        <v>Persecution</v>
      </c>
      <c r="G1210" s="1" t="str">
        <f>LOOKUP(B1210, Maps!A:A, Maps!B:B)</f>
        <v>Mindless Mines</v>
      </c>
    </row>
    <row r="1211" ht="15.75" customHeight="1">
      <c r="A1211" s="1">
        <v>49.0</v>
      </c>
      <c r="B1211" s="1">
        <v>12.0</v>
      </c>
      <c r="C1211" s="1">
        <v>65.0</v>
      </c>
      <c r="D1211" s="1">
        <v>76.0</v>
      </c>
      <c r="F1211" s="1" t="str">
        <f>LOOKUP(A1211, NPCs!A:A, NPCs!C:C)</f>
        <v>Strong Persecution</v>
      </c>
      <c r="G1211" s="1" t="str">
        <f>LOOKUP(B1211, Maps!A:A, Maps!B:B)</f>
        <v>Mindless Mines</v>
      </c>
    </row>
    <row r="1212" ht="15.75" customHeight="1">
      <c r="A1212" s="1">
        <v>49.0</v>
      </c>
      <c r="B1212" s="1">
        <v>12.0</v>
      </c>
      <c r="C1212" s="1">
        <v>2.0</v>
      </c>
      <c r="D1212" s="1">
        <v>88.0</v>
      </c>
      <c r="F1212" s="1" t="str">
        <f>LOOKUP(A1212, NPCs!A:A, NPCs!C:C)</f>
        <v>Strong Persecution</v>
      </c>
      <c r="G1212" s="1" t="str">
        <f>LOOKUP(B1212, Maps!A:A, Maps!B:B)</f>
        <v>Mindless Mines</v>
      </c>
    </row>
    <row r="1213" ht="15.75" customHeight="1">
      <c r="A1213" s="1">
        <v>39.0</v>
      </c>
      <c r="B1213" s="1">
        <v>12.0</v>
      </c>
      <c r="C1213" s="1">
        <v>10.0</v>
      </c>
      <c r="D1213" s="1">
        <v>88.0</v>
      </c>
      <c r="F1213" s="1" t="str">
        <f>LOOKUP(A1213, NPCs!A:A, NPCs!C:C)</f>
        <v>Persecution</v>
      </c>
      <c r="G1213" s="1" t="str">
        <f>LOOKUP(B1213, Maps!A:A, Maps!B:B)</f>
        <v>Mindless Mines</v>
      </c>
    </row>
    <row r="1214" ht="15.75" customHeight="1">
      <c r="A1214" s="1">
        <v>49.0</v>
      </c>
      <c r="B1214" s="1">
        <v>12.0</v>
      </c>
      <c r="C1214" s="1">
        <v>20.0</v>
      </c>
      <c r="D1214" s="1">
        <v>88.0</v>
      </c>
      <c r="F1214" s="1" t="str">
        <f>LOOKUP(A1214, NPCs!A:A, NPCs!C:C)</f>
        <v>Strong Persecution</v>
      </c>
      <c r="G1214" s="1" t="str">
        <f>LOOKUP(B1214, Maps!A:A, Maps!B:B)</f>
        <v>Mindless Mines</v>
      </c>
    </row>
    <row r="1215" ht="15.75" customHeight="1">
      <c r="A1215" s="1">
        <v>39.0</v>
      </c>
      <c r="B1215" s="1">
        <v>12.0</v>
      </c>
      <c r="C1215" s="1">
        <v>30.0</v>
      </c>
      <c r="D1215" s="1">
        <v>88.0</v>
      </c>
      <c r="F1215" s="1" t="str">
        <f>LOOKUP(A1215, NPCs!A:A, NPCs!C:C)</f>
        <v>Persecution</v>
      </c>
      <c r="G1215" s="1" t="str">
        <f>LOOKUP(B1215, Maps!A:A, Maps!B:B)</f>
        <v>Mindless Mines</v>
      </c>
    </row>
    <row r="1216" ht="15.75" customHeight="1">
      <c r="A1216" s="1">
        <v>49.0</v>
      </c>
      <c r="B1216" s="1">
        <v>12.0</v>
      </c>
      <c r="C1216" s="1">
        <v>40.0</v>
      </c>
      <c r="D1216" s="1">
        <v>88.0</v>
      </c>
      <c r="F1216" s="1" t="str">
        <f>LOOKUP(A1216, NPCs!A:A, NPCs!C:C)</f>
        <v>Strong Persecution</v>
      </c>
      <c r="G1216" s="1" t="str">
        <f>LOOKUP(B1216, Maps!A:A, Maps!B:B)</f>
        <v>Mindless Mines</v>
      </c>
    </row>
    <row r="1217" ht="15.75" customHeight="1">
      <c r="A1217" s="1">
        <v>39.0</v>
      </c>
      <c r="B1217" s="1">
        <v>12.0</v>
      </c>
      <c r="C1217" s="1">
        <v>50.0</v>
      </c>
      <c r="D1217" s="1">
        <v>88.0</v>
      </c>
      <c r="F1217" s="1" t="str">
        <f>LOOKUP(A1217, NPCs!A:A, NPCs!C:C)</f>
        <v>Persecution</v>
      </c>
      <c r="G1217" s="1" t="str">
        <f>LOOKUP(B1217, Maps!A:A, Maps!B:B)</f>
        <v>Mindless Mines</v>
      </c>
    </row>
    <row r="1218" ht="15.75" customHeight="1">
      <c r="A1218" s="1">
        <v>49.0</v>
      </c>
      <c r="B1218" s="1">
        <v>12.0</v>
      </c>
      <c r="C1218" s="1">
        <v>60.0</v>
      </c>
      <c r="D1218" s="1">
        <v>88.0</v>
      </c>
      <c r="F1218" s="1" t="str">
        <f>LOOKUP(A1218, NPCs!A:A, NPCs!C:C)</f>
        <v>Strong Persecution</v>
      </c>
      <c r="G1218" s="1" t="str">
        <f>LOOKUP(B1218, Maps!A:A, Maps!B:B)</f>
        <v>Mindless Mines</v>
      </c>
    </row>
    <row r="1219" ht="15.75" customHeight="1">
      <c r="A1219" s="1">
        <v>39.0</v>
      </c>
      <c r="B1219" s="1">
        <v>12.0</v>
      </c>
      <c r="C1219" s="1">
        <v>65.0</v>
      </c>
      <c r="D1219" s="1">
        <v>88.0</v>
      </c>
      <c r="F1219" s="1" t="str">
        <f>LOOKUP(A1219, NPCs!A:A, NPCs!C:C)</f>
        <v>Persecution</v>
      </c>
      <c r="G1219" s="1" t="str">
        <f>LOOKUP(B1219, Maps!A:A, Maps!B:B)</f>
        <v>Mindless Mines</v>
      </c>
    </row>
    <row r="1220" ht="15.75" customHeight="1">
      <c r="A1220" s="1">
        <v>39.0</v>
      </c>
      <c r="B1220" s="1">
        <v>12.0</v>
      </c>
      <c r="C1220" s="1">
        <v>2.0</v>
      </c>
      <c r="D1220" s="1">
        <v>96.0</v>
      </c>
      <c r="F1220" s="1" t="str">
        <f>LOOKUP(A1220, NPCs!A:A, NPCs!C:C)</f>
        <v>Persecution</v>
      </c>
      <c r="G1220" s="1" t="str">
        <f>LOOKUP(B1220, Maps!A:A, Maps!B:B)</f>
        <v>Mindless Mines</v>
      </c>
    </row>
    <row r="1221" ht="15.75" customHeight="1">
      <c r="A1221" s="1">
        <v>49.0</v>
      </c>
      <c r="B1221" s="1">
        <v>12.0</v>
      </c>
      <c r="C1221" s="1">
        <v>10.0</v>
      </c>
      <c r="D1221" s="1">
        <v>96.0</v>
      </c>
      <c r="F1221" s="1" t="str">
        <f>LOOKUP(A1221, NPCs!A:A, NPCs!C:C)</f>
        <v>Strong Persecution</v>
      </c>
      <c r="G1221" s="1" t="str">
        <f>LOOKUP(B1221, Maps!A:A, Maps!B:B)</f>
        <v>Mindless Mines</v>
      </c>
    </row>
    <row r="1222" ht="15.75" customHeight="1">
      <c r="A1222" s="1">
        <v>39.0</v>
      </c>
      <c r="B1222" s="1">
        <v>12.0</v>
      </c>
      <c r="C1222" s="1">
        <v>20.0</v>
      </c>
      <c r="D1222" s="1">
        <v>96.0</v>
      </c>
      <c r="F1222" s="1" t="str">
        <f>LOOKUP(A1222, NPCs!A:A, NPCs!C:C)</f>
        <v>Persecution</v>
      </c>
      <c r="G1222" s="1" t="str">
        <f>LOOKUP(B1222, Maps!A:A, Maps!B:B)</f>
        <v>Mindless Mines</v>
      </c>
    </row>
    <row r="1223" ht="15.75" customHeight="1">
      <c r="A1223" s="1">
        <v>49.0</v>
      </c>
      <c r="B1223" s="1">
        <v>12.0</v>
      </c>
      <c r="C1223" s="1">
        <v>30.0</v>
      </c>
      <c r="D1223" s="1">
        <v>96.0</v>
      </c>
      <c r="F1223" s="1" t="str">
        <f>LOOKUP(A1223, NPCs!A:A, NPCs!C:C)</f>
        <v>Strong Persecution</v>
      </c>
      <c r="G1223" s="1" t="str">
        <f>LOOKUP(B1223, Maps!A:A, Maps!B:B)</f>
        <v>Mindless Mines</v>
      </c>
    </row>
    <row r="1224" ht="15.75" customHeight="1">
      <c r="A1224" s="1">
        <v>39.0</v>
      </c>
      <c r="B1224" s="1">
        <v>12.0</v>
      </c>
      <c r="C1224" s="1">
        <v>40.0</v>
      </c>
      <c r="D1224" s="1">
        <v>96.0</v>
      </c>
      <c r="F1224" s="1" t="str">
        <f>LOOKUP(A1224, NPCs!A:A, NPCs!C:C)</f>
        <v>Persecution</v>
      </c>
      <c r="G1224" s="1" t="str">
        <f>LOOKUP(B1224, Maps!A:A, Maps!B:B)</f>
        <v>Mindless Mines</v>
      </c>
    </row>
    <row r="1225" ht="15.75" customHeight="1">
      <c r="A1225" s="1">
        <v>49.0</v>
      </c>
      <c r="B1225" s="1">
        <v>12.0</v>
      </c>
      <c r="C1225" s="1">
        <v>50.0</v>
      </c>
      <c r="D1225" s="1">
        <v>96.0</v>
      </c>
      <c r="F1225" s="1" t="str">
        <f>LOOKUP(A1225, NPCs!A:A, NPCs!C:C)</f>
        <v>Strong Persecution</v>
      </c>
      <c r="G1225" s="1" t="str">
        <f>LOOKUP(B1225, Maps!A:A, Maps!B:B)</f>
        <v>Mindless Mines</v>
      </c>
    </row>
    <row r="1226" ht="15.75" customHeight="1">
      <c r="A1226" s="1">
        <v>39.0</v>
      </c>
      <c r="B1226" s="1">
        <v>12.0</v>
      </c>
      <c r="C1226" s="1">
        <v>60.0</v>
      </c>
      <c r="D1226" s="1">
        <v>96.0</v>
      </c>
      <c r="F1226" s="1" t="str">
        <f>LOOKUP(A1226, NPCs!A:A, NPCs!C:C)</f>
        <v>Persecution</v>
      </c>
      <c r="G1226" s="1" t="str">
        <f>LOOKUP(B1226, Maps!A:A, Maps!B:B)</f>
        <v>Mindless Mines</v>
      </c>
    </row>
    <row r="1227" ht="15.75" customHeight="1">
      <c r="A1227" s="1">
        <v>49.0</v>
      </c>
      <c r="B1227" s="1">
        <v>12.0</v>
      </c>
      <c r="C1227" s="1">
        <v>65.0</v>
      </c>
      <c r="D1227" s="1">
        <v>96.0</v>
      </c>
      <c r="F1227" s="1" t="str">
        <f>LOOKUP(A1227, NPCs!A:A, NPCs!C:C)</f>
        <v>Strong Persecution</v>
      </c>
      <c r="G1227" s="1" t="str">
        <f>LOOKUP(B1227, Maps!A:A, Maps!B:B)</f>
        <v>Mindless Mines</v>
      </c>
    </row>
    <row r="1228" ht="15.75" customHeight="1">
      <c r="A1228" s="1">
        <v>39.0</v>
      </c>
      <c r="B1228" s="1">
        <v>12.0</v>
      </c>
      <c r="C1228" s="1">
        <v>67.0</v>
      </c>
      <c r="D1228" s="1">
        <v>98.0</v>
      </c>
      <c r="F1228" s="1" t="str">
        <f>LOOKUP(A1228, NPCs!A:A, NPCs!C:C)</f>
        <v>Persecution</v>
      </c>
      <c r="G1228" s="1" t="str">
        <f>LOOKUP(B1228, Maps!A:A, Maps!B:B)</f>
        <v>Mindless Mines</v>
      </c>
    </row>
    <row r="1229" ht="15.75" customHeight="1">
      <c r="A1229" s="1">
        <v>50.0</v>
      </c>
      <c r="B1229" s="1">
        <v>27.0</v>
      </c>
      <c r="C1229" s="1">
        <v>33.0</v>
      </c>
      <c r="D1229" s="1">
        <v>7.0</v>
      </c>
      <c r="F1229" s="1" t="str">
        <f>LOOKUP(A1229, NPCs!A:A, NPCs!C:C)</f>
        <v>Nagan Beast</v>
      </c>
      <c r="G1229" s="1" t="str">
        <f>LOOKUP(B1229, Maps!A:A, Maps!B:B)</f>
        <v>Nagan Oasis</v>
      </c>
    </row>
    <row r="1230" ht="15.75" customHeight="1">
      <c r="A1230" s="1">
        <v>50.0</v>
      </c>
      <c r="B1230" s="1">
        <v>27.0</v>
      </c>
      <c r="C1230" s="1">
        <v>42.0</v>
      </c>
      <c r="D1230" s="1">
        <v>9.0</v>
      </c>
      <c r="F1230" s="1" t="str">
        <f>LOOKUP(A1230, NPCs!A:A, NPCs!C:C)</f>
        <v>Nagan Beast</v>
      </c>
      <c r="G1230" s="1" t="str">
        <f>LOOKUP(B1230, Maps!A:A, Maps!B:B)</f>
        <v>Nagan Oasis</v>
      </c>
    </row>
    <row r="1231" ht="15.75" customHeight="1">
      <c r="A1231" s="1">
        <v>50.0</v>
      </c>
      <c r="B1231" s="1">
        <v>27.0</v>
      </c>
      <c r="C1231" s="1">
        <v>57.0</v>
      </c>
      <c r="D1231" s="1">
        <v>10.0</v>
      </c>
      <c r="F1231" s="1" t="str">
        <f>LOOKUP(A1231, NPCs!A:A, NPCs!C:C)</f>
        <v>Nagan Beast</v>
      </c>
      <c r="G1231" s="1" t="str">
        <f>LOOKUP(B1231, Maps!A:A, Maps!B:B)</f>
        <v>Nagan Oasis</v>
      </c>
    </row>
    <row r="1232" ht="15.75" customHeight="1">
      <c r="A1232" s="1">
        <v>50.0</v>
      </c>
      <c r="B1232" s="1">
        <v>27.0</v>
      </c>
      <c r="C1232" s="1">
        <v>63.0</v>
      </c>
      <c r="D1232" s="1">
        <v>4.0</v>
      </c>
      <c r="F1232" s="1" t="str">
        <f>LOOKUP(A1232, NPCs!A:A, NPCs!C:C)</f>
        <v>Nagan Beast</v>
      </c>
      <c r="G1232" s="1" t="str">
        <f>LOOKUP(B1232, Maps!A:A, Maps!B:B)</f>
        <v>Nagan Oasis</v>
      </c>
    </row>
    <row r="1233" ht="15.75" customHeight="1">
      <c r="A1233" s="1">
        <v>50.0</v>
      </c>
      <c r="B1233" s="1">
        <v>27.0</v>
      </c>
      <c r="C1233" s="1">
        <v>73.0</v>
      </c>
      <c r="D1233" s="1">
        <v>8.0</v>
      </c>
      <c r="F1233" s="1" t="str">
        <f>LOOKUP(A1233, NPCs!A:A, NPCs!C:C)</f>
        <v>Nagan Beast</v>
      </c>
      <c r="G1233" s="1" t="str">
        <f>LOOKUP(B1233, Maps!A:A, Maps!B:B)</f>
        <v>Nagan Oasis</v>
      </c>
    </row>
    <row r="1234" ht="15.75" customHeight="1">
      <c r="A1234" s="1">
        <v>50.0</v>
      </c>
      <c r="B1234" s="1">
        <v>27.0</v>
      </c>
      <c r="C1234" s="1">
        <v>79.0</v>
      </c>
      <c r="D1234" s="1">
        <v>3.0</v>
      </c>
      <c r="F1234" s="1" t="str">
        <f>LOOKUP(A1234, NPCs!A:A, NPCs!C:C)</f>
        <v>Nagan Beast</v>
      </c>
      <c r="G1234" s="1" t="str">
        <f>LOOKUP(B1234, Maps!A:A, Maps!B:B)</f>
        <v>Nagan Oasis</v>
      </c>
    </row>
    <row r="1235" ht="15.75" customHeight="1">
      <c r="A1235" s="1">
        <v>50.0</v>
      </c>
      <c r="B1235" s="1">
        <v>27.0</v>
      </c>
      <c r="C1235" s="1">
        <v>88.0</v>
      </c>
      <c r="D1235" s="1">
        <v>4.0</v>
      </c>
      <c r="F1235" s="1" t="str">
        <f>LOOKUP(A1235, NPCs!A:A, NPCs!C:C)</f>
        <v>Nagan Beast</v>
      </c>
      <c r="G1235" s="1" t="str">
        <f>LOOKUP(B1235, Maps!A:A, Maps!B:B)</f>
        <v>Nagan Oasis</v>
      </c>
    </row>
    <row r="1236" ht="15.75" customHeight="1">
      <c r="A1236" s="1">
        <v>50.0</v>
      </c>
      <c r="B1236" s="1">
        <v>27.0</v>
      </c>
      <c r="C1236" s="1">
        <v>93.0</v>
      </c>
      <c r="D1236" s="1">
        <v>10.0</v>
      </c>
      <c r="F1236" s="1" t="str">
        <f>LOOKUP(A1236, NPCs!A:A, NPCs!C:C)</f>
        <v>Nagan Beast</v>
      </c>
      <c r="G1236" s="1" t="str">
        <f>LOOKUP(B1236, Maps!A:A, Maps!B:B)</f>
        <v>Nagan Oasis</v>
      </c>
    </row>
    <row r="1237" ht="15.75" customHeight="1">
      <c r="A1237" s="1">
        <v>50.0</v>
      </c>
      <c r="B1237" s="1">
        <v>27.0</v>
      </c>
      <c r="C1237" s="1">
        <v>83.0</v>
      </c>
      <c r="D1237" s="1">
        <v>11.0</v>
      </c>
      <c r="F1237" s="1" t="str">
        <f>LOOKUP(A1237, NPCs!A:A, NPCs!C:C)</f>
        <v>Nagan Beast</v>
      </c>
      <c r="G1237" s="1" t="str">
        <f>LOOKUP(B1237, Maps!A:A, Maps!B:B)</f>
        <v>Nagan Oasis</v>
      </c>
    </row>
    <row r="1238" ht="15.75" customHeight="1">
      <c r="A1238" s="1">
        <v>50.0</v>
      </c>
      <c r="B1238" s="1">
        <v>27.0</v>
      </c>
      <c r="C1238" s="1">
        <v>86.0</v>
      </c>
      <c r="D1238" s="1">
        <v>18.0</v>
      </c>
      <c r="F1238" s="1" t="str">
        <f>LOOKUP(A1238, NPCs!A:A, NPCs!C:C)</f>
        <v>Nagan Beast</v>
      </c>
      <c r="G1238" s="1" t="str">
        <f>LOOKUP(B1238, Maps!A:A, Maps!B:B)</f>
        <v>Nagan Oasis</v>
      </c>
    </row>
    <row r="1239" ht="15.75" customHeight="1">
      <c r="A1239" s="1">
        <v>50.0</v>
      </c>
      <c r="B1239" s="1">
        <v>27.0</v>
      </c>
      <c r="C1239" s="1">
        <v>96.0</v>
      </c>
      <c r="D1239" s="1">
        <v>17.0</v>
      </c>
      <c r="F1239" s="1" t="str">
        <f>LOOKUP(A1239, NPCs!A:A, NPCs!C:C)</f>
        <v>Nagan Beast</v>
      </c>
      <c r="G1239" s="1" t="str">
        <f>LOOKUP(B1239, Maps!A:A, Maps!B:B)</f>
        <v>Nagan Oasis</v>
      </c>
    </row>
    <row r="1240" ht="15.75" customHeight="1">
      <c r="A1240" s="1">
        <v>50.0</v>
      </c>
      <c r="B1240" s="1">
        <v>27.0</v>
      </c>
      <c r="C1240" s="1">
        <v>92.0</v>
      </c>
      <c r="D1240" s="1">
        <v>24.0</v>
      </c>
      <c r="F1240" s="1" t="str">
        <f>LOOKUP(A1240, NPCs!A:A, NPCs!C:C)</f>
        <v>Nagan Beast</v>
      </c>
      <c r="G1240" s="1" t="str">
        <f>LOOKUP(B1240, Maps!A:A, Maps!B:B)</f>
        <v>Nagan Oasis</v>
      </c>
    </row>
    <row r="1241" ht="15.75" customHeight="1">
      <c r="A1241" s="1">
        <v>50.0</v>
      </c>
      <c r="B1241" s="1">
        <v>27.0</v>
      </c>
      <c r="C1241" s="1">
        <v>81.0</v>
      </c>
      <c r="D1241" s="1">
        <v>24.0</v>
      </c>
      <c r="F1241" s="1" t="str">
        <f>LOOKUP(A1241, NPCs!A:A, NPCs!C:C)</f>
        <v>Nagan Beast</v>
      </c>
      <c r="G1241" s="1" t="str">
        <f>LOOKUP(B1241, Maps!A:A, Maps!B:B)</f>
        <v>Nagan Oasis</v>
      </c>
    </row>
    <row r="1242" ht="15.75" customHeight="1">
      <c r="A1242" s="1">
        <v>50.0</v>
      </c>
      <c r="B1242" s="1">
        <v>27.0</v>
      </c>
      <c r="C1242" s="1">
        <v>87.0</v>
      </c>
      <c r="D1242" s="1">
        <v>30.0</v>
      </c>
      <c r="F1242" s="1" t="str">
        <f>LOOKUP(A1242, NPCs!A:A, NPCs!C:C)</f>
        <v>Nagan Beast</v>
      </c>
      <c r="G1242" s="1" t="str">
        <f>LOOKUP(B1242, Maps!A:A, Maps!B:B)</f>
        <v>Nagan Oasis</v>
      </c>
    </row>
    <row r="1243" ht="15.75" customHeight="1">
      <c r="A1243" s="1">
        <v>50.0</v>
      </c>
      <c r="B1243" s="1">
        <v>27.0</v>
      </c>
      <c r="C1243" s="1">
        <v>95.0</v>
      </c>
      <c r="D1243" s="1">
        <v>32.0</v>
      </c>
      <c r="F1243" s="1" t="str">
        <f>LOOKUP(A1243, NPCs!A:A, NPCs!C:C)</f>
        <v>Nagan Beast</v>
      </c>
      <c r="G1243" s="1" t="str">
        <f>LOOKUP(B1243, Maps!A:A, Maps!B:B)</f>
        <v>Nagan Oasis</v>
      </c>
    </row>
    <row r="1244" ht="15.75" customHeight="1">
      <c r="A1244" s="1">
        <v>50.0</v>
      </c>
      <c r="B1244" s="1">
        <v>27.0</v>
      </c>
      <c r="C1244" s="1">
        <v>95.0</v>
      </c>
      <c r="D1244" s="1">
        <v>39.0</v>
      </c>
      <c r="F1244" s="1" t="str">
        <f>LOOKUP(A1244, NPCs!A:A, NPCs!C:C)</f>
        <v>Nagan Beast</v>
      </c>
      <c r="G1244" s="1" t="str">
        <f>LOOKUP(B1244, Maps!A:A, Maps!B:B)</f>
        <v>Nagan Oasis</v>
      </c>
    </row>
    <row r="1245" ht="15.75" customHeight="1">
      <c r="A1245" s="1">
        <v>50.0</v>
      </c>
      <c r="B1245" s="1">
        <v>27.0</v>
      </c>
      <c r="C1245" s="1">
        <v>87.0</v>
      </c>
      <c r="D1245" s="1">
        <v>37.0</v>
      </c>
      <c r="F1245" s="1" t="str">
        <f>LOOKUP(A1245, NPCs!A:A, NPCs!C:C)</f>
        <v>Nagan Beast</v>
      </c>
      <c r="G1245" s="1" t="str">
        <f>LOOKUP(B1245, Maps!A:A, Maps!B:B)</f>
        <v>Nagan Oasis</v>
      </c>
    </row>
    <row r="1246" ht="15.75" customHeight="1">
      <c r="A1246" s="1">
        <v>50.0</v>
      </c>
      <c r="B1246" s="1">
        <v>27.0</v>
      </c>
      <c r="C1246" s="1">
        <v>81.0</v>
      </c>
      <c r="D1246" s="1">
        <v>43.0</v>
      </c>
      <c r="F1246" s="1" t="str">
        <f>LOOKUP(A1246, NPCs!A:A, NPCs!C:C)</f>
        <v>Nagan Beast</v>
      </c>
      <c r="G1246" s="1" t="str">
        <f>LOOKUP(B1246, Maps!A:A, Maps!B:B)</f>
        <v>Nagan Oasis</v>
      </c>
    </row>
    <row r="1247" ht="15.75" customHeight="1">
      <c r="A1247" s="1">
        <v>50.0</v>
      </c>
      <c r="B1247" s="1">
        <v>27.0</v>
      </c>
      <c r="C1247" s="1">
        <v>95.0</v>
      </c>
      <c r="D1247" s="1">
        <v>46.0</v>
      </c>
      <c r="F1247" s="1" t="str">
        <f>LOOKUP(A1247, NPCs!A:A, NPCs!C:C)</f>
        <v>Nagan Beast</v>
      </c>
      <c r="G1247" s="1" t="str">
        <f>LOOKUP(B1247, Maps!A:A, Maps!B:B)</f>
        <v>Nagan Oasis</v>
      </c>
    </row>
    <row r="1248" ht="15.75" customHeight="1">
      <c r="A1248" s="1">
        <v>50.0</v>
      </c>
      <c r="B1248" s="1">
        <v>27.0</v>
      </c>
      <c r="C1248" s="1">
        <v>86.0</v>
      </c>
      <c r="D1248" s="1">
        <v>49.0</v>
      </c>
      <c r="F1248" s="1" t="str">
        <f>LOOKUP(A1248, NPCs!A:A, NPCs!C:C)</f>
        <v>Nagan Beast</v>
      </c>
      <c r="G1248" s="1" t="str">
        <f>LOOKUP(B1248, Maps!A:A, Maps!B:B)</f>
        <v>Nagan Oasis</v>
      </c>
    </row>
    <row r="1249" ht="15.75" customHeight="1">
      <c r="A1249" s="1">
        <v>50.0</v>
      </c>
      <c r="B1249" s="1">
        <v>27.0</v>
      </c>
      <c r="C1249" s="1">
        <v>95.0</v>
      </c>
      <c r="D1249" s="1">
        <v>52.0</v>
      </c>
      <c r="F1249" s="1" t="str">
        <f>LOOKUP(A1249, NPCs!A:A, NPCs!C:C)</f>
        <v>Nagan Beast</v>
      </c>
      <c r="G1249" s="1" t="str">
        <f>LOOKUP(B1249, Maps!A:A, Maps!B:B)</f>
        <v>Nagan Oasis</v>
      </c>
    </row>
    <row r="1250" ht="15.75" customHeight="1">
      <c r="A1250" s="1">
        <v>50.0</v>
      </c>
      <c r="B1250" s="1">
        <v>27.0</v>
      </c>
      <c r="C1250" s="1">
        <v>86.0</v>
      </c>
      <c r="D1250" s="1">
        <v>55.0</v>
      </c>
      <c r="F1250" s="1" t="str">
        <f>LOOKUP(A1250, NPCs!A:A, NPCs!C:C)</f>
        <v>Nagan Beast</v>
      </c>
      <c r="G1250" s="1" t="str">
        <f>LOOKUP(B1250, Maps!A:A, Maps!B:B)</f>
        <v>Nagan Oasis</v>
      </c>
    </row>
    <row r="1251" ht="15.75" customHeight="1">
      <c r="A1251" s="1">
        <v>50.0</v>
      </c>
      <c r="B1251" s="1">
        <v>27.0</v>
      </c>
      <c r="C1251" s="1">
        <v>95.0</v>
      </c>
      <c r="D1251" s="1">
        <v>58.0</v>
      </c>
      <c r="F1251" s="1" t="str">
        <f>LOOKUP(A1251, NPCs!A:A, NPCs!C:C)</f>
        <v>Nagan Beast</v>
      </c>
      <c r="G1251" s="1" t="str">
        <f>LOOKUP(B1251, Maps!A:A, Maps!B:B)</f>
        <v>Nagan Oasis</v>
      </c>
    </row>
    <row r="1252" ht="15.75" customHeight="1">
      <c r="A1252" s="1">
        <v>50.0</v>
      </c>
      <c r="B1252" s="1">
        <v>27.0</v>
      </c>
      <c r="C1252" s="1">
        <v>98.0</v>
      </c>
      <c r="D1252" s="1">
        <v>63.0</v>
      </c>
      <c r="F1252" s="1" t="str">
        <f>LOOKUP(A1252, NPCs!A:A, NPCs!C:C)</f>
        <v>Nagan Beast</v>
      </c>
      <c r="G1252" s="1" t="str">
        <f>LOOKUP(B1252, Maps!A:A, Maps!B:B)</f>
        <v>Nagan Oasis</v>
      </c>
    </row>
    <row r="1253" ht="15.75" customHeight="1">
      <c r="A1253" s="1">
        <v>50.0</v>
      </c>
      <c r="B1253" s="1">
        <v>27.0</v>
      </c>
      <c r="C1253" s="1">
        <v>90.0</v>
      </c>
      <c r="D1253" s="1">
        <v>70.0</v>
      </c>
      <c r="F1253" s="1" t="str">
        <f>LOOKUP(A1253, NPCs!A:A, NPCs!C:C)</f>
        <v>Nagan Beast</v>
      </c>
      <c r="G1253" s="1" t="str">
        <f>LOOKUP(B1253, Maps!A:A, Maps!B:B)</f>
        <v>Nagan Oasis</v>
      </c>
    </row>
    <row r="1254" ht="15.75" customHeight="1">
      <c r="A1254" s="1">
        <v>50.0</v>
      </c>
      <c r="B1254" s="1">
        <v>27.0</v>
      </c>
      <c r="C1254" s="1">
        <v>94.0</v>
      </c>
      <c r="D1254" s="1">
        <v>76.0</v>
      </c>
      <c r="F1254" s="1" t="str">
        <f>LOOKUP(A1254, NPCs!A:A, NPCs!C:C)</f>
        <v>Nagan Beast</v>
      </c>
      <c r="G1254" s="1" t="str">
        <f>LOOKUP(B1254, Maps!A:A, Maps!B:B)</f>
        <v>Nagan Oasis</v>
      </c>
    </row>
    <row r="1255" ht="15.75" customHeight="1">
      <c r="A1255" s="1">
        <v>50.0</v>
      </c>
      <c r="B1255" s="1">
        <v>27.0</v>
      </c>
      <c r="C1255" s="1">
        <v>88.0</v>
      </c>
      <c r="D1255" s="1">
        <v>82.0</v>
      </c>
      <c r="F1255" s="1" t="str">
        <f>LOOKUP(A1255, NPCs!A:A, NPCs!C:C)</f>
        <v>Nagan Beast</v>
      </c>
      <c r="G1255" s="1" t="str">
        <f>LOOKUP(B1255, Maps!A:A, Maps!B:B)</f>
        <v>Nagan Oasis</v>
      </c>
    </row>
    <row r="1256" ht="15.75" customHeight="1">
      <c r="A1256" s="1">
        <v>50.0</v>
      </c>
      <c r="B1256" s="1">
        <v>27.0</v>
      </c>
      <c r="C1256" s="1">
        <v>97.0</v>
      </c>
      <c r="D1256" s="1">
        <v>86.0</v>
      </c>
      <c r="F1256" s="1" t="str">
        <f>LOOKUP(A1256, NPCs!A:A, NPCs!C:C)</f>
        <v>Nagan Beast</v>
      </c>
      <c r="G1256" s="1" t="str">
        <f>LOOKUP(B1256, Maps!A:A, Maps!B:B)</f>
        <v>Nagan Oasis</v>
      </c>
    </row>
    <row r="1257" ht="15.75" customHeight="1">
      <c r="A1257" s="1">
        <v>50.0</v>
      </c>
      <c r="B1257" s="1">
        <v>27.0</v>
      </c>
      <c r="C1257" s="1">
        <v>85.0</v>
      </c>
      <c r="D1257" s="1">
        <v>93.0</v>
      </c>
      <c r="F1257" s="1" t="str">
        <f>LOOKUP(A1257, NPCs!A:A, NPCs!C:C)</f>
        <v>Nagan Beast</v>
      </c>
      <c r="G1257" s="1" t="str">
        <f>LOOKUP(B1257, Maps!A:A, Maps!B:B)</f>
        <v>Nagan Oasis</v>
      </c>
    </row>
    <row r="1258" ht="15.75" customHeight="1">
      <c r="A1258" s="1">
        <v>50.0</v>
      </c>
      <c r="B1258" s="1">
        <v>27.0</v>
      </c>
      <c r="C1258" s="1">
        <v>79.0</v>
      </c>
      <c r="D1258" s="1">
        <v>87.0</v>
      </c>
      <c r="F1258" s="1" t="str">
        <f>LOOKUP(A1258, NPCs!A:A, NPCs!C:C)</f>
        <v>Nagan Beast</v>
      </c>
      <c r="G1258" s="1" t="str">
        <f>LOOKUP(B1258, Maps!A:A, Maps!B:B)</f>
        <v>Nagan Oasis</v>
      </c>
    </row>
    <row r="1259" ht="15.75" customHeight="1">
      <c r="A1259" s="1">
        <v>50.0</v>
      </c>
      <c r="B1259" s="1">
        <v>27.0</v>
      </c>
      <c r="C1259" s="1">
        <v>72.0</v>
      </c>
      <c r="D1259" s="1">
        <v>87.0</v>
      </c>
      <c r="F1259" s="1" t="str">
        <f>LOOKUP(A1259, NPCs!A:A, NPCs!C:C)</f>
        <v>Nagan Beast</v>
      </c>
      <c r="G1259" s="1" t="str">
        <f>LOOKUP(B1259, Maps!A:A, Maps!B:B)</f>
        <v>Nagan Oasis</v>
      </c>
    </row>
    <row r="1260" ht="15.75" customHeight="1">
      <c r="A1260" s="1">
        <v>50.0</v>
      </c>
      <c r="B1260" s="1">
        <v>27.0</v>
      </c>
      <c r="C1260" s="1">
        <v>64.0</v>
      </c>
      <c r="D1260" s="1">
        <v>84.0</v>
      </c>
      <c r="F1260" s="1" t="str">
        <f>LOOKUP(A1260, NPCs!A:A, NPCs!C:C)</f>
        <v>Nagan Beast</v>
      </c>
      <c r="G1260" s="1" t="str">
        <f>LOOKUP(B1260, Maps!A:A, Maps!B:B)</f>
        <v>Nagan Oasis</v>
      </c>
    </row>
    <row r="1261" ht="15.75" customHeight="1">
      <c r="A1261" s="1">
        <v>50.0</v>
      </c>
      <c r="B1261" s="1">
        <v>27.0</v>
      </c>
      <c r="C1261" s="1">
        <v>64.0</v>
      </c>
      <c r="D1261" s="1">
        <v>78.0</v>
      </c>
      <c r="F1261" s="1" t="str">
        <f>LOOKUP(A1261, NPCs!A:A, NPCs!C:C)</f>
        <v>Nagan Beast</v>
      </c>
      <c r="G1261" s="1" t="str">
        <f>LOOKUP(B1261, Maps!A:A, Maps!B:B)</f>
        <v>Nagan Oasis</v>
      </c>
    </row>
    <row r="1262" ht="15.75" customHeight="1">
      <c r="A1262" s="1">
        <v>50.0</v>
      </c>
      <c r="B1262" s="1">
        <v>27.0</v>
      </c>
      <c r="C1262" s="1">
        <v>64.0</v>
      </c>
      <c r="D1262" s="1">
        <v>72.0</v>
      </c>
      <c r="F1262" s="1" t="str">
        <f>LOOKUP(A1262, NPCs!A:A, NPCs!C:C)</f>
        <v>Nagan Beast</v>
      </c>
      <c r="G1262" s="1" t="str">
        <f>LOOKUP(B1262, Maps!A:A, Maps!B:B)</f>
        <v>Nagan Oasis</v>
      </c>
    </row>
    <row r="1263" ht="15.75" customHeight="1">
      <c r="A1263" s="1">
        <v>50.0</v>
      </c>
      <c r="B1263" s="1">
        <v>27.0</v>
      </c>
      <c r="C1263" s="1">
        <v>81.0</v>
      </c>
      <c r="D1263" s="1">
        <v>66.0</v>
      </c>
      <c r="F1263" s="1" t="str">
        <f>LOOKUP(A1263, NPCs!A:A, NPCs!C:C)</f>
        <v>Nagan Beast</v>
      </c>
      <c r="G1263" s="1" t="str">
        <f>LOOKUP(B1263, Maps!A:A, Maps!B:B)</f>
        <v>Nagan Oasis</v>
      </c>
    </row>
    <row r="1264" ht="15.75" customHeight="1">
      <c r="A1264" s="1">
        <v>50.0</v>
      </c>
      <c r="B1264" s="1">
        <v>27.0</v>
      </c>
      <c r="C1264" s="1">
        <v>71.0</v>
      </c>
      <c r="D1264" s="1">
        <v>63.0</v>
      </c>
      <c r="F1264" s="1" t="str">
        <f>LOOKUP(A1264, NPCs!A:A, NPCs!C:C)</f>
        <v>Nagan Beast</v>
      </c>
      <c r="G1264" s="1" t="str">
        <f>LOOKUP(B1264, Maps!A:A, Maps!B:B)</f>
        <v>Nagan Oasis</v>
      </c>
    </row>
    <row r="1265" ht="15.75" customHeight="1">
      <c r="A1265" s="1">
        <v>50.0</v>
      </c>
      <c r="B1265" s="1">
        <v>27.0</v>
      </c>
      <c r="C1265" s="1">
        <v>66.0</v>
      </c>
      <c r="D1265" s="1">
        <v>56.0</v>
      </c>
      <c r="F1265" s="1" t="str">
        <f>LOOKUP(A1265, NPCs!A:A, NPCs!C:C)</f>
        <v>Nagan Beast</v>
      </c>
      <c r="G1265" s="1" t="str">
        <f>LOOKUP(B1265, Maps!A:A, Maps!B:B)</f>
        <v>Nagan Oasis</v>
      </c>
    </row>
    <row r="1266" ht="15.75" customHeight="1">
      <c r="A1266" s="1">
        <v>50.0</v>
      </c>
      <c r="B1266" s="1">
        <v>27.0</v>
      </c>
      <c r="C1266" s="1">
        <v>76.0</v>
      </c>
      <c r="D1266" s="1">
        <v>56.0</v>
      </c>
      <c r="F1266" s="1" t="str">
        <f>LOOKUP(A1266, NPCs!A:A, NPCs!C:C)</f>
        <v>Nagan Beast</v>
      </c>
      <c r="G1266" s="1" t="str">
        <f>LOOKUP(B1266, Maps!A:A, Maps!B:B)</f>
        <v>Nagan Oasis</v>
      </c>
    </row>
    <row r="1267" ht="15.75" customHeight="1">
      <c r="A1267" s="1">
        <v>50.0</v>
      </c>
      <c r="B1267" s="1">
        <v>27.0</v>
      </c>
      <c r="C1267" s="1">
        <v>74.0</v>
      </c>
      <c r="D1267" s="1">
        <v>48.0</v>
      </c>
      <c r="F1267" s="1" t="str">
        <f>LOOKUP(A1267, NPCs!A:A, NPCs!C:C)</f>
        <v>Nagan Beast</v>
      </c>
      <c r="G1267" s="1" t="str">
        <f>LOOKUP(B1267, Maps!A:A, Maps!B:B)</f>
        <v>Nagan Oasis</v>
      </c>
    </row>
    <row r="1268" ht="15.75" customHeight="1">
      <c r="A1268" s="1">
        <v>50.0</v>
      </c>
      <c r="B1268" s="1">
        <v>27.0</v>
      </c>
      <c r="C1268" s="1">
        <v>64.0</v>
      </c>
      <c r="D1268" s="1">
        <v>49.0</v>
      </c>
      <c r="F1268" s="1" t="str">
        <f>LOOKUP(A1268, NPCs!A:A, NPCs!C:C)</f>
        <v>Nagan Beast</v>
      </c>
      <c r="G1268" s="1" t="str">
        <f>LOOKUP(B1268, Maps!A:A, Maps!B:B)</f>
        <v>Nagan Oasis</v>
      </c>
    </row>
    <row r="1269" ht="15.75" customHeight="1">
      <c r="A1269" s="1">
        <v>50.0</v>
      </c>
      <c r="B1269" s="1">
        <v>27.0</v>
      </c>
      <c r="C1269" s="1">
        <v>67.0</v>
      </c>
      <c r="D1269" s="1">
        <v>41.0</v>
      </c>
      <c r="F1269" s="1" t="str">
        <f>LOOKUP(A1269, NPCs!A:A, NPCs!C:C)</f>
        <v>Nagan Beast</v>
      </c>
      <c r="G1269" s="1" t="str">
        <f>LOOKUP(B1269, Maps!A:A, Maps!B:B)</f>
        <v>Nagan Oasis</v>
      </c>
    </row>
    <row r="1270" ht="15.75" customHeight="1">
      <c r="A1270" s="1">
        <v>50.0</v>
      </c>
      <c r="B1270" s="1">
        <v>27.0</v>
      </c>
      <c r="C1270" s="1">
        <v>76.0</v>
      </c>
      <c r="D1270" s="1">
        <v>37.0</v>
      </c>
      <c r="F1270" s="1" t="str">
        <f>LOOKUP(A1270, NPCs!A:A, NPCs!C:C)</f>
        <v>Nagan Beast</v>
      </c>
      <c r="G1270" s="1" t="str">
        <f>LOOKUP(B1270, Maps!A:A, Maps!B:B)</f>
        <v>Nagan Oasis</v>
      </c>
    </row>
    <row r="1271" ht="15.75" customHeight="1">
      <c r="A1271" s="1">
        <v>50.0</v>
      </c>
      <c r="B1271" s="1">
        <v>27.0</v>
      </c>
      <c r="C1271" s="1">
        <v>66.0</v>
      </c>
      <c r="D1271" s="1">
        <v>34.0</v>
      </c>
      <c r="F1271" s="1" t="str">
        <f>LOOKUP(A1271, NPCs!A:A, NPCs!C:C)</f>
        <v>Nagan Beast</v>
      </c>
      <c r="G1271" s="1" t="str">
        <f>LOOKUP(B1271, Maps!A:A, Maps!B:B)</f>
        <v>Nagan Oasis</v>
      </c>
    </row>
    <row r="1272" ht="15.75" customHeight="1">
      <c r="A1272" s="1">
        <v>50.0</v>
      </c>
      <c r="B1272" s="1">
        <v>27.0</v>
      </c>
      <c r="C1272" s="1">
        <v>72.0</v>
      </c>
      <c r="D1272" s="1">
        <v>29.0</v>
      </c>
      <c r="F1272" s="1" t="str">
        <f>LOOKUP(A1272, NPCs!A:A, NPCs!C:C)</f>
        <v>Nagan Beast</v>
      </c>
      <c r="G1272" s="1" t="str">
        <f>LOOKUP(B1272, Maps!A:A, Maps!B:B)</f>
        <v>Nagan Oasis</v>
      </c>
    </row>
    <row r="1273" ht="15.75" customHeight="1">
      <c r="A1273" s="1">
        <v>50.0</v>
      </c>
      <c r="B1273" s="1">
        <v>27.0</v>
      </c>
      <c r="C1273" s="1">
        <v>66.0</v>
      </c>
      <c r="D1273" s="1">
        <v>22.0</v>
      </c>
      <c r="F1273" s="1" t="str">
        <f>LOOKUP(A1273, NPCs!A:A, NPCs!C:C)</f>
        <v>Nagan Beast</v>
      </c>
      <c r="G1273" s="1" t="str">
        <f>LOOKUP(B1273, Maps!A:A, Maps!B:B)</f>
        <v>Nagan Oasis</v>
      </c>
    </row>
    <row r="1274" ht="15.75" customHeight="1">
      <c r="A1274" s="1">
        <v>50.0</v>
      </c>
      <c r="B1274" s="1">
        <v>27.0</v>
      </c>
      <c r="C1274" s="1">
        <v>64.0</v>
      </c>
      <c r="D1274" s="1">
        <v>15.0</v>
      </c>
      <c r="F1274" s="1" t="str">
        <f>LOOKUP(A1274, NPCs!A:A, NPCs!C:C)</f>
        <v>Nagan Beast</v>
      </c>
      <c r="G1274" s="1" t="str">
        <f>LOOKUP(B1274, Maps!A:A, Maps!B:B)</f>
        <v>Nagan Oasis</v>
      </c>
    </row>
    <row r="1275" ht="15.75" customHeight="1">
      <c r="A1275" s="1">
        <v>50.0</v>
      </c>
      <c r="B1275" s="1">
        <v>27.0</v>
      </c>
      <c r="C1275" s="1">
        <v>73.0</v>
      </c>
      <c r="D1275" s="1">
        <v>15.0</v>
      </c>
      <c r="F1275" s="1" t="str">
        <f>LOOKUP(A1275, NPCs!A:A, NPCs!C:C)</f>
        <v>Nagan Beast</v>
      </c>
      <c r="G1275" s="1" t="str">
        <f>LOOKUP(B1275, Maps!A:A, Maps!B:B)</f>
        <v>Nagan Oasis</v>
      </c>
    </row>
    <row r="1276" ht="15.75" customHeight="1">
      <c r="A1276" s="1">
        <v>50.0</v>
      </c>
      <c r="B1276" s="1">
        <v>27.0</v>
      </c>
      <c r="C1276" s="1">
        <v>60.0</v>
      </c>
      <c r="D1276" s="1">
        <v>62.0</v>
      </c>
      <c r="F1276" s="1" t="str">
        <f>LOOKUP(A1276, NPCs!A:A, NPCs!C:C)</f>
        <v>Nagan Beast</v>
      </c>
      <c r="G1276" s="1" t="str">
        <f>LOOKUP(B1276, Maps!A:A, Maps!B:B)</f>
        <v>Nagan Oasis</v>
      </c>
    </row>
    <row r="1277" ht="15.75" customHeight="1">
      <c r="A1277" s="1">
        <v>50.0</v>
      </c>
      <c r="B1277" s="1">
        <v>27.0</v>
      </c>
      <c r="C1277" s="1">
        <v>50.0</v>
      </c>
      <c r="D1277" s="1">
        <v>91.0</v>
      </c>
      <c r="F1277" s="1" t="str">
        <f>LOOKUP(A1277, NPCs!A:A, NPCs!C:C)</f>
        <v>Nagan Beast</v>
      </c>
      <c r="G1277" s="1" t="str">
        <f>LOOKUP(B1277, Maps!A:A, Maps!B:B)</f>
        <v>Nagan Oasis</v>
      </c>
    </row>
    <row r="1278" ht="15.75" customHeight="1">
      <c r="A1278" s="1">
        <v>50.0</v>
      </c>
      <c r="B1278" s="1">
        <v>27.0</v>
      </c>
      <c r="C1278" s="1">
        <v>55.0</v>
      </c>
      <c r="D1278" s="1">
        <v>84.0</v>
      </c>
      <c r="F1278" s="1" t="str">
        <f>LOOKUP(A1278, NPCs!A:A, NPCs!C:C)</f>
        <v>Nagan Beast</v>
      </c>
      <c r="G1278" s="1" t="str">
        <f>LOOKUP(B1278, Maps!A:A, Maps!B:B)</f>
        <v>Nagan Oasis</v>
      </c>
    </row>
    <row r="1279" ht="15.75" customHeight="1">
      <c r="A1279" s="1">
        <v>50.0</v>
      </c>
      <c r="B1279" s="1">
        <v>27.0</v>
      </c>
      <c r="C1279" s="1">
        <v>49.0</v>
      </c>
      <c r="D1279" s="1">
        <v>77.0</v>
      </c>
      <c r="F1279" s="1" t="str">
        <f>LOOKUP(A1279, NPCs!A:A, NPCs!C:C)</f>
        <v>Nagan Beast</v>
      </c>
      <c r="G1279" s="1" t="str">
        <f>LOOKUP(B1279, Maps!A:A, Maps!B:B)</f>
        <v>Nagan Oasis</v>
      </c>
    </row>
    <row r="1280" ht="15.75" customHeight="1">
      <c r="A1280" s="1">
        <v>50.0</v>
      </c>
      <c r="B1280" s="1">
        <v>27.0</v>
      </c>
      <c r="C1280" s="1">
        <v>54.0</v>
      </c>
      <c r="D1280" s="1">
        <v>68.0</v>
      </c>
      <c r="F1280" s="1" t="str">
        <f>LOOKUP(A1280, NPCs!A:A, NPCs!C:C)</f>
        <v>Nagan Beast</v>
      </c>
      <c r="G1280" s="1" t="str">
        <f>LOOKUP(B1280, Maps!A:A, Maps!B:B)</f>
        <v>Nagan Oasis</v>
      </c>
    </row>
    <row r="1281" ht="15.75" customHeight="1">
      <c r="A1281" s="1">
        <v>50.0</v>
      </c>
      <c r="B1281" s="1">
        <v>27.0</v>
      </c>
      <c r="C1281" s="1">
        <v>49.0</v>
      </c>
      <c r="D1281" s="1">
        <v>61.0</v>
      </c>
      <c r="F1281" s="1" t="str">
        <f>LOOKUP(A1281, NPCs!A:A, NPCs!C:C)</f>
        <v>Nagan Beast</v>
      </c>
      <c r="G1281" s="1" t="str">
        <f>LOOKUP(B1281, Maps!A:A, Maps!B:B)</f>
        <v>Nagan Oasis</v>
      </c>
    </row>
    <row r="1282" ht="15.75" customHeight="1">
      <c r="A1282" s="1">
        <v>50.0</v>
      </c>
      <c r="B1282" s="1">
        <v>27.0</v>
      </c>
      <c r="C1282" s="1">
        <v>55.0</v>
      </c>
      <c r="D1282" s="1">
        <v>55.0</v>
      </c>
      <c r="F1282" s="1" t="str">
        <f>LOOKUP(A1282, NPCs!A:A, NPCs!C:C)</f>
        <v>Nagan Beast</v>
      </c>
      <c r="G1282" s="1" t="str">
        <f>LOOKUP(B1282, Maps!A:A, Maps!B:B)</f>
        <v>Nagan Oasis</v>
      </c>
    </row>
    <row r="1283" ht="15.75" customHeight="1">
      <c r="A1283" s="1">
        <v>50.0</v>
      </c>
      <c r="B1283" s="1">
        <v>27.0</v>
      </c>
      <c r="C1283" s="1">
        <v>54.0</v>
      </c>
      <c r="D1283" s="1">
        <v>47.0</v>
      </c>
      <c r="F1283" s="1" t="str">
        <f>LOOKUP(A1283, NPCs!A:A, NPCs!C:C)</f>
        <v>Nagan Beast</v>
      </c>
      <c r="G1283" s="1" t="str">
        <f>LOOKUP(B1283, Maps!A:A, Maps!B:B)</f>
        <v>Nagan Oasis</v>
      </c>
    </row>
    <row r="1284" ht="15.75" customHeight="1">
      <c r="A1284" s="1">
        <v>50.0</v>
      </c>
      <c r="B1284" s="1">
        <v>27.0</v>
      </c>
      <c r="C1284" s="1">
        <v>47.0</v>
      </c>
      <c r="D1284" s="1">
        <v>40.0</v>
      </c>
      <c r="F1284" s="1" t="str">
        <f>LOOKUP(A1284, NPCs!A:A, NPCs!C:C)</f>
        <v>Nagan Beast</v>
      </c>
      <c r="G1284" s="1" t="str">
        <f>LOOKUP(B1284, Maps!A:A, Maps!B:B)</f>
        <v>Nagan Oasis</v>
      </c>
    </row>
    <row r="1285" ht="15.75" customHeight="1">
      <c r="A1285" s="1">
        <v>50.0</v>
      </c>
      <c r="B1285" s="1">
        <v>27.0</v>
      </c>
      <c r="C1285" s="1">
        <v>55.0</v>
      </c>
      <c r="D1285" s="1">
        <v>32.0</v>
      </c>
      <c r="F1285" s="1" t="str">
        <f>LOOKUP(A1285, NPCs!A:A, NPCs!C:C)</f>
        <v>Nagan Beast</v>
      </c>
      <c r="G1285" s="1" t="str">
        <f>LOOKUP(B1285, Maps!A:A, Maps!B:B)</f>
        <v>Nagan Oasis</v>
      </c>
    </row>
    <row r="1286" ht="15.75" customHeight="1">
      <c r="A1286" s="1">
        <v>50.0</v>
      </c>
      <c r="B1286" s="1">
        <v>27.0</v>
      </c>
      <c r="C1286" s="1">
        <v>54.0</v>
      </c>
      <c r="D1286" s="1">
        <v>25.0</v>
      </c>
      <c r="F1286" s="1" t="str">
        <f>LOOKUP(A1286, NPCs!A:A, NPCs!C:C)</f>
        <v>Nagan Beast</v>
      </c>
      <c r="G1286" s="1" t="str">
        <f>LOOKUP(B1286, Maps!A:A, Maps!B:B)</f>
        <v>Nagan Oasis</v>
      </c>
    </row>
    <row r="1287" ht="15.75" customHeight="1">
      <c r="A1287" s="1">
        <v>50.0</v>
      </c>
      <c r="B1287" s="1">
        <v>27.0</v>
      </c>
      <c r="C1287" s="1">
        <v>55.0</v>
      </c>
      <c r="D1287" s="1">
        <v>18.0</v>
      </c>
      <c r="F1287" s="1" t="str">
        <f>LOOKUP(A1287, NPCs!A:A, NPCs!C:C)</f>
        <v>Nagan Beast</v>
      </c>
      <c r="G1287" s="1" t="str">
        <f>LOOKUP(B1287, Maps!A:A, Maps!B:B)</f>
        <v>Nagan Oasis</v>
      </c>
    </row>
    <row r="1288" ht="15.75" customHeight="1">
      <c r="A1288" s="1">
        <v>50.0</v>
      </c>
      <c r="B1288" s="1">
        <v>27.0</v>
      </c>
      <c r="C1288" s="1">
        <v>41.0</v>
      </c>
      <c r="D1288" s="1">
        <v>16.0</v>
      </c>
      <c r="F1288" s="1" t="str">
        <f>LOOKUP(A1288, NPCs!A:A, NPCs!C:C)</f>
        <v>Nagan Beast</v>
      </c>
      <c r="G1288" s="1" t="str">
        <f>LOOKUP(B1288, Maps!A:A, Maps!B:B)</f>
        <v>Nagan Oasis</v>
      </c>
    </row>
    <row r="1289" ht="15.75" customHeight="1">
      <c r="A1289" s="1">
        <v>50.0</v>
      </c>
      <c r="B1289" s="1">
        <v>27.0</v>
      </c>
      <c r="C1289" s="1">
        <v>44.0</v>
      </c>
      <c r="D1289" s="1">
        <v>23.0</v>
      </c>
      <c r="F1289" s="1" t="str">
        <f>LOOKUP(A1289, NPCs!A:A, NPCs!C:C)</f>
        <v>Nagan Beast</v>
      </c>
      <c r="G1289" s="1" t="str">
        <f>LOOKUP(B1289, Maps!A:A, Maps!B:B)</f>
        <v>Nagan Oasis</v>
      </c>
    </row>
    <row r="1290" ht="15.75" customHeight="1">
      <c r="A1290" s="1">
        <v>50.0</v>
      </c>
      <c r="B1290" s="1">
        <v>27.0</v>
      </c>
      <c r="C1290" s="1">
        <v>41.0</v>
      </c>
      <c r="D1290" s="1">
        <v>32.0</v>
      </c>
      <c r="F1290" s="1" t="str">
        <f>LOOKUP(A1290, NPCs!A:A, NPCs!C:C)</f>
        <v>Nagan Beast</v>
      </c>
      <c r="G1290" s="1" t="str">
        <f>LOOKUP(B1290, Maps!A:A, Maps!B:B)</f>
        <v>Nagan Oasis</v>
      </c>
    </row>
    <row r="1291" ht="15.75" customHeight="1">
      <c r="A1291" s="1">
        <v>50.0</v>
      </c>
      <c r="B1291" s="1">
        <v>27.0</v>
      </c>
      <c r="C1291" s="1">
        <v>33.0</v>
      </c>
      <c r="D1291" s="1">
        <v>37.0</v>
      </c>
      <c r="F1291" s="1" t="str">
        <f>LOOKUP(A1291, NPCs!A:A, NPCs!C:C)</f>
        <v>Nagan Beast</v>
      </c>
      <c r="G1291" s="1" t="str">
        <f>LOOKUP(B1291, Maps!A:A, Maps!B:B)</f>
        <v>Nagan Oasis</v>
      </c>
    </row>
    <row r="1292" ht="15.75" customHeight="1">
      <c r="A1292" s="1">
        <v>50.0</v>
      </c>
      <c r="B1292" s="1">
        <v>27.0</v>
      </c>
      <c r="C1292" s="1">
        <v>37.0</v>
      </c>
      <c r="D1292" s="1">
        <v>44.0</v>
      </c>
      <c r="F1292" s="1" t="str">
        <f>LOOKUP(A1292, NPCs!A:A, NPCs!C:C)</f>
        <v>Nagan Beast</v>
      </c>
      <c r="G1292" s="1" t="str">
        <f>LOOKUP(B1292, Maps!A:A, Maps!B:B)</f>
        <v>Nagan Oasis</v>
      </c>
    </row>
    <row r="1293" ht="15.75" customHeight="1">
      <c r="A1293" s="1">
        <v>50.0</v>
      </c>
      <c r="B1293" s="1">
        <v>27.0</v>
      </c>
      <c r="C1293" s="1">
        <v>45.0</v>
      </c>
      <c r="D1293" s="1">
        <v>52.0</v>
      </c>
      <c r="F1293" s="1" t="str">
        <f>LOOKUP(A1293, NPCs!A:A, NPCs!C:C)</f>
        <v>Nagan Beast</v>
      </c>
      <c r="G1293" s="1" t="str">
        <f>LOOKUP(B1293, Maps!A:A, Maps!B:B)</f>
        <v>Nagan Oasis</v>
      </c>
    </row>
    <row r="1294" ht="15.75" customHeight="1">
      <c r="A1294" s="1">
        <v>50.0</v>
      </c>
      <c r="B1294" s="1">
        <v>27.0</v>
      </c>
      <c r="C1294" s="1">
        <v>35.0</v>
      </c>
      <c r="D1294" s="1">
        <v>56.0</v>
      </c>
      <c r="F1294" s="1" t="str">
        <f>LOOKUP(A1294, NPCs!A:A, NPCs!C:C)</f>
        <v>Nagan Beast</v>
      </c>
      <c r="G1294" s="1" t="str">
        <f>LOOKUP(B1294, Maps!A:A, Maps!B:B)</f>
        <v>Nagan Oasis</v>
      </c>
    </row>
    <row r="1295" ht="15.75" customHeight="1">
      <c r="A1295" s="1">
        <v>50.0</v>
      </c>
      <c r="B1295" s="1">
        <v>27.0</v>
      </c>
      <c r="C1295" s="1">
        <v>43.0</v>
      </c>
      <c r="D1295" s="1">
        <v>67.0</v>
      </c>
      <c r="F1295" s="1" t="str">
        <f>LOOKUP(A1295, NPCs!A:A, NPCs!C:C)</f>
        <v>Nagan Beast</v>
      </c>
      <c r="G1295" s="1" t="str">
        <f>LOOKUP(B1295, Maps!A:A, Maps!B:B)</f>
        <v>Nagan Oasis</v>
      </c>
    </row>
    <row r="1296" ht="15.75" customHeight="1">
      <c r="A1296" s="1">
        <v>50.0</v>
      </c>
      <c r="B1296" s="1">
        <v>27.0</v>
      </c>
      <c r="C1296" s="1">
        <v>34.0</v>
      </c>
      <c r="D1296" s="1">
        <v>63.0</v>
      </c>
      <c r="F1296" s="1" t="str">
        <f>LOOKUP(A1296, NPCs!A:A, NPCs!C:C)</f>
        <v>Nagan Beast</v>
      </c>
      <c r="G1296" s="1" t="str">
        <f>LOOKUP(B1296, Maps!A:A, Maps!B:B)</f>
        <v>Nagan Oasis</v>
      </c>
    </row>
    <row r="1297" ht="15.75" customHeight="1">
      <c r="A1297" s="1">
        <v>50.0</v>
      </c>
      <c r="B1297" s="1">
        <v>27.0</v>
      </c>
      <c r="C1297" s="1">
        <v>31.0</v>
      </c>
      <c r="D1297" s="1">
        <v>71.0</v>
      </c>
      <c r="F1297" s="1" t="str">
        <f>LOOKUP(A1297, NPCs!A:A, NPCs!C:C)</f>
        <v>Nagan Beast</v>
      </c>
      <c r="G1297" s="1" t="str">
        <f>LOOKUP(B1297, Maps!A:A, Maps!B:B)</f>
        <v>Nagan Oasis</v>
      </c>
    </row>
    <row r="1298" ht="15.75" customHeight="1">
      <c r="A1298" s="1">
        <v>50.0</v>
      </c>
      <c r="B1298" s="1">
        <v>27.0</v>
      </c>
      <c r="C1298" s="1">
        <v>25.0</v>
      </c>
      <c r="D1298" s="1">
        <v>66.0</v>
      </c>
      <c r="F1298" s="1" t="str">
        <f>LOOKUP(A1298, NPCs!A:A, NPCs!C:C)</f>
        <v>Nagan Beast</v>
      </c>
      <c r="G1298" s="1" t="str">
        <f>LOOKUP(B1298, Maps!A:A, Maps!B:B)</f>
        <v>Nagan Oasis</v>
      </c>
    </row>
    <row r="1299" ht="15.75" customHeight="1">
      <c r="A1299" s="1">
        <v>50.0</v>
      </c>
      <c r="B1299" s="1">
        <v>27.0</v>
      </c>
      <c r="C1299" s="1">
        <v>26.0</v>
      </c>
      <c r="D1299" s="1">
        <v>58.0</v>
      </c>
      <c r="F1299" s="1" t="str">
        <f>LOOKUP(A1299, NPCs!A:A, NPCs!C:C)</f>
        <v>Nagan Beast</v>
      </c>
      <c r="G1299" s="1" t="str">
        <f>LOOKUP(B1299, Maps!A:A, Maps!B:B)</f>
        <v>Nagan Oasis</v>
      </c>
    </row>
    <row r="1300" ht="15.75" customHeight="1">
      <c r="A1300" s="1">
        <v>50.0</v>
      </c>
      <c r="B1300" s="1">
        <v>27.0</v>
      </c>
      <c r="C1300" s="1">
        <v>26.0</v>
      </c>
      <c r="D1300" s="1">
        <v>79.0</v>
      </c>
      <c r="F1300" s="1" t="str">
        <f>LOOKUP(A1300, NPCs!A:A, NPCs!C:C)</f>
        <v>Nagan Beast</v>
      </c>
      <c r="G1300" s="1" t="str">
        <f>LOOKUP(B1300, Maps!A:A, Maps!B:B)</f>
        <v>Nagan Oasis</v>
      </c>
    </row>
    <row r="1301" ht="15.75" customHeight="1">
      <c r="A1301" s="1">
        <v>50.0</v>
      </c>
      <c r="B1301" s="1">
        <v>27.0</v>
      </c>
      <c r="C1301" s="1">
        <v>38.0</v>
      </c>
      <c r="D1301" s="1">
        <v>78.0</v>
      </c>
      <c r="F1301" s="1" t="str">
        <f>LOOKUP(A1301, NPCs!A:A, NPCs!C:C)</f>
        <v>Nagan Beast</v>
      </c>
      <c r="G1301" s="1" t="str">
        <f>LOOKUP(B1301, Maps!A:A, Maps!B:B)</f>
        <v>Nagan Oasis</v>
      </c>
    </row>
    <row r="1302" ht="15.75" customHeight="1">
      <c r="A1302" s="1">
        <v>50.0</v>
      </c>
      <c r="B1302" s="1">
        <v>27.0</v>
      </c>
      <c r="C1302" s="1">
        <v>25.0</v>
      </c>
      <c r="D1302" s="1">
        <v>51.0</v>
      </c>
      <c r="F1302" s="1" t="str">
        <f>LOOKUP(A1302, NPCs!A:A, NPCs!C:C)</f>
        <v>Nagan Beast</v>
      </c>
      <c r="G1302" s="1" t="str">
        <f>LOOKUP(B1302, Maps!A:A, Maps!B:B)</f>
        <v>Nagan Oasis</v>
      </c>
    </row>
    <row r="1303" ht="15.75" customHeight="1">
      <c r="A1303" s="1">
        <v>50.0</v>
      </c>
      <c r="B1303" s="1">
        <v>27.0</v>
      </c>
      <c r="C1303" s="1">
        <v>27.0</v>
      </c>
      <c r="D1303" s="1">
        <v>42.0</v>
      </c>
      <c r="F1303" s="1" t="str">
        <f>LOOKUP(A1303, NPCs!A:A, NPCs!C:C)</f>
        <v>Nagan Beast</v>
      </c>
      <c r="G1303" s="1" t="str">
        <f>LOOKUP(B1303, Maps!A:A, Maps!B:B)</f>
        <v>Nagan Oasis</v>
      </c>
    </row>
    <row r="1304" ht="15.75" customHeight="1">
      <c r="A1304" s="1">
        <v>50.0</v>
      </c>
      <c r="B1304" s="1">
        <v>27.0</v>
      </c>
      <c r="C1304" s="1">
        <v>24.0</v>
      </c>
      <c r="D1304" s="1">
        <v>33.0</v>
      </c>
      <c r="F1304" s="1" t="str">
        <f>LOOKUP(A1304, NPCs!A:A, NPCs!C:C)</f>
        <v>Nagan Beast</v>
      </c>
      <c r="G1304" s="1" t="str">
        <f>LOOKUP(B1304, Maps!A:A, Maps!B:B)</f>
        <v>Nagan Oasis</v>
      </c>
    </row>
    <row r="1305" ht="15.75" customHeight="1">
      <c r="A1305" s="1">
        <v>50.0</v>
      </c>
      <c r="B1305" s="1">
        <v>27.0</v>
      </c>
      <c r="C1305" s="1">
        <v>31.0</v>
      </c>
      <c r="D1305" s="1">
        <v>29.0</v>
      </c>
      <c r="F1305" s="1" t="str">
        <f>LOOKUP(A1305, NPCs!A:A, NPCs!C:C)</f>
        <v>Nagan Beast</v>
      </c>
      <c r="G1305" s="1" t="str">
        <f>LOOKUP(B1305, Maps!A:A, Maps!B:B)</f>
        <v>Nagan Oasis</v>
      </c>
    </row>
    <row r="1306" ht="15.75" customHeight="1">
      <c r="A1306" s="1">
        <v>50.0</v>
      </c>
      <c r="B1306" s="1">
        <v>27.0</v>
      </c>
      <c r="C1306" s="1">
        <v>35.0</v>
      </c>
      <c r="D1306" s="1">
        <v>22.0</v>
      </c>
      <c r="F1306" s="1" t="str">
        <f>LOOKUP(A1306, NPCs!A:A, NPCs!C:C)</f>
        <v>Nagan Beast</v>
      </c>
      <c r="G1306" s="1" t="str">
        <f>LOOKUP(B1306, Maps!A:A, Maps!B:B)</f>
        <v>Nagan Oasis</v>
      </c>
    </row>
    <row r="1307" ht="15.75" customHeight="1">
      <c r="A1307" s="1">
        <v>50.0</v>
      </c>
      <c r="B1307" s="1">
        <v>27.0</v>
      </c>
      <c r="C1307" s="1">
        <v>26.0</v>
      </c>
      <c r="D1307" s="1">
        <v>19.0</v>
      </c>
      <c r="F1307" s="1" t="str">
        <f>LOOKUP(A1307, NPCs!A:A, NPCs!C:C)</f>
        <v>Nagan Beast</v>
      </c>
      <c r="G1307" s="1" t="str">
        <f>LOOKUP(B1307, Maps!A:A, Maps!B:B)</f>
        <v>Nagan Oasis</v>
      </c>
    </row>
    <row r="1308" ht="15.75" customHeight="1">
      <c r="A1308" s="1">
        <v>50.0</v>
      </c>
      <c r="B1308" s="1">
        <v>27.0</v>
      </c>
      <c r="C1308" s="1">
        <v>26.0</v>
      </c>
      <c r="D1308" s="1">
        <v>12.0</v>
      </c>
      <c r="F1308" s="1" t="str">
        <f>LOOKUP(A1308, NPCs!A:A, NPCs!C:C)</f>
        <v>Nagan Beast</v>
      </c>
      <c r="G1308" s="1" t="str">
        <f>LOOKUP(B1308, Maps!A:A, Maps!B:B)</f>
        <v>Nagan Oasis</v>
      </c>
    </row>
    <row r="1309" ht="15.75" customHeight="1">
      <c r="A1309" s="1">
        <v>50.0</v>
      </c>
      <c r="B1309" s="1">
        <v>27.0</v>
      </c>
      <c r="C1309" s="1">
        <v>17.0</v>
      </c>
      <c r="D1309" s="1">
        <v>20.0</v>
      </c>
      <c r="F1309" s="1" t="str">
        <f>LOOKUP(A1309, NPCs!A:A, NPCs!C:C)</f>
        <v>Nagan Beast</v>
      </c>
      <c r="G1309" s="1" t="str">
        <f>LOOKUP(B1309, Maps!A:A, Maps!B:B)</f>
        <v>Nagan Oasis</v>
      </c>
    </row>
    <row r="1310" ht="15.75" customHeight="1">
      <c r="A1310" s="1">
        <v>50.0</v>
      </c>
      <c r="B1310" s="1">
        <v>27.0</v>
      </c>
      <c r="C1310" s="1">
        <v>20.0</v>
      </c>
      <c r="D1310" s="1">
        <v>28.0</v>
      </c>
      <c r="F1310" s="1" t="str">
        <f>LOOKUP(A1310, NPCs!A:A, NPCs!C:C)</f>
        <v>Nagan Beast</v>
      </c>
      <c r="G1310" s="1" t="str">
        <f>LOOKUP(B1310, Maps!A:A, Maps!B:B)</f>
        <v>Nagan Oasis</v>
      </c>
    </row>
    <row r="1311" ht="15.75" customHeight="1">
      <c r="A1311" s="1">
        <v>50.0</v>
      </c>
      <c r="B1311" s="1">
        <v>27.0</v>
      </c>
      <c r="C1311" s="1">
        <v>18.0</v>
      </c>
      <c r="D1311" s="1">
        <v>39.0</v>
      </c>
      <c r="F1311" s="1" t="str">
        <f>LOOKUP(A1311, NPCs!A:A, NPCs!C:C)</f>
        <v>Nagan Beast</v>
      </c>
      <c r="G1311" s="1" t="str">
        <f>LOOKUP(B1311, Maps!A:A, Maps!B:B)</f>
        <v>Nagan Oasis</v>
      </c>
    </row>
    <row r="1312" ht="15.75" customHeight="1">
      <c r="A1312" s="1">
        <v>50.0</v>
      </c>
      <c r="B1312" s="1">
        <v>27.0</v>
      </c>
      <c r="C1312" s="1">
        <v>18.0</v>
      </c>
      <c r="D1312" s="1">
        <v>45.0</v>
      </c>
      <c r="F1312" s="1" t="str">
        <f>LOOKUP(A1312, NPCs!A:A, NPCs!C:C)</f>
        <v>Nagan Beast</v>
      </c>
      <c r="G1312" s="1" t="str">
        <f>LOOKUP(B1312, Maps!A:A, Maps!B:B)</f>
        <v>Nagan Oasis</v>
      </c>
    </row>
    <row r="1313" ht="15.75" customHeight="1">
      <c r="A1313" s="1">
        <v>50.0</v>
      </c>
      <c r="B1313" s="1">
        <v>27.0</v>
      </c>
      <c r="C1313" s="1">
        <v>17.0</v>
      </c>
      <c r="D1313" s="1">
        <v>54.0</v>
      </c>
      <c r="F1313" s="1" t="str">
        <f>LOOKUP(A1313, NPCs!A:A, NPCs!C:C)</f>
        <v>Nagan Beast</v>
      </c>
      <c r="G1313" s="1" t="str">
        <f>LOOKUP(B1313, Maps!A:A, Maps!B:B)</f>
        <v>Nagan Oasis</v>
      </c>
    </row>
    <row r="1314" ht="15.75" customHeight="1">
      <c r="A1314" s="1">
        <v>50.0</v>
      </c>
      <c r="B1314" s="1">
        <v>27.0</v>
      </c>
      <c r="C1314" s="1">
        <v>17.0</v>
      </c>
      <c r="D1314" s="1">
        <v>60.0</v>
      </c>
      <c r="F1314" s="1" t="str">
        <f>LOOKUP(A1314, NPCs!A:A, NPCs!C:C)</f>
        <v>Nagan Beast</v>
      </c>
      <c r="G1314" s="1" t="str">
        <f>LOOKUP(B1314, Maps!A:A, Maps!B:B)</f>
        <v>Nagan Oasis</v>
      </c>
    </row>
    <row r="1315" ht="15.75" customHeight="1">
      <c r="A1315" s="1">
        <v>50.0</v>
      </c>
      <c r="B1315" s="1">
        <v>27.0</v>
      </c>
      <c r="C1315" s="1">
        <v>15.0</v>
      </c>
      <c r="D1315" s="1">
        <v>68.0</v>
      </c>
      <c r="F1315" s="1" t="str">
        <f>LOOKUP(A1315, NPCs!A:A, NPCs!C:C)</f>
        <v>Nagan Beast</v>
      </c>
      <c r="G1315" s="1" t="str">
        <f>LOOKUP(B1315, Maps!A:A, Maps!B:B)</f>
        <v>Nagan Oasis</v>
      </c>
    </row>
    <row r="1316" ht="15.75" customHeight="1">
      <c r="A1316" s="1">
        <v>50.0</v>
      </c>
      <c r="B1316" s="1">
        <v>27.0</v>
      </c>
      <c r="C1316" s="1">
        <v>17.0</v>
      </c>
      <c r="D1316" s="1">
        <v>76.0</v>
      </c>
      <c r="F1316" s="1" t="str">
        <f>LOOKUP(A1316, NPCs!A:A, NPCs!C:C)</f>
        <v>Nagan Beast</v>
      </c>
      <c r="G1316" s="1" t="str">
        <f>LOOKUP(B1316, Maps!A:A, Maps!B:B)</f>
        <v>Nagan Oasis</v>
      </c>
    </row>
    <row r="1317" ht="15.75" customHeight="1">
      <c r="A1317" s="1">
        <v>50.0</v>
      </c>
      <c r="B1317" s="1">
        <v>27.0</v>
      </c>
      <c r="C1317" s="1">
        <v>15.0</v>
      </c>
      <c r="D1317" s="1">
        <v>85.0</v>
      </c>
      <c r="F1317" s="1" t="str">
        <f>LOOKUP(A1317, NPCs!A:A, NPCs!C:C)</f>
        <v>Nagan Beast</v>
      </c>
      <c r="G1317" s="1" t="str">
        <f>LOOKUP(B1317, Maps!A:A, Maps!B:B)</f>
        <v>Nagan Oasis</v>
      </c>
    </row>
    <row r="1318" ht="15.75" customHeight="1">
      <c r="A1318" s="1">
        <v>50.0</v>
      </c>
      <c r="B1318" s="1">
        <v>27.0</v>
      </c>
      <c r="C1318" s="1">
        <v>7.0</v>
      </c>
      <c r="D1318" s="1">
        <v>79.0</v>
      </c>
      <c r="F1318" s="1" t="str">
        <f>LOOKUP(A1318, NPCs!A:A, NPCs!C:C)</f>
        <v>Nagan Beast</v>
      </c>
      <c r="G1318" s="1" t="str">
        <f>LOOKUP(B1318, Maps!A:A, Maps!B:B)</f>
        <v>Nagan Oasis</v>
      </c>
    </row>
    <row r="1319" ht="15.75" customHeight="1">
      <c r="A1319" s="1">
        <v>50.0</v>
      </c>
      <c r="B1319" s="1">
        <v>27.0</v>
      </c>
      <c r="C1319" s="1">
        <v>7.0</v>
      </c>
      <c r="D1319" s="1">
        <v>72.0</v>
      </c>
      <c r="F1319" s="1" t="str">
        <f>LOOKUP(A1319, NPCs!A:A, NPCs!C:C)</f>
        <v>Nagan Beast</v>
      </c>
      <c r="G1319" s="1" t="str">
        <f>LOOKUP(B1319, Maps!A:A, Maps!B:B)</f>
        <v>Nagan Oasis</v>
      </c>
    </row>
    <row r="1320" ht="15.75" customHeight="1">
      <c r="A1320" s="1">
        <v>50.0</v>
      </c>
      <c r="B1320" s="1">
        <v>27.0</v>
      </c>
      <c r="C1320" s="1">
        <v>7.0</v>
      </c>
      <c r="D1320" s="1">
        <v>66.0</v>
      </c>
      <c r="F1320" s="1" t="str">
        <f>LOOKUP(A1320, NPCs!A:A, NPCs!C:C)</f>
        <v>Nagan Beast</v>
      </c>
      <c r="G1320" s="1" t="str">
        <f>LOOKUP(B1320, Maps!A:A, Maps!B:B)</f>
        <v>Nagan Oasis</v>
      </c>
    </row>
    <row r="1321" ht="15.75" customHeight="1">
      <c r="A1321" s="1">
        <v>50.0</v>
      </c>
      <c r="B1321" s="1">
        <v>27.0</v>
      </c>
      <c r="C1321" s="1">
        <v>7.0</v>
      </c>
      <c r="D1321" s="1">
        <v>60.0</v>
      </c>
      <c r="F1321" s="1" t="str">
        <f>LOOKUP(A1321, NPCs!A:A, NPCs!C:C)</f>
        <v>Nagan Beast</v>
      </c>
      <c r="G1321" s="1" t="str">
        <f>LOOKUP(B1321, Maps!A:A, Maps!B:B)</f>
        <v>Nagan Oasis</v>
      </c>
    </row>
    <row r="1322" ht="15.75" customHeight="1">
      <c r="A1322" s="1">
        <v>50.0</v>
      </c>
      <c r="B1322" s="1">
        <v>27.0</v>
      </c>
      <c r="C1322" s="1">
        <v>10.0</v>
      </c>
      <c r="D1322" s="1">
        <v>42.0</v>
      </c>
      <c r="F1322" s="1" t="str">
        <f>LOOKUP(A1322, NPCs!A:A, NPCs!C:C)</f>
        <v>Nagan Beast</v>
      </c>
      <c r="G1322" s="1" t="str">
        <f>LOOKUP(B1322, Maps!A:A, Maps!B:B)</f>
        <v>Nagan Oasis</v>
      </c>
    </row>
    <row r="1323" ht="15.75" customHeight="1">
      <c r="A1323" s="1">
        <v>50.0</v>
      </c>
      <c r="B1323" s="1">
        <v>27.0</v>
      </c>
      <c r="C1323" s="1">
        <v>10.0</v>
      </c>
      <c r="D1323" s="1">
        <v>36.0</v>
      </c>
      <c r="F1323" s="1" t="str">
        <f>LOOKUP(A1323, NPCs!A:A, NPCs!C:C)</f>
        <v>Nagan Beast</v>
      </c>
      <c r="G1323" s="1" t="str">
        <f>LOOKUP(B1323, Maps!A:A, Maps!B:B)</f>
        <v>Nagan Oasis</v>
      </c>
    </row>
    <row r="1324" ht="15.75" customHeight="1">
      <c r="A1324" s="1">
        <v>50.0</v>
      </c>
      <c r="B1324" s="1">
        <v>27.0</v>
      </c>
      <c r="C1324" s="1">
        <v>10.0</v>
      </c>
      <c r="D1324" s="1">
        <v>30.0</v>
      </c>
      <c r="F1324" s="1" t="str">
        <f>LOOKUP(A1324, NPCs!A:A, NPCs!C:C)</f>
        <v>Nagan Beast</v>
      </c>
      <c r="G1324" s="1" t="str">
        <f>LOOKUP(B1324, Maps!A:A, Maps!B:B)</f>
        <v>Nagan Oasis</v>
      </c>
    </row>
    <row r="1325" ht="15.75" customHeight="1">
      <c r="A1325" s="1">
        <v>50.0</v>
      </c>
      <c r="B1325" s="1">
        <v>27.0</v>
      </c>
      <c r="C1325" s="1">
        <v>10.0</v>
      </c>
      <c r="D1325" s="1">
        <v>24.0</v>
      </c>
      <c r="F1325" s="1" t="str">
        <f>LOOKUP(A1325, NPCs!A:A, NPCs!C:C)</f>
        <v>Nagan Beast</v>
      </c>
      <c r="G1325" s="1" t="str">
        <f>LOOKUP(B1325, Maps!A:A, Maps!B:B)</f>
        <v>Nagan Oasis</v>
      </c>
    </row>
    <row r="1326" ht="15.75" customHeight="1">
      <c r="A1326" s="1">
        <v>50.0</v>
      </c>
      <c r="B1326" s="1">
        <v>27.0</v>
      </c>
      <c r="C1326" s="1">
        <v>10.0</v>
      </c>
      <c r="D1326" s="1">
        <v>18.0</v>
      </c>
      <c r="F1326" s="1" t="str">
        <f>LOOKUP(A1326, NPCs!A:A, NPCs!C:C)</f>
        <v>Nagan Beast</v>
      </c>
      <c r="G1326" s="1" t="str">
        <f>LOOKUP(B1326, Maps!A:A, Maps!B:B)</f>
        <v>Nagan Oasis</v>
      </c>
    </row>
    <row r="1327" ht="15.75" customHeight="1">
      <c r="A1327" s="1">
        <v>50.0</v>
      </c>
      <c r="B1327" s="1">
        <v>27.0</v>
      </c>
      <c r="C1327" s="1">
        <v>10.0</v>
      </c>
      <c r="D1327" s="1">
        <v>12.0</v>
      </c>
      <c r="F1327" s="1" t="str">
        <f>LOOKUP(A1327, NPCs!A:A, NPCs!C:C)</f>
        <v>Nagan Beast</v>
      </c>
      <c r="G1327" s="1" t="str">
        <f>LOOKUP(B1327, Maps!A:A, Maps!B:B)</f>
        <v>Nagan Oasis</v>
      </c>
    </row>
    <row r="1328" ht="15.75" customHeight="1">
      <c r="A1328" s="1">
        <v>51.0</v>
      </c>
      <c r="B1328" s="1">
        <v>27.0</v>
      </c>
      <c r="C1328" s="1">
        <v>34.0</v>
      </c>
      <c r="D1328" s="1">
        <v>8.0</v>
      </c>
      <c r="F1328" s="1" t="str">
        <f>LOOKUP(A1328, NPCs!A:A, NPCs!C:C)</f>
        <v>Nagan Magus</v>
      </c>
      <c r="G1328" s="1" t="str">
        <f>LOOKUP(B1328, Maps!A:A, Maps!B:B)</f>
        <v>Nagan Oasis</v>
      </c>
    </row>
    <row r="1329" ht="15.75" customHeight="1">
      <c r="A1329" s="1">
        <v>51.0</v>
      </c>
      <c r="B1329" s="1">
        <v>27.0</v>
      </c>
      <c r="C1329" s="1">
        <v>43.0</v>
      </c>
      <c r="D1329" s="1">
        <v>10.0</v>
      </c>
      <c r="F1329" s="1" t="str">
        <f>LOOKUP(A1329, NPCs!A:A, NPCs!C:C)</f>
        <v>Nagan Magus</v>
      </c>
      <c r="G1329" s="1" t="str">
        <f>LOOKUP(B1329, Maps!A:A, Maps!B:B)</f>
        <v>Nagan Oasis</v>
      </c>
    </row>
    <row r="1330" ht="15.75" customHeight="1">
      <c r="A1330" s="1">
        <v>51.0</v>
      </c>
      <c r="B1330" s="1">
        <v>27.0</v>
      </c>
      <c r="C1330" s="1">
        <v>58.0</v>
      </c>
      <c r="D1330" s="1">
        <v>11.0</v>
      </c>
      <c r="F1330" s="1" t="str">
        <f>LOOKUP(A1330, NPCs!A:A, NPCs!C:C)</f>
        <v>Nagan Magus</v>
      </c>
      <c r="G1330" s="1" t="str">
        <f>LOOKUP(B1330, Maps!A:A, Maps!B:B)</f>
        <v>Nagan Oasis</v>
      </c>
    </row>
    <row r="1331" ht="15.75" customHeight="1">
      <c r="A1331" s="1">
        <v>51.0</v>
      </c>
      <c r="B1331" s="1">
        <v>27.0</v>
      </c>
      <c r="C1331" s="1">
        <v>64.0</v>
      </c>
      <c r="D1331" s="1">
        <v>5.0</v>
      </c>
      <c r="F1331" s="1" t="str">
        <f>LOOKUP(A1331, NPCs!A:A, NPCs!C:C)</f>
        <v>Nagan Magus</v>
      </c>
      <c r="G1331" s="1" t="str">
        <f>LOOKUP(B1331, Maps!A:A, Maps!B:B)</f>
        <v>Nagan Oasis</v>
      </c>
    </row>
    <row r="1332" ht="15.75" customHeight="1">
      <c r="A1332" s="1">
        <v>51.0</v>
      </c>
      <c r="B1332" s="1">
        <v>27.0</v>
      </c>
      <c r="C1332" s="1">
        <v>74.0</v>
      </c>
      <c r="D1332" s="1">
        <v>9.0</v>
      </c>
      <c r="F1332" s="1" t="str">
        <f>LOOKUP(A1332, NPCs!A:A, NPCs!C:C)</f>
        <v>Nagan Magus</v>
      </c>
      <c r="G1332" s="1" t="str">
        <f>LOOKUP(B1332, Maps!A:A, Maps!B:B)</f>
        <v>Nagan Oasis</v>
      </c>
    </row>
    <row r="1333" ht="15.75" customHeight="1">
      <c r="A1333" s="1">
        <v>51.0</v>
      </c>
      <c r="B1333" s="1">
        <v>27.0</v>
      </c>
      <c r="C1333" s="1">
        <v>80.0</v>
      </c>
      <c r="D1333" s="1">
        <v>4.0</v>
      </c>
      <c r="F1333" s="1" t="str">
        <f>LOOKUP(A1333, NPCs!A:A, NPCs!C:C)</f>
        <v>Nagan Magus</v>
      </c>
      <c r="G1333" s="1" t="str">
        <f>LOOKUP(B1333, Maps!A:A, Maps!B:B)</f>
        <v>Nagan Oasis</v>
      </c>
    </row>
    <row r="1334" ht="15.75" customHeight="1">
      <c r="A1334" s="1">
        <v>51.0</v>
      </c>
      <c r="B1334" s="1">
        <v>27.0</v>
      </c>
      <c r="C1334" s="1">
        <v>89.0</v>
      </c>
      <c r="D1334" s="1">
        <v>5.0</v>
      </c>
      <c r="F1334" s="1" t="str">
        <f>LOOKUP(A1334, NPCs!A:A, NPCs!C:C)</f>
        <v>Nagan Magus</v>
      </c>
      <c r="G1334" s="1" t="str">
        <f>LOOKUP(B1334, Maps!A:A, Maps!B:B)</f>
        <v>Nagan Oasis</v>
      </c>
    </row>
    <row r="1335" ht="15.75" customHeight="1">
      <c r="A1335" s="1">
        <v>51.0</v>
      </c>
      <c r="B1335" s="1">
        <v>27.0</v>
      </c>
      <c r="C1335" s="1">
        <v>94.0</v>
      </c>
      <c r="D1335" s="1">
        <v>11.0</v>
      </c>
      <c r="F1335" s="1" t="str">
        <f>LOOKUP(A1335, NPCs!A:A, NPCs!C:C)</f>
        <v>Nagan Magus</v>
      </c>
      <c r="G1335" s="1" t="str">
        <f>LOOKUP(B1335, Maps!A:A, Maps!B:B)</f>
        <v>Nagan Oasis</v>
      </c>
    </row>
    <row r="1336" ht="15.75" customHeight="1">
      <c r="A1336" s="1">
        <v>51.0</v>
      </c>
      <c r="B1336" s="1">
        <v>27.0</v>
      </c>
      <c r="C1336" s="1">
        <v>84.0</v>
      </c>
      <c r="D1336" s="1">
        <v>12.0</v>
      </c>
      <c r="F1336" s="1" t="str">
        <f>LOOKUP(A1336, NPCs!A:A, NPCs!C:C)</f>
        <v>Nagan Magus</v>
      </c>
      <c r="G1336" s="1" t="str">
        <f>LOOKUP(B1336, Maps!A:A, Maps!B:B)</f>
        <v>Nagan Oasis</v>
      </c>
    </row>
    <row r="1337" ht="15.75" customHeight="1">
      <c r="A1337" s="1">
        <v>51.0</v>
      </c>
      <c r="B1337" s="1">
        <v>27.0</v>
      </c>
      <c r="C1337" s="1">
        <v>87.0</v>
      </c>
      <c r="D1337" s="1">
        <v>19.0</v>
      </c>
      <c r="F1337" s="1" t="str">
        <f>LOOKUP(A1337, NPCs!A:A, NPCs!C:C)</f>
        <v>Nagan Magus</v>
      </c>
      <c r="G1337" s="1" t="str">
        <f>LOOKUP(B1337, Maps!A:A, Maps!B:B)</f>
        <v>Nagan Oasis</v>
      </c>
    </row>
    <row r="1338" ht="15.75" customHeight="1">
      <c r="A1338" s="1">
        <v>51.0</v>
      </c>
      <c r="B1338" s="1">
        <v>27.0</v>
      </c>
      <c r="C1338" s="1">
        <v>97.0</v>
      </c>
      <c r="D1338" s="1">
        <v>18.0</v>
      </c>
      <c r="F1338" s="1" t="str">
        <f>LOOKUP(A1338, NPCs!A:A, NPCs!C:C)</f>
        <v>Nagan Magus</v>
      </c>
      <c r="G1338" s="1" t="str">
        <f>LOOKUP(B1338, Maps!A:A, Maps!B:B)</f>
        <v>Nagan Oasis</v>
      </c>
    </row>
    <row r="1339" ht="15.75" customHeight="1">
      <c r="A1339" s="1">
        <v>51.0</v>
      </c>
      <c r="B1339" s="1">
        <v>27.0</v>
      </c>
      <c r="C1339" s="1">
        <v>93.0</v>
      </c>
      <c r="D1339" s="1">
        <v>25.0</v>
      </c>
      <c r="F1339" s="1" t="str">
        <f>LOOKUP(A1339, NPCs!A:A, NPCs!C:C)</f>
        <v>Nagan Magus</v>
      </c>
      <c r="G1339" s="1" t="str">
        <f>LOOKUP(B1339, Maps!A:A, Maps!B:B)</f>
        <v>Nagan Oasis</v>
      </c>
    </row>
    <row r="1340" ht="15.75" customHeight="1">
      <c r="A1340" s="1">
        <v>51.0</v>
      </c>
      <c r="B1340" s="1">
        <v>27.0</v>
      </c>
      <c r="C1340" s="1">
        <v>82.0</v>
      </c>
      <c r="D1340" s="1">
        <v>25.0</v>
      </c>
      <c r="F1340" s="1" t="str">
        <f>LOOKUP(A1340, NPCs!A:A, NPCs!C:C)</f>
        <v>Nagan Magus</v>
      </c>
      <c r="G1340" s="1" t="str">
        <f>LOOKUP(B1340, Maps!A:A, Maps!B:B)</f>
        <v>Nagan Oasis</v>
      </c>
    </row>
    <row r="1341" ht="15.75" customHeight="1">
      <c r="A1341" s="1">
        <v>51.0</v>
      </c>
      <c r="B1341" s="1">
        <v>27.0</v>
      </c>
      <c r="C1341" s="1">
        <v>88.0</v>
      </c>
      <c r="D1341" s="1">
        <v>31.0</v>
      </c>
      <c r="F1341" s="1" t="str">
        <f>LOOKUP(A1341, NPCs!A:A, NPCs!C:C)</f>
        <v>Nagan Magus</v>
      </c>
      <c r="G1341" s="1" t="str">
        <f>LOOKUP(B1341, Maps!A:A, Maps!B:B)</f>
        <v>Nagan Oasis</v>
      </c>
    </row>
    <row r="1342" ht="15.75" customHeight="1">
      <c r="A1342" s="1">
        <v>51.0</v>
      </c>
      <c r="B1342" s="1">
        <v>27.0</v>
      </c>
      <c r="C1342" s="1">
        <v>96.0</v>
      </c>
      <c r="D1342" s="1">
        <v>33.0</v>
      </c>
      <c r="F1342" s="1" t="str">
        <f>LOOKUP(A1342, NPCs!A:A, NPCs!C:C)</f>
        <v>Nagan Magus</v>
      </c>
      <c r="G1342" s="1" t="str">
        <f>LOOKUP(B1342, Maps!A:A, Maps!B:B)</f>
        <v>Nagan Oasis</v>
      </c>
    </row>
    <row r="1343" ht="15.75" customHeight="1">
      <c r="A1343" s="1">
        <v>51.0</v>
      </c>
      <c r="B1343" s="1">
        <v>27.0</v>
      </c>
      <c r="C1343" s="1">
        <v>96.0</v>
      </c>
      <c r="D1343" s="1">
        <v>40.0</v>
      </c>
      <c r="F1343" s="1" t="str">
        <f>LOOKUP(A1343, NPCs!A:A, NPCs!C:C)</f>
        <v>Nagan Magus</v>
      </c>
      <c r="G1343" s="1" t="str">
        <f>LOOKUP(B1343, Maps!A:A, Maps!B:B)</f>
        <v>Nagan Oasis</v>
      </c>
    </row>
    <row r="1344" ht="15.75" customHeight="1">
      <c r="A1344" s="1">
        <v>51.0</v>
      </c>
      <c r="B1344" s="1">
        <v>27.0</v>
      </c>
      <c r="C1344" s="1">
        <v>88.0</v>
      </c>
      <c r="D1344" s="1">
        <v>38.0</v>
      </c>
      <c r="F1344" s="1" t="str">
        <f>LOOKUP(A1344, NPCs!A:A, NPCs!C:C)</f>
        <v>Nagan Magus</v>
      </c>
      <c r="G1344" s="1" t="str">
        <f>LOOKUP(B1344, Maps!A:A, Maps!B:B)</f>
        <v>Nagan Oasis</v>
      </c>
    </row>
    <row r="1345" ht="15.75" customHeight="1">
      <c r="A1345" s="1">
        <v>51.0</v>
      </c>
      <c r="B1345" s="1">
        <v>27.0</v>
      </c>
      <c r="C1345" s="1">
        <v>82.0</v>
      </c>
      <c r="D1345" s="1">
        <v>44.0</v>
      </c>
      <c r="F1345" s="1" t="str">
        <f>LOOKUP(A1345, NPCs!A:A, NPCs!C:C)</f>
        <v>Nagan Magus</v>
      </c>
      <c r="G1345" s="1" t="str">
        <f>LOOKUP(B1345, Maps!A:A, Maps!B:B)</f>
        <v>Nagan Oasis</v>
      </c>
    </row>
    <row r="1346" ht="15.75" customHeight="1">
      <c r="A1346" s="1">
        <v>51.0</v>
      </c>
      <c r="B1346" s="1">
        <v>27.0</v>
      </c>
      <c r="C1346" s="1">
        <v>96.0</v>
      </c>
      <c r="D1346" s="1">
        <v>47.0</v>
      </c>
      <c r="F1346" s="1" t="str">
        <f>LOOKUP(A1346, NPCs!A:A, NPCs!C:C)</f>
        <v>Nagan Magus</v>
      </c>
      <c r="G1346" s="1" t="str">
        <f>LOOKUP(B1346, Maps!A:A, Maps!B:B)</f>
        <v>Nagan Oasis</v>
      </c>
    </row>
    <row r="1347" ht="15.75" customHeight="1">
      <c r="A1347" s="1">
        <v>51.0</v>
      </c>
      <c r="B1347" s="1">
        <v>27.0</v>
      </c>
      <c r="C1347" s="1">
        <v>87.0</v>
      </c>
      <c r="D1347" s="1">
        <v>50.0</v>
      </c>
      <c r="F1347" s="1" t="str">
        <f>LOOKUP(A1347, NPCs!A:A, NPCs!C:C)</f>
        <v>Nagan Magus</v>
      </c>
      <c r="G1347" s="1" t="str">
        <f>LOOKUP(B1347, Maps!A:A, Maps!B:B)</f>
        <v>Nagan Oasis</v>
      </c>
    </row>
    <row r="1348" ht="15.75" customHeight="1">
      <c r="A1348" s="1">
        <v>51.0</v>
      </c>
      <c r="B1348" s="1">
        <v>27.0</v>
      </c>
      <c r="C1348" s="1">
        <v>96.0</v>
      </c>
      <c r="D1348" s="1">
        <v>53.0</v>
      </c>
      <c r="F1348" s="1" t="str">
        <f>LOOKUP(A1348, NPCs!A:A, NPCs!C:C)</f>
        <v>Nagan Magus</v>
      </c>
      <c r="G1348" s="1" t="str">
        <f>LOOKUP(B1348, Maps!A:A, Maps!B:B)</f>
        <v>Nagan Oasis</v>
      </c>
    </row>
    <row r="1349" ht="15.75" customHeight="1">
      <c r="A1349" s="1">
        <v>51.0</v>
      </c>
      <c r="B1349" s="1">
        <v>27.0</v>
      </c>
      <c r="C1349" s="1">
        <v>87.0</v>
      </c>
      <c r="D1349" s="1">
        <v>56.0</v>
      </c>
      <c r="F1349" s="1" t="str">
        <f>LOOKUP(A1349, NPCs!A:A, NPCs!C:C)</f>
        <v>Nagan Magus</v>
      </c>
      <c r="G1349" s="1" t="str">
        <f>LOOKUP(B1349, Maps!A:A, Maps!B:B)</f>
        <v>Nagan Oasis</v>
      </c>
    </row>
    <row r="1350" ht="15.75" customHeight="1">
      <c r="A1350" s="1">
        <v>51.0</v>
      </c>
      <c r="B1350" s="1">
        <v>27.0</v>
      </c>
      <c r="C1350" s="1">
        <v>96.0</v>
      </c>
      <c r="D1350" s="1">
        <v>59.0</v>
      </c>
      <c r="F1350" s="1" t="str">
        <f>LOOKUP(A1350, NPCs!A:A, NPCs!C:C)</f>
        <v>Nagan Magus</v>
      </c>
      <c r="G1350" s="1" t="str">
        <f>LOOKUP(B1350, Maps!A:A, Maps!B:B)</f>
        <v>Nagan Oasis</v>
      </c>
    </row>
    <row r="1351" ht="15.75" customHeight="1">
      <c r="A1351" s="1">
        <v>51.0</v>
      </c>
      <c r="B1351" s="1">
        <v>27.0</v>
      </c>
      <c r="C1351" s="1">
        <v>99.0</v>
      </c>
      <c r="D1351" s="1">
        <v>64.0</v>
      </c>
      <c r="F1351" s="1" t="str">
        <f>LOOKUP(A1351, NPCs!A:A, NPCs!C:C)</f>
        <v>Nagan Magus</v>
      </c>
      <c r="G1351" s="1" t="str">
        <f>LOOKUP(B1351, Maps!A:A, Maps!B:B)</f>
        <v>Nagan Oasis</v>
      </c>
    </row>
    <row r="1352" ht="15.75" customHeight="1">
      <c r="A1352" s="1">
        <v>51.0</v>
      </c>
      <c r="B1352" s="1">
        <v>27.0</v>
      </c>
      <c r="C1352" s="1">
        <v>91.0</v>
      </c>
      <c r="D1352" s="1">
        <v>71.0</v>
      </c>
      <c r="F1352" s="1" t="str">
        <f>LOOKUP(A1352, NPCs!A:A, NPCs!C:C)</f>
        <v>Nagan Magus</v>
      </c>
      <c r="G1352" s="1" t="str">
        <f>LOOKUP(B1352, Maps!A:A, Maps!B:B)</f>
        <v>Nagan Oasis</v>
      </c>
    </row>
    <row r="1353" ht="15.75" customHeight="1">
      <c r="A1353" s="1">
        <v>51.0</v>
      </c>
      <c r="B1353" s="1">
        <v>27.0</v>
      </c>
      <c r="C1353" s="1">
        <v>95.0</v>
      </c>
      <c r="D1353" s="1">
        <v>77.0</v>
      </c>
      <c r="F1353" s="1" t="str">
        <f>LOOKUP(A1353, NPCs!A:A, NPCs!C:C)</f>
        <v>Nagan Magus</v>
      </c>
      <c r="G1353" s="1" t="str">
        <f>LOOKUP(B1353, Maps!A:A, Maps!B:B)</f>
        <v>Nagan Oasis</v>
      </c>
    </row>
    <row r="1354" ht="15.75" customHeight="1">
      <c r="A1354" s="1">
        <v>51.0</v>
      </c>
      <c r="B1354" s="1">
        <v>27.0</v>
      </c>
      <c r="C1354" s="1">
        <v>89.0</v>
      </c>
      <c r="D1354" s="1">
        <v>83.0</v>
      </c>
      <c r="F1354" s="1" t="str">
        <f>LOOKUP(A1354, NPCs!A:A, NPCs!C:C)</f>
        <v>Nagan Magus</v>
      </c>
      <c r="G1354" s="1" t="str">
        <f>LOOKUP(B1354, Maps!A:A, Maps!B:B)</f>
        <v>Nagan Oasis</v>
      </c>
    </row>
    <row r="1355" ht="15.75" customHeight="1">
      <c r="A1355" s="1">
        <v>51.0</v>
      </c>
      <c r="B1355" s="1">
        <v>27.0</v>
      </c>
      <c r="C1355" s="1">
        <v>98.0</v>
      </c>
      <c r="D1355" s="1">
        <v>87.0</v>
      </c>
      <c r="F1355" s="1" t="str">
        <f>LOOKUP(A1355, NPCs!A:A, NPCs!C:C)</f>
        <v>Nagan Magus</v>
      </c>
      <c r="G1355" s="1" t="str">
        <f>LOOKUP(B1355, Maps!A:A, Maps!B:B)</f>
        <v>Nagan Oasis</v>
      </c>
    </row>
    <row r="1356" ht="15.75" customHeight="1">
      <c r="A1356" s="1">
        <v>51.0</v>
      </c>
      <c r="B1356" s="1">
        <v>27.0</v>
      </c>
      <c r="C1356" s="1">
        <v>86.0</v>
      </c>
      <c r="D1356" s="1">
        <v>94.0</v>
      </c>
      <c r="F1356" s="1" t="str">
        <f>LOOKUP(A1356, NPCs!A:A, NPCs!C:C)</f>
        <v>Nagan Magus</v>
      </c>
      <c r="G1356" s="1" t="str">
        <f>LOOKUP(B1356, Maps!A:A, Maps!B:B)</f>
        <v>Nagan Oasis</v>
      </c>
    </row>
    <row r="1357" ht="15.75" customHeight="1">
      <c r="A1357" s="1">
        <v>51.0</v>
      </c>
      <c r="B1357" s="1">
        <v>27.0</v>
      </c>
      <c r="C1357" s="1">
        <v>80.0</v>
      </c>
      <c r="D1357" s="1">
        <v>88.0</v>
      </c>
      <c r="F1357" s="1" t="str">
        <f>LOOKUP(A1357, NPCs!A:A, NPCs!C:C)</f>
        <v>Nagan Magus</v>
      </c>
      <c r="G1357" s="1" t="str">
        <f>LOOKUP(B1357, Maps!A:A, Maps!B:B)</f>
        <v>Nagan Oasis</v>
      </c>
    </row>
    <row r="1358" ht="15.75" customHeight="1">
      <c r="A1358" s="1">
        <v>51.0</v>
      </c>
      <c r="B1358" s="1">
        <v>27.0</v>
      </c>
      <c r="C1358" s="1">
        <v>73.0</v>
      </c>
      <c r="D1358" s="1">
        <v>88.0</v>
      </c>
      <c r="F1358" s="1" t="str">
        <f>LOOKUP(A1358, NPCs!A:A, NPCs!C:C)</f>
        <v>Nagan Magus</v>
      </c>
      <c r="G1358" s="1" t="str">
        <f>LOOKUP(B1358, Maps!A:A, Maps!B:B)</f>
        <v>Nagan Oasis</v>
      </c>
    </row>
    <row r="1359" ht="15.75" customHeight="1">
      <c r="A1359" s="1">
        <v>51.0</v>
      </c>
      <c r="B1359" s="1">
        <v>27.0</v>
      </c>
      <c r="C1359" s="1">
        <v>65.0</v>
      </c>
      <c r="D1359" s="1">
        <v>85.0</v>
      </c>
      <c r="F1359" s="1" t="str">
        <f>LOOKUP(A1359, NPCs!A:A, NPCs!C:C)</f>
        <v>Nagan Magus</v>
      </c>
      <c r="G1359" s="1" t="str">
        <f>LOOKUP(B1359, Maps!A:A, Maps!B:B)</f>
        <v>Nagan Oasis</v>
      </c>
    </row>
    <row r="1360" ht="15.75" customHeight="1">
      <c r="A1360" s="1">
        <v>51.0</v>
      </c>
      <c r="B1360" s="1">
        <v>27.0</v>
      </c>
      <c r="C1360" s="1">
        <v>65.0</v>
      </c>
      <c r="D1360" s="1">
        <v>79.0</v>
      </c>
      <c r="F1360" s="1" t="str">
        <f>LOOKUP(A1360, NPCs!A:A, NPCs!C:C)</f>
        <v>Nagan Magus</v>
      </c>
      <c r="G1360" s="1" t="str">
        <f>LOOKUP(B1360, Maps!A:A, Maps!B:B)</f>
        <v>Nagan Oasis</v>
      </c>
    </row>
    <row r="1361" ht="15.75" customHeight="1">
      <c r="A1361" s="1">
        <v>51.0</v>
      </c>
      <c r="B1361" s="1">
        <v>27.0</v>
      </c>
      <c r="C1361" s="1">
        <v>65.0</v>
      </c>
      <c r="D1361" s="1">
        <v>73.0</v>
      </c>
      <c r="F1361" s="1" t="str">
        <f>LOOKUP(A1361, NPCs!A:A, NPCs!C:C)</f>
        <v>Nagan Magus</v>
      </c>
      <c r="G1361" s="1" t="str">
        <f>LOOKUP(B1361, Maps!A:A, Maps!B:B)</f>
        <v>Nagan Oasis</v>
      </c>
    </row>
    <row r="1362" ht="15.75" customHeight="1">
      <c r="A1362" s="1">
        <v>51.0</v>
      </c>
      <c r="B1362" s="1">
        <v>27.0</v>
      </c>
      <c r="C1362" s="1">
        <v>82.0</v>
      </c>
      <c r="D1362" s="1">
        <v>67.0</v>
      </c>
      <c r="F1362" s="1" t="str">
        <f>LOOKUP(A1362, NPCs!A:A, NPCs!C:C)</f>
        <v>Nagan Magus</v>
      </c>
      <c r="G1362" s="1" t="str">
        <f>LOOKUP(B1362, Maps!A:A, Maps!B:B)</f>
        <v>Nagan Oasis</v>
      </c>
    </row>
    <row r="1363" ht="15.75" customHeight="1">
      <c r="A1363" s="1">
        <v>51.0</v>
      </c>
      <c r="B1363" s="1">
        <v>27.0</v>
      </c>
      <c r="C1363" s="1">
        <v>72.0</v>
      </c>
      <c r="D1363" s="1">
        <v>64.0</v>
      </c>
      <c r="F1363" s="1" t="str">
        <f>LOOKUP(A1363, NPCs!A:A, NPCs!C:C)</f>
        <v>Nagan Magus</v>
      </c>
      <c r="G1363" s="1" t="str">
        <f>LOOKUP(B1363, Maps!A:A, Maps!B:B)</f>
        <v>Nagan Oasis</v>
      </c>
    </row>
    <row r="1364" ht="15.75" customHeight="1">
      <c r="A1364" s="1">
        <v>51.0</v>
      </c>
      <c r="B1364" s="1">
        <v>27.0</v>
      </c>
      <c r="C1364" s="1">
        <v>67.0</v>
      </c>
      <c r="D1364" s="1">
        <v>57.0</v>
      </c>
      <c r="F1364" s="1" t="str">
        <f>LOOKUP(A1364, NPCs!A:A, NPCs!C:C)</f>
        <v>Nagan Magus</v>
      </c>
      <c r="G1364" s="1" t="str">
        <f>LOOKUP(B1364, Maps!A:A, Maps!B:B)</f>
        <v>Nagan Oasis</v>
      </c>
    </row>
    <row r="1365" ht="15.75" customHeight="1">
      <c r="A1365" s="1">
        <v>51.0</v>
      </c>
      <c r="B1365" s="1">
        <v>27.0</v>
      </c>
      <c r="C1365" s="1">
        <v>77.0</v>
      </c>
      <c r="D1365" s="1">
        <v>57.0</v>
      </c>
      <c r="F1365" s="1" t="str">
        <f>LOOKUP(A1365, NPCs!A:A, NPCs!C:C)</f>
        <v>Nagan Magus</v>
      </c>
      <c r="G1365" s="1" t="str">
        <f>LOOKUP(B1365, Maps!A:A, Maps!B:B)</f>
        <v>Nagan Oasis</v>
      </c>
    </row>
    <row r="1366" ht="15.75" customHeight="1">
      <c r="A1366" s="1">
        <v>51.0</v>
      </c>
      <c r="B1366" s="1">
        <v>27.0</v>
      </c>
      <c r="C1366" s="1">
        <v>75.0</v>
      </c>
      <c r="D1366" s="1">
        <v>49.0</v>
      </c>
      <c r="F1366" s="1" t="str">
        <f>LOOKUP(A1366, NPCs!A:A, NPCs!C:C)</f>
        <v>Nagan Magus</v>
      </c>
      <c r="G1366" s="1" t="str">
        <f>LOOKUP(B1366, Maps!A:A, Maps!B:B)</f>
        <v>Nagan Oasis</v>
      </c>
    </row>
    <row r="1367" ht="15.75" customHeight="1">
      <c r="A1367" s="1">
        <v>51.0</v>
      </c>
      <c r="B1367" s="1">
        <v>27.0</v>
      </c>
      <c r="C1367" s="1">
        <v>65.0</v>
      </c>
      <c r="D1367" s="1">
        <v>50.0</v>
      </c>
      <c r="F1367" s="1" t="str">
        <f>LOOKUP(A1367, NPCs!A:A, NPCs!C:C)</f>
        <v>Nagan Magus</v>
      </c>
      <c r="G1367" s="1" t="str">
        <f>LOOKUP(B1367, Maps!A:A, Maps!B:B)</f>
        <v>Nagan Oasis</v>
      </c>
    </row>
    <row r="1368" ht="15.75" customHeight="1">
      <c r="A1368" s="1">
        <v>51.0</v>
      </c>
      <c r="B1368" s="1">
        <v>27.0</v>
      </c>
      <c r="C1368" s="1">
        <v>68.0</v>
      </c>
      <c r="D1368" s="1">
        <v>42.0</v>
      </c>
      <c r="F1368" s="1" t="str">
        <f>LOOKUP(A1368, NPCs!A:A, NPCs!C:C)</f>
        <v>Nagan Magus</v>
      </c>
      <c r="G1368" s="1" t="str">
        <f>LOOKUP(B1368, Maps!A:A, Maps!B:B)</f>
        <v>Nagan Oasis</v>
      </c>
    </row>
    <row r="1369" ht="15.75" customHeight="1">
      <c r="A1369" s="1">
        <v>51.0</v>
      </c>
      <c r="B1369" s="1">
        <v>27.0</v>
      </c>
      <c r="C1369" s="1">
        <v>77.0</v>
      </c>
      <c r="D1369" s="1">
        <v>38.0</v>
      </c>
      <c r="F1369" s="1" t="str">
        <f>LOOKUP(A1369, NPCs!A:A, NPCs!C:C)</f>
        <v>Nagan Magus</v>
      </c>
      <c r="G1369" s="1" t="str">
        <f>LOOKUP(B1369, Maps!A:A, Maps!B:B)</f>
        <v>Nagan Oasis</v>
      </c>
    </row>
    <row r="1370" ht="15.75" customHeight="1">
      <c r="A1370" s="1">
        <v>51.0</v>
      </c>
      <c r="B1370" s="1">
        <v>27.0</v>
      </c>
      <c r="C1370" s="1">
        <v>67.0</v>
      </c>
      <c r="D1370" s="1">
        <v>35.0</v>
      </c>
      <c r="F1370" s="1" t="str">
        <f>LOOKUP(A1370, NPCs!A:A, NPCs!C:C)</f>
        <v>Nagan Magus</v>
      </c>
      <c r="G1370" s="1" t="str">
        <f>LOOKUP(B1370, Maps!A:A, Maps!B:B)</f>
        <v>Nagan Oasis</v>
      </c>
    </row>
    <row r="1371" ht="15.75" customHeight="1">
      <c r="A1371" s="1">
        <v>51.0</v>
      </c>
      <c r="B1371" s="1">
        <v>27.0</v>
      </c>
      <c r="C1371" s="1">
        <v>73.0</v>
      </c>
      <c r="D1371" s="1">
        <v>30.0</v>
      </c>
      <c r="F1371" s="1" t="str">
        <f>LOOKUP(A1371, NPCs!A:A, NPCs!C:C)</f>
        <v>Nagan Magus</v>
      </c>
      <c r="G1371" s="1" t="str">
        <f>LOOKUP(B1371, Maps!A:A, Maps!B:B)</f>
        <v>Nagan Oasis</v>
      </c>
    </row>
    <row r="1372" ht="15.75" customHeight="1">
      <c r="A1372" s="1">
        <v>51.0</v>
      </c>
      <c r="B1372" s="1">
        <v>27.0</v>
      </c>
      <c r="C1372" s="1">
        <v>67.0</v>
      </c>
      <c r="D1372" s="1">
        <v>23.0</v>
      </c>
      <c r="F1372" s="1" t="str">
        <f>LOOKUP(A1372, NPCs!A:A, NPCs!C:C)</f>
        <v>Nagan Magus</v>
      </c>
      <c r="G1372" s="1" t="str">
        <f>LOOKUP(B1372, Maps!A:A, Maps!B:B)</f>
        <v>Nagan Oasis</v>
      </c>
    </row>
    <row r="1373" ht="15.75" customHeight="1">
      <c r="A1373" s="1">
        <v>51.0</v>
      </c>
      <c r="B1373" s="1">
        <v>27.0</v>
      </c>
      <c r="C1373" s="1">
        <v>65.0</v>
      </c>
      <c r="D1373" s="1">
        <v>16.0</v>
      </c>
      <c r="F1373" s="1" t="str">
        <f>LOOKUP(A1373, NPCs!A:A, NPCs!C:C)</f>
        <v>Nagan Magus</v>
      </c>
      <c r="G1373" s="1" t="str">
        <f>LOOKUP(B1373, Maps!A:A, Maps!B:B)</f>
        <v>Nagan Oasis</v>
      </c>
    </row>
    <row r="1374" ht="15.75" customHeight="1">
      <c r="A1374" s="1">
        <v>51.0</v>
      </c>
      <c r="B1374" s="1">
        <v>27.0</v>
      </c>
      <c r="C1374" s="1">
        <v>74.0</v>
      </c>
      <c r="D1374" s="1">
        <v>16.0</v>
      </c>
      <c r="F1374" s="1" t="str">
        <f>LOOKUP(A1374, NPCs!A:A, NPCs!C:C)</f>
        <v>Nagan Magus</v>
      </c>
      <c r="G1374" s="1" t="str">
        <f>LOOKUP(B1374, Maps!A:A, Maps!B:B)</f>
        <v>Nagan Oasis</v>
      </c>
    </row>
    <row r="1375" ht="15.75" customHeight="1">
      <c r="A1375" s="1">
        <v>51.0</v>
      </c>
      <c r="B1375" s="1">
        <v>27.0</v>
      </c>
      <c r="C1375" s="1">
        <v>61.0</v>
      </c>
      <c r="D1375" s="1">
        <v>63.0</v>
      </c>
      <c r="F1375" s="1" t="str">
        <f>LOOKUP(A1375, NPCs!A:A, NPCs!C:C)</f>
        <v>Nagan Magus</v>
      </c>
      <c r="G1375" s="1" t="str">
        <f>LOOKUP(B1375, Maps!A:A, Maps!B:B)</f>
        <v>Nagan Oasis</v>
      </c>
    </row>
    <row r="1376" ht="15.75" customHeight="1">
      <c r="A1376" s="1">
        <v>51.0</v>
      </c>
      <c r="B1376" s="1">
        <v>27.0</v>
      </c>
      <c r="C1376" s="1">
        <v>51.0</v>
      </c>
      <c r="D1376" s="1">
        <v>92.0</v>
      </c>
      <c r="F1376" s="1" t="str">
        <f>LOOKUP(A1376, NPCs!A:A, NPCs!C:C)</f>
        <v>Nagan Magus</v>
      </c>
      <c r="G1376" s="1" t="str">
        <f>LOOKUP(B1376, Maps!A:A, Maps!B:B)</f>
        <v>Nagan Oasis</v>
      </c>
    </row>
    <row r="1377" ht="15.75" customHeight="1">
      <c r="A1377" s="1">
        <v>51.0</v>
      </c>
      <c r="B1377" s="1">
        <v>27.0</v>
      </c>
      <c r="C1377" s="1">
        <v>56.0</v>
      </c>
      <c r="D1377" s="1">
        <v>85.0</v>
      </c>
      <c r="F1377" s="1" t="str">
        <f>LOOKUP(A1377, NPCs!A:A, NPCs!C:C)</f>
        <v>Nagan Magus</v>
      </c>
      <c r="G1377" s="1" t="str">
        <f>LOOKUP(B1377, Maps!A:A, Maps!B:B)</f>
        <v>Nagan Oasis</v>
      </c>
    </row>
    <row r="1378" ht="15.75" customHeight="1">
      <c r="A1378" s="1">
        <v>51.0</v>
      </c>
      <c r="B1378" s="1">
        <v>27.0</v>
      </c>
      <c r="C1378" s="1">
        <v>50.0</v>
      </c>
      <c r="D1378" s="1">
        <v>78.0</v>
      </c>
      <c r="F1378" s="1" t="str">
        <f>LOOKUP(A1378, NPCs!A:A, NPCs!C:C)</f>
        <v>Nagan Magus</v>
      </c>
      <c r="G1378" s="1" t="str">
        <f>LOOKUP(B1378, Maps!A:A, Maps!B:B)</f>
        <v>Nagan Oasis</v>
      </c>
    </row>
    <row r="1379" ht="15.75" customHeight="1">
      <c r="A1379" s="1">
        <v>51.0</v>
      </c>
      <c r="B1379" s="1">
        <v>27.0</v>
      </c>
      <c r="C1379" s="1">
        <v>55.0</v>
      </c>
      <c r="D1379" s="1">
        <v>69.0</v>
      </c>
      <c r="F1379" s="1" t="str">
        <f>LOOKUP(A1379, NPCs!A:A, NPCs!C:C)</f>
        <v>Nagan Magus</v>
      </c>
      <c r="G1379" s="1" t="str">
        <f>LOOKUP(B1379, Maps!A:A, Maps!B:B)</f>
        <v>Nagan Oasis</v>
      </c>
    </row>
    <row r="1380" ht="15.75" customHeight="1">
      <c r="A1380" s="1">
        <v>51.0</v>
      </c>
      <c r="B1380" s="1">
        <v>27.0</v>
      </c>
      <c r="C1380" s="1">
        <v>50.0</v>
      </c>
      <c r="D1380" s="1">
        <v>62.0</v>
      </c>
      <c r="F1380" s="1" t="str">
        <f>LOOKUP(A1380, NPCs!A:A, NPCs!C:C)</f>
        <v>Nagan Magus</v>
      </c>
      <c r="G1380" s="1" t="str">
        <f>LOOKUP(B1380, Maps!A:A, Maps!B:B)</f>
        <v>Nagan Oasis</v>
      </c>
    </row>
    <row r="1381" ht="15.75" customHeight="1">
      <c r="A1381" s="1">
        <v>51.0</v>
      </c>
      <c r="B1381" s="1">
        <v>27.0</v>
      </c>
      <c r="C1381" s="1">
        <v>56.0</v>
      </c>
      <c r="D1381" s="1">
        <v>56.0</v>
      </c>
      <c r="F1381" s="1" t="str">
        <f>LOOKUP(A1381, NPCs!A:A, NPCs!C:C)</f>
        <v>Nagan Magus</v>
      </c>
      <c r="G1381" s="1" t="str">
        <f>LOOKUP(B1381, Maps!A:A, Maps!B:B)</f>
        <v>Nagan Oasis</v>
      </c>
    </row>
    <row r="1382" ht="15.75" customHeight="1">
      <c r="A1382" s="1">
        <v>51.0</v>
      </c>
      <c r="B1382" s="1">
        <v>27.0</v>
      </c>
      <c r="C1382" s="1">
        <v>55.0</v>
      </c>
      <c r="D1382" s="1">
        <v>48.0</v>
      </c>
      <c r="F1382" s="1" t="str">
        <f>LOOKUP(A1382, NPCs!A:A, NPCs!C:C)</f>
        <v>Nagan Magus</v>
      </c>
      <c r="G1382" s="1" t="str">
        <f>LOOKUP(B1382, Maps!A:A, Maps!B:B)</f>
        <v>Nagan Oasis</v>
      </c>
    </row>
    <row r="1383" ht="15.75" customHeight="1">
      <c r="A1383" s="1">
        <v>51.0</v>
      </c>
      <c r="B1383" s="1">
        <v>27.0</v>
      </c>
      <c r="C1383" s="1">
        <v>48.0</v>
      </c>
      <c r="D1383" s="1">
        <v>41.0</v>
      </c>
      <c r="F1383" s="1" t="str">
        <f>LOOKUP(A1383, NPCs!A:A, NPCs!C:C)</f>
        <v>Nagan Magus</v>
      </c>
      <c r="G1383" s="1" t="str">
        <f>LOOKUP(B1383, Maps!A:A, Maps!B:B)</f>
        <v>Nagan Oasis</v>
      </c>
    </row>
    <row r="1384" ht="15.75" customHeight="1">
      <c r="A1384" s="1">
        <v>51.0</v>
      </c>
      <c r="B1384" s="1">
        <v>27.0</v>
      </c>
      <c r="C1384" s="1">
        <v>56.0</v>
      </c>
      <c r="D1384" s="1">
        <v>33.0</v>
      </c>
      <c r="F1384" s="1" t="str">
        <f>LOOKUP(A1384, NPCs!A:A, NPCs!C:C)</f>
        <v>Nagan Magus</v>
      </c>
      <c r="G1384" s="1" t="str">
        <f>LOOKUP(B1384, Maps!A:A, Maps!B:B)</f>
        <v>Nagan Oasis</v>
      </c>
    </row>
    <row r="1385" ht="15.75" customHeight="1">
      <c r="A1385" s="1">
        <v>51.0</v>
      </c>
      <c r="B1385" s="1">
        <v>27.0</v>
      </c>
      <c r="C1385" s="1">
        <v>55.0</v>
      </c>
      <c r="D1385" s="1">
        <v>26.0</v>
      </c>
      <c r="F1385" s="1" t="str">
        <f>LOOKUP(A1385, NPCs!A:A, NPCs!C:C)</f>
        <v>Nagan Magus</v>
      </c>
      <c r="G1385" s="1" t="str">
        <f>LOOKUP(B1385, Maps!A:A, Maps!B:B)</f>
        <v>Nagan Oasis</v>
      </c>
    </row>
    <row r="1386" ht="15.75" customHeight="1">
      <c r="A1386" s="1">
        <v>51.0</v>
      </c>
      <c r="B1386" s="1">
        <v>27.0</v>
      </c>
      <c r="C1386" s="1">
        <v>56.0</v>
      </c>
      <c r="D1386" s="1">
        <v>19.0</v>
      </c>
      <c r="F1386" s="1" t="str">
        <f>LOOKUP(A1386, NPCs!A:A, NPCs!C:C)</f>
        <v>Nagan Magus</v>
      </c>
      <c r="G1386" s="1" t="str">
        <f>LOOKUP(B1386, Maps!A:A, Maps!B:B)</f>
        <v>Nagan Oasis</v>
      </c>
    </row>
    <row r="1387" ht="15.75" customHeight="1">
      <c r="A1387" s="1">
        <v>51.0</v>
      </c>
      <c r="B1387" s="1">
        <v>27.0</v>
      </c>
      <c r="C1387" s="1">
        <v>42.0</v>
      </c>
      <c r="D1387" s="1">
        <v>17.0</v>
      </c>
      <c r="F1387" s="1" t="str">
        <f>LOOKUP(A1387, NPCs!A:A, NPCs!C:C)</f>
        <v>Nagan Magus</v>
      </c>
      <c r="G1387" s="1" t="str">
        <f>LOOKUP(B1387, Maps!A:A, Maps!B:B)</f>
        <v>Nagan Oasis</v>
      </c>
    </row>
    <row r="1388" ht="15.75" customHeight="1">
      <c r="A1388" s="1">
        <v>51.0</v>
      </c>
      <c r="B1388" s="1">
        <v>27.0</v>
      </c>
      <c r="C1388" s="1">
        <v>45.0</v>
      </c>
      <c r="D1388" s="1">
        <v>24.0</v>
      </c>
      <c r="F1388" s="1" t="str">
        <f>LOOKUP(A1388, NPCs!A:A, NPCs!C:C)</f>
        <v>Nagan Magus</v>
      </c>
      <c r="G1388" s="1" t="str">
        <f>LOOKUP(B1388, Maps!A:A, Maps!B:B)</f>
        <v>Nagan Oasis</v>
      </c>
    </row>
    <row r="1389" ht="15.75" customHeight="1">
      <c r="A1389" s="1">
        <v>51.0</v>
      </c>
      <c r="B1389" s="1">
        <v>27.0</v>
      </c>
      <c r="C1389" s="1">
        <v>42.0</v>
      </c>
      <c r="D1389" s="1">
        <v>33.0</v>
      </c>
      <c r="F1389" s="1" t="str">
        <f>LOOKUP(A1389, NPCs!A:A, NPCs!C:C)</f>
        <v>Nagan Magus</v>
      </c>
      <c r="G1389" s="1" t="str">
        <f>LOOKUP(B1389, Maps!A:A, Maps!B:B)</f>
        <v>Nagan Oasis</v>
      </c>
    </row>
    <row r="1390" ht="15.75" customHeight="1">
      <c r="A1390" s="1">
        <v>51.0</v>
      </c>
      <c r="B1390" s="1">
        <v>27.0</v>
      </c>
      <c r="C1390" s="1">
        <v>34.0</v>
      </c>
      <c r="D1390" s="1">
        <v>38.0</v>
      </c>
      <c r="F1390" s="1" t="str">
        <f>LOOKUP(A1390, NPCs!A:A, NPCs!C:C)</f>
        <v>Nagan Magus</v>
      </c>
      <c r="G1390" s="1" t="str">
        <f>LOOKUP(B1390, Maps!A:A, Maps!B:B)</f>
        <v>Nagan Oasis</v>
      </c>
    </row>
    <row r="1391" ht="15.75" customHeight="1">
      <c r="A1391" s="1">
        <v>51.0</v>
      </c>
      <c r="B1391" s="1">
        <v>27.0</v>
      </c>
      <c r="C1391" s="1">
        <v>38.0</v>
      </c>
      <c r="D1391" s="1">
        <v>45.0</v>
      </c>
      <c r="F1391" s="1" t="str">
        <f>LOOKUP(A1391, NPCs!A:A, NPCs!C:C)</f>
        <v>Nagan Magus</v>
      </c>
      <c r="G1391" s="1" t="str">
        <f>LOOKUP(B1391, Maps!A:A, Maps!B:B)</f>
        <v>Nagan Oasis</v>
      </c>
    </row>
    <row r="1392" ht="15.75" customHeight="1">
      <c r="A1392" s="1">
        <v>51.0</v>
      </c>
      <c r="B1392" s="1">
        <v>27.0</v>
      </c>
      <c r="C1392" s="1">
        <v>46.0</v>
      </c>
      <c r="D1392" s="1">
        <v>53.0</v>
      </c>
      <c r="F1392" s="1" t="str">
        <f>LOOKUP(A1392, NPCs!A:A, NPCs!C:C)</f>
        <v>Nagan Magus</v>
      </c>
      <c r="G1392" s="1" t="str">
        <f>LOOKUP(B1392, Maps!A:A, Maps!B:B)</f>
        <v>Nagan Oasis</v>
      </c>
    </row>
    <row r="1393" ht="15.75" customHeight="1">
      <c r="A1393" s="1">
        <v>51.0</v>
      </c>
      <c r="B1393" s="1">
        <v>27.0</v>
      </c>
      <c r="C1393" s="1">
        <v>36.0</v>
      </c>
      <c r="D1393" s="1">
        <v>57.0</v>
      </c>
      <c r="F1393" s="1" t="str">
        <f>LOOKUP(A1393, NPCs!A:A, NPCs!C:C)</f>
        <v>Nagan Magus</v>
      </c>
      <c r="G1393" s="1" t="str">
        <f>LOOKUP(B1393, Maps!A:A, Maps!B:B)</f>
        <v>Nagan Oasis</v>
      </c>
    </row>
    <row r="1394" ht="15.75" customHeight="1">
      <c r="A1394" s="1">
        <v>51.0</v>
      </c>
      <c r="B1394" s="1">
        <v>27.0</v>
      </c>
      <c r="C1394" s="1">
        <v>44.0</v>
      </c>
      <c r="D1394" s="1">
        <v>68.0</v>
      </c>
      <c r="F1394" s="1" t="str">
        <f>LOOKUP(A1394, NPCs!A:A, NPCs!C:C)</f>
        <v>Nagan Magus</v>
      </c>
      <c r="G1394" s="1" t="str">
        <f>LOOKUP(B1394, Maps!A:A, Maps!B:B)</f>
        <v>Nagan Oasis</v>
      </c>
    </row>
    <row r="1395" ht="15.75" customHeight="1">
      <c r="A1395" s="1">
        <v>51.0</v>
      </c>
      <c r="B1395" s="1">
        <v>27.0</v>
      </c>
      <c r="C1395" s="1">
        <v>35.0</v>
      </c>
      <c r="D1395" s="1">
        <v>64.0</v>
      </c>
      <c r="F1395" s="1" t="str">
        <f>LOOKUP(A1395, NPCs!A:A, NPCs!C:C)</f>
        <v>Nagan Magus</v>
      </c>
      <c r="G1395" s="1" t="str">
        <f>LOOKUP(B1395, Maps!A:A, Maps!B:B)</f>
        <v>Nagan Oasis</v>
      </c>
    </row>
    <row r="1396" ht="15.75" customHeight="1">
      <c r="A1396" s="1">
        <v>51.0</v>
      </c>
      <c r="B1396" s="1">
        <v>27.0</v>
      </c>
      <c r="C1396" s="1">
        <v>32.0</v>
      </c>
      <c r="D1396" s="1">
        <v>72.0</v>
      </c>
      <c r="F1396" s="1" t="str">
        <f>LOOKUP(A1396, NPCs!A:A, NPCs!C:C)</f>
        <v>Nagan Magus</v>
      </c>
      <c r="G1396" s="1" t="str">
        <f>LOOKUP(B1396, Maps!A:A, Maps!B:B)</f>
        <v>Nagan Oasis</v>
      </c>
    </row>
    <row r="1397" ht="15.75" customHeight="1">
      <c r="A1397" s="1">
        <v>51.0</v>
      </c>
      <c r="B1397" s="1">
        <v>27.0</v>
      </c>
      <c r="C1397" s="1">
        <v>26.0</v>
      </c>
      <c r="D1397" s="1">
        <v>67.0</v>
      </c>
      <c r="F1397" s="1" t="str">
        <f>LOOKUP(A1397, NPCs!A:A, NPCs!C:C)</f>
        <v>Nagan Magus</v>
      </c>
      <c r="G1397" s="1" t="str">
        <f>LOOKUP(B1397, Maps!A:A, Maps!B:B)</f>
        <v>Nagan Oasis</v>
      </c>
    </row>
    <row r="1398" ht="15.75" customHeight="1">
      <c r="A1398" s="1">
        <v>51.0</v>
      </c>
      <c r="B1398" s="1">
        <v>27.0</v>
      </c>
      <c r="C1398" s="1">
        <v>27.0</v>
      </c>
      <c r="D1398" s="1">
        <v>59.0</v>
      </c>
      <c r="F1398" s="1" t="str">
        <f>LOOKUP(A1398, NPCs!A:A, NPCs!C:C)</f>
        <v>Nagan Magus</v>
      </c>
      <c r="G1398" s="1" t="str">
        <f>LOOKUP(B1398, Maps!A:A, Maps!B:B)</f>
        <v>Nagan Oasis</v>
      </c>
    </row>
    <row r="1399" ht="15.75" customHeight="1">
      <c r="A1399" s="1">
        <v>51.0</v>
      </c>
      <c r="B1399" s="1">
        <v>27.0</v>
      </c>
      <c r="C1399" s="1">
        <v>27.0</v>
      </c>
      <c r="D1399" s="1">
        <v>80.0</v>
      </c>
      <c r="F1399" s="1" t="str">
        <f>LOOKUP(A1399, NPCs!A:A, NPCs!C:C)</f>
        <v>Nagan Magus</v>
      </c>
      <c r="G1399" s="1" t="str">
        <f>LOOKUP(B1399, Maps!A:A, Maps!B:B)</f>
        <v>Nagan Oasis</v>
      </c>
    </row>
    <row r="1400" ht="15.75" customHeight="1">
      <c r="A1400" s="1">
        <v>51.0</v>
      </c>
      <c r="B1400" s="1">
        <v>27.0</v>
      </c>
      <c r="C1400" s="1">
        <v>39.0</v>
      </c>
      <c r="D1400" s="1">
        <v>79.0</v>
      </c>
      <c r="F1400" s="1" t="str">
        <f>LOOKUP(A1400, NPCs!A:A, NPCs!C:C)</f>
        <v>Nagan Magus</v>
      </c>
      <c r="G1400" s="1" t="str">
        <f>LOOKUP(B1400, Maps!A:A, Maps!B:B)</f>
        <v>Nagan Oasis</v>
      </c>
    </row>
    <row r="1401" ht="15.75" customHeight="1">
      <c r="A1401" s="1">
        <v>51.0</v>
      </c>
      <c r="B1401" s="1">
        <v>27.0</v>
      </c>
      <c r="C1401" s="1">
        <v>26.0</v>
      </c>
      <c r="D1401" s="1">
        <v>52.0</v>
      </c>
      <c r="F1401" s="1" t="str">
        <f>LOOKUP(A1401, NPCs!A:A, NPCs!C:C)</f>
        <v>Nagan Magus</v>
      </c>
      <c r="G1401" s="1" t="str">
        <f>LOOKUP(B1401, Maps!A:A, Maps!B:B)</f>
        <v>Nagan Oasis</v>
      </c>
    </row>
    <row r="1402" ht="15.75" customHeight="1">
      <c r="A1402" s="1">
        <v>51.0</v>
      </c>
      <c r="B1402" s="1">
        <v>27.0</v>
      </c>
      <c r="C1402" s="1">
        <v>28.0</v>
      </c>
      <c r="D1402" s="1">
        <v>43.0</v>
      </c>
      <c r="F1402" s="1" t="str">
        <f>LOOKUP(A1402, NPCs!A:A, NPCs!C:C)</f>
        <v>Nagan Magus</v>
      </c>
      <c r="G1402" s="1" t="str">
        <f>LOOKUP(B1402, Maps!A:A, Maps!B:B)</f>
        <v>Nagan Oasis</v>
      </c>
    </row>
    <row r="1403" ht="15.75" customHeight="1">
      <c r="A1403" s="1">
        <v>51.0</v>
      </c>
      <c r="B1403" s="1">
        <v>27.0</v>
      </c>
      <c r="C1403" s="1">
        <v>25.0</v>
      </c>
      <c r="D1403" s="1">
        <v>34.0</v>
      </c>
      <c r="F1403" s="1" t="str">
        <f>LOOKUP(A1403, NPCs!A:A, NPCs!C:C)</f>
        <v>Nagan Magus</v>
      </c>
      <c r="G1403" s="1" t="str">
        <f>LOOKUP(B1403, Maps!A:A, Maps!B:B)</f>
        <v>Nagan Oasis</v>
      </c>
    </row>
    <row r="1404" ht="15.75" customHeight="1">
      <c r="A1404" s="1">
        <v>51.0</v>
      </c>
      <c r="B1404" s="1">
        <v>27.0</v>
      </c>
      <c r="C1404" s="1">
        <v>32.0</v>
      </c>
      <c r="D1404" s="1">
        <v>30.0</v>
      </c>
      <c r="F1404" s="1" t="str">
        <f>LOOKUP(A1404, NPCs!A:A, NPCs!C:C)</f>
        <v>Nagan Magus</v>
      </c>
      <c r="G1404" s="1" t="str">
        <f>LOOKUP(B1404, Maps!A:A, Maps!B:B)</f>
        <v>Nagan Oasis</v>
      </c>
    </row>
    <row r="1405" ht="15.75" customHeight="1">
      <c r="A1405" s="1">
        <v>51.0</v>
      </c>
      <c r="B1405" s="1">
        <v>27.0</v>
      </c>
      <c r="C1405" s="1">
        <v>36.0</v>
      </c>
      <c r="D1405" s="1">
        <v>23.0</v>
      </c>
      <c r="F1405" s="1" t="str">
        <f>LOOKUP(A1405, NPCs!A:A, NPCs!C:C)</f>
        <v>Nagan Magus</v>
      </c>
      <c r="G1405" s="1" t="str">
        <f>LOOKUP(B1405, Maps!A:A, Maps!B:B)</f>
        <v>Nagan Oasis</v>
      </c>
    </row>
    <row r="1406" ht="15.75" customHeight="1">
      <c r="A1406" s="1">
        <v>51.0</v>
      </c>
      <c r="B1406" s="1">
        <v>27.0</v>
      </c>
      <c r="C1406" s="1">
        <v>27.0</v>
      </c>
      <c r="D1406" s="1">
        <v>20.0</v>
      </c>
      <c r="F1406" s="1" t="str">
        <f>LOOKUP(A1406, NPCs!A:A, NPCs!C:C)</f>
        <v>Nagan Magus</v>
      </c>
      <c r="G1406" s="1" t="str">
        <f>LOOKUP(B1406, Maps!A:A, Maps!B:B)</f>
        <v>Nagan Oasis</v>
      </c>
    </row>
    <row r="1407" ht="15.75" customHeight="1">
      <c r="A1407" s="1">
        <v>51.0</v>
      </c>
      <c r="B1407" s="1">
        <v>27.0</v>
      </c>
      <c r="C1407" s="1">
        <v>27.0</v>
      </c>
      <c r="D1407" s="1">
        <v>13.0</v>
      </c>
      <c r="F1407" s="1" t="str">
        <f>LOOKUP(A1407, NPCs!A:A, NPCs!C:C)</f>
        <v>Nagan Magus</v>
      </c>
      <c r="G1407" s="1" t="str">
        <f>LOOKUP(B1407, Maps!A:A, Maps!B:B)</f>
        <v>Nagan Oasis</v>
      </c>
    </row>
    <row r="1408" ht="15.75" customHeight="1">
      <c r="A1408" s="1">
        <v>51.0</v>
      </c>
      <c r="B1408" s="1">
        <v>27.0</v>
      </c>
      <c r="C1408" s="1">
        <v>18.0</v>
      </c>
      <c r="D1408" s="1">
        <v>21.0</v>
      </c>
      <c r="F1408" s="1" t="str">
        <f>LOOKUP(A1408, NPCs!A:A, NPCs!C:C)</f>
        <v>Nagan Magus</v>
      </c>
      <c r="G1408" s="1" t="str">
        <f>LOOKUP(B1408, Maps!A:A, Maps!B:B)</f>
        <v>Nagan Oasis</v>
      </c>
    </row>
    <row r="1409" ht="15.75" customHeight="1">
      <c r="A1409" s="1">
        <v>51.0</v>
      </c>
      <c r="B1409" s="1">
        <v>27.0</v>
      </c>
      <c r="C1409" s="1">
        <v>21.0</v>
      </c>
      <c r="D1409" s="1">
        <v>29.0</v>
      </c>
      <c r="F1409" s="1" t="str">
        <f>LOOKUP(A1409, NPCs!A:A, NPCs!C:C)</f>
        <v>Nagan Magus</v>
      </c>
      <c r="G1409" s="1" t="str">
        <f>LOOKUP(B1409, Maps!A:A, Maps!B:B)</f>
        <v>Nagan Oasis</v>
      </c>
    </row>
    <row r="1410" ht="15.75" customHeight="1">
      <c r="A1410" s="1">
        <v>51.0</v>
      </c>
      <c r="B1410" s="1">
        <v>27.0</v>
      </c>
      <c r="C1410" s="1">
        <v>19.0</v>
      </c>
      <c r="D1410" s="1">
        <v>40.0</v>
      </c>
      <c r="F1410" s="1" t="str">
        <f>LOOKUP(A1410, NPCs!A:A, NPCs!C:C)</f>
        <v>Nagan Magus</v>
      </c>
      <c r="G1410" s="1" t="str">
        <f>LOOKUP(B1410, Maps!A:A, Maps!B:B)</f>
        <v>Nagan Oasis</v>
      </c>
    </row>
    <row r="1411" ht="15.75" customHeight="1">
      <c r="A1411" s="1">
        <v>51.0</v>
      </c>
      <c r="B1411" s="1">
        <v>27.0</v>
      </c>
      <c r="C1411" s="1">
        <v>19.0</v>
      </c>
      <c r="D1411" s="1">
        <v>46.0</v>
      </c>
      <c r="F1411" s="1" t="str">
        <f>LOOKUP(A1411, NPCs!A:A, NPCs!C:C)</f>
        <v>Nagan Magus</v>
      </c>
      <c r="G1411" s="1" t="str">
        <f>LOOKUP(B1411, Maps!A:A, Maps!B:B)</f>
        <v>Nagan Oasis</v>
      </c>
    </row>
    <row r="1412" ht="15.75" customHeight="1">
      <c r="A1412" s="1">
        <v>51.0</v>
      </c>
      <c r="B1412" s="1">
        <v>27.0</v>
      </c>
      <c r="C1412" s="1">
        <v>18.0</v>
      </c>
      <c r="D1412" s="1">
        <v>55.0</v>
      </c>
      <c r="F1412" s="1" t="str">
        <f>LOOKUP(A1412, NPCs!A:A, NPCs!C:C)</f>
        <v>Nagan Magus</v>
      </c>
      <c r="G1412" s="1" t="str">
        <f>LOOKUP(B1412, Maps!A:A, Maps!B:B)</f>
        <v>Nagan Oasis</v>
      </c>
    </row>
    <row r="1413" ht="15.75" customHeight="1">
      <c r="A1413" s="1">
        <v>51.0</v>
      </c>
      <c r="B1413" s="1">
        <v>27.0</v>
      </c>
      <c r="C1413" s="1">
        <v>18.0</v>
      </c>
      <c r="D1413" s="1">
        <v>61.0</v>
      </c>
      <c r="F1413" s="1" t="str">
        <f>LOOKUP(A1413, NPCs!A:A, NPCs!C:C)</f>
        <v>Nagan Magus</v>
      </c>
      <c r="G1413" s="1" t="str">
        <f>LOOKUP(B1413, Maps!A:A, Maps!B:B)</f>
        <v>Nagan Oasis</v>
      </c>
    </row>
    <row r="1414" ht="15.75" customHeight="1">
      <c r="A1414" s="1">
        <v>51.0</v>
      </c>
      <c r="B1414" s="1">
        <v>27.0</v>
      </c>
      <c r="C1414" s="1">
        <v>16.0</v>
      </c>
      <c r="D1414" s="1">
        <v>69.0</v>
      </c>
      <c r="F1414" s="1" t="str">
        <f>LOOKUP(A1414, NPCs!A:A, NPCs!C:C)</f>
        <v>Nagan Magus</v>
      </c>
      <c r="G1414" s="1" t="str">
        <f>LOOKUP(B1414, Maps!A:A, Maps!B:B)</f>
        <v>Nagan Oasis</v>
      </c>
    </row>
    <row r="1415" ht="15.75" customHeight="1">
      <c r="A1415" s="1">
        <v>51.0</v>
      </c>
      <c r="B1415" s="1">
        <v>27.0</v>
      </c>
      <c r="C1415" s="1">
        <v>18.0</v>
      </c>
      <c r="D1415" s="1">
        <v>77.0</v>
      </c>
      <c r="F1415" s="1" t="str">
        <f>LOOKUP(A1415, NPCs!A:A, NPCs!C:C)</f>
        <v>Nagan Magus</v>
      </c>
      <c r="G1415" s="1" t="str">
        <f>LOOKUP(B1415, Maps!A:A, Maps!B:B)</f>
        <v>Nagan Oasis</v>
      </c>
    </row>
    <row r="1416" ht="15.75" customHeight="1">
      <c r="A1416" s="1">
        <v>51.0</v>
      </c>
      <c r="B1416" s="1">
        <v>27.0</v>
      </c>
      <c r="C1416" s="1">
        <v>16.0</v>
      </c>
      <c r="D1416" s="1">
        <v>86.0</v>
      </c>
      <c r="F1416" s="1" t="str">
        <f>LOOKUP(A1416, NPCs!A:A, NPCs!C:C)</f>
        <v>Nagan Magus</v>
      </c>
      <c r="G1416" s="1" t="str">
        <f>LOOKUP(B1416, Maps!A:A, Maps!B:B)</f>
        <v>Nagan Oasis</v>
      </c>
    </row>
    <row r="1417" ht="15.75" customHeight="1">
      <c r="A1417" s="1">
        <v>51.0</v>
      </c>
      <c r="B1417" s="1">
        <v>27.0</v>
      </c>
      <c r="C1417" s="1">
        <v>8.0</v>
      </c>
      <c r="D1417" s="1">
        <v>80.0</v>
      </c>
      <c r="F1417" s="1" t="str">
        <f>LOOKUP(A1417, NPCs!A:A, NPCs!C:C)</f>
        <v>Nagan Magus</v>
      </c>
      <c r="G1417" s="1" t="str">
        <f>LOOKUP(B1417, Maps!A:A, Maps!B:B)</f>
        <v>Nagan Oasis</v>
      </c>
    </row>
    <row r="1418" ht="15.75" customHeight="1">
      <c r="A1418" s="1">
        <v>51.0</v>
      </c>
      <c r="B1418" s="1">
        <v>27.0</v>
      </c>
      <c r="C1418" s="1">
        <v>8.0</v>
      </c>
      <c r="D1418" s="1">
        <v>73.0</v>
      </c>
      <c r="F1418" s="1" t="str">
        <f>LOOKUP(A1418, NPCs!A:A, NPCs!C:C)</f>
        <v>Nagan Magus</v>
      </c>
      <c r="G1418" s="1" t="str">
        <f>LOOKUP(B1418, Maps!A:A, Maps!B:B)</f>
        <v>Nagan Oasis</v>
      </c>
    </row>
    <row r="1419" ht="15.75" customHeight="1">
      <c r="A1419" s="1">
        <v>51.0</v>
      </c>
      <c r="B1419" s="1">
        <v>27.0</v>
      </c>
      <c r="C1419" s="1">
        <v>8.0</v>
      </c>
      <c r="D1419" s="1">
        <v>67.0</v>
      </c>
      <c r="F1419" s="1" t="str">
        <f>LOOKUP(A1419, NPCs!A:A, NPCs!C:C)</f>
        <v>Nagan Magus</v>
      </c>
      <c r="G1419" s="1" t="str">
        <f>LOOKUP(B1419, Maps!A:A, Maps!B:B)</f>
        <v>Nagan Oasis</v>
      </c>
    </row>
    <row r="1420" ht="15.75" customHeight="1">
      <c r="A1420" s="1">
        <v>51.0</v>
      </c>
      <c r="B1420" s="1">
        <v>27.0</v>
      </c>
      <c r="C1420" s="1">
        <v>8.0</v>
      </c>
      <c r="D1420" s="1">
        <v>61.0</v>
      </c>
      <c r="F1420" s="1" t="str">
        <f>LOOKUP(A1420, NPCs!A:A, NPCs!C:C)</f>
        <v>Nagan Magus</v>
      </c>
      <c r="G1420" s="1" t="str">
        <f>LOOKUP(B1420, Maps!A:A, Maps!B:B)</f>
        <v>Nagan Oasis</v>
      </c>
    </row>
    <row r="1421" ht="15.75" customHeight="1">
      <c r="A1421" s="1">
        <v>51.0</v>
      </c>
      <c r="B1421" s="1">
        <v>27.0</v>
      </c>
      <c r="C1421" s="1">
        <v>11.0</v>
      </c>
      <c r="D1421" s="1">
        <v>43.0</v>
      </c>
      <c r="F1421" s="1" t="str">
        <f>LOOKUP(A1421, NPCs!A:A, NPCs!C:C)</f>
        <v>Nagan Magus</v>
      </c>
      <c r="G1421" s="1" t="str">
        <f>LOOKUP(B1421, Maps!A:A, Maps!B:B)</f>
        <v>Nagan Oasis</v>
      </c>
    </row>
    <row r="1422" ht="15.75" customHeight="1">
      <c r="A1422" s="1">
        <v>51.0</v>
      </c>
      <c r="B1422" s="1">
        <v>27.0</v>
      </c>
      <c r="C1422" s="1">
        <v>11.0</v>
      </c>
      <c r="D1422" s="1">
        <v>37.0</v>
      </c>
      <c r="F1422" s="1" t="str">
        <f>LOOKUP(A1422, NPCs!A:A, NPCs!C:C)</f>
        <v>Nagan Magus</v>
      </c>
      <c r="G1422" s="1" t="str">
        <f>LOOKUP(B1422, Maps!A:A, Maps!B:B)</f>
        <v>Nagan Oasis</v>
      </c>
    </row>
    <row r="1423" ht="15.75" customHeight="1">
      <c r="A1423" s="1">
        <v>51.0</v>
      </c>
      <c r="B1423" s="1">
        <v>27.0</v>
      </c>
      <c r="C1423" s="1">
        <v>11.0</v>
      </c>
      <c r="D1423" s="1">
        <v>31.0</v>
      </c>
      <c r="F1423" s="1" t="str">
        <f>LOOKUP(A1423, NPCs!A:A, NPCs!C:C)</f>
        <v>Nagan Magus</v>
      </c>
      <c r="G1423" s="1" t="str">
        <f>LOOKUP(B1423, Maps!A:A, Maps!B:B)</f>
        <v>Nagan Oasis</v>
      </c>
    </row>
    <row r="1424" ht="15.75" customHeight="1">
      <c r="A1424" s="1">
        <v>51.0</v>
      </c>
      <c r="B1424" s="1">
        <v>27.0</v>
      </c>
      <c r="C1424" s="1">
        <v>11.0</v>
      </c>
      <c r="D1424" s="1">
        <v>25.0</v>
      </c>
      <c r="F1424" s="1" t="str">
        <f>LOOKUP(A1424, NPCs!A:A, NPCs!C:C)</f>
        <v>Nagan Magus</v>
      </c>
      <c r="G1424" s="1" t="str">
        <f>LOOKUP(B1424, Maps!A:A, Maps!B:B)</f>
        <v>Nagan Oasis</v>
      </c>
    </row>
    <row r="1425" ht="15.75" customHeight="1">
      <c r="A1425" s="1">
        <v>51.0</v>
      </c>
      <c r="B1425" s="1">
        <v>27.0</v>
      </c>
      <c r="C1425" s="1">
        <v>11.0</v>
      </c>
      <c r="D1425" s="1">
        <v>19.0</v>
      </c>
      <c r="F1425" s="1" t="str">
        <f>LOOKUP(A1425, NPCs!A:A, NPCs!C:C)</f>
        <v>Nagan Magus</v>
      </c>
      <c r="G1425" s="1" t="str">
        <f>LOOKUP(B1425, Maps!A:A, Maps!B:B)</f>
        <v>Nagan Oasis</v>
      </c>
    </row>
    <row r="1426" ht="15.75" customHeight="1">
      <c r="A1426" s="1">
        <v>51.0</v>
      </c>
      <c r="B1426" s="1">
        <v>27.0</v>
      </c>
      <c r="C1426" s="1">
        <v>11.0</v>
      </c>
      <c r="D1426" s="1">
        <v>13.0</v>
      </c>
      <c r="F1426" s="1" t="str">
        <f>LOOKUP(A1426, NPCs!A:A, NPCs!C:C)</f>
        <v>Nagan Magus</v>
      </c>
      <c r="G1426" s="1" t="str">
        <f>LOOKUP(B1426, Maps!A:A, Maps!B:B)</f>
        <v>Nagan Oasis</v>
      </c>
    </row>
    <row r="1427" ht="15.75" customHeight="1">
      <c r="A1427" s="1">
        <v>52.0</v>
      </c>
      <c r="B1427" s="1">
        <v>27.0</v>
      </c>
      <c r="C1427" s="1">
        <v>32.0</v>
      </c>
      <c r="D1427" s="1">
        <v>8.0</v>
      </c>
      <c r="F1427" s="1" t="str">
        <f>LOOKUP(A1427, NPCs!A:A, NPCs!C:C)</f>
        <v>Nagan Priest</v>
      </c>
      <c r="G1427" s="1" t="str">
        <f>LOOKUP(B1427, Maps!A:A, Maps!B:B)</f>
        <v>Nagan Oasis</v>
      </c>
    </row>
    <row r="1428" ht="15.75" customHeight="1">
      <c r="A1428" s="1">
        <v>52.0</v>
      </c>
      <c r="B1428" s="1">
        <v>27.0</v>
      </c>
      <c r="C1428" s="1">
        <v>41.0</v>
      </c>
      <c r="D1428" s="1">
        <v>10.0</v>
      </c>
      <c r="F1428" s="1" t="str">
        <f>LOOKUP(A1428, NPCs!A:A, NPCs!C:C)</f>
        <v>Nagan Priest</v>
      </c>
      <c r="G1428" s="1" t="str">
        <f>LOOKUP(B1428, Maps!A:A, Maps!B:B)</f>
        <v>Nagan Oasis</v>
      </c>
    </row>
    <row r="1429" ht="15.75" customHeight="1">
      <c r="A1429" s="1">
        <v>52.0</v>
      </c>
      <c r="B1429" s="1">
        <v>27.0</v>
      </c>
      <c r="C1429" s="1">
        <v>56.0</v>
      </c>
      <c r="D1429" s="1">
        <v>11.0</v>
      </c>
      <c r="F1429" s="1" t="str">
        <f>LOOKUP(A1429, NPCs!A:A, NPCs!C:C)</f>
        <v>Nagan Priest</v>
      </c>
      <c r="G1429" s="1" t="str">
        <f>LOOKUP(B1429, Maps!A:A, Maps!B:B)</f>
        <v>Nagan Oasis</v>
      </c>
    </row>
    <row r="1430" ht="15.75" customHeight="1">
      <c r="A1430" s="1">
        <v>52.0</v>
      </c>
      <c r="B1430" s="1">
        <v>27.0</v>
      </c>
      <c r="C1430" s="1">
        <v>62.0</v>
      </c>
      <c r="D1430" s="1">
        <v>5.0</v>
      </c>
      <c r="F1430" s="1" t="str">
        <f>LOOKUP(A1430, NPCs!A:A, NPCs!C:C)</f>
        <v>Nagan Priest</v>
      </c>
      <c r="G1430" s="1" t="str">
        <f>LOOKUP(B1430, Maps!A:A, Maps!B:B)</f>
        <v>Nagan Oasis</v>
      </c>
    </row>
    <row r="1431" ht="15.75" customHeight="1">
      <c r="A1431" s="1">
        <v>52.0</v>
      </c>
      <c r="B1431" s="1">
        <v>27.0</v>
      </c>
      <c r="C1431" s="1">
        <v>72.0</v>
      </c>
      <c r="D1431" s="1">
        <v>9.0</v>
      </c>
      <c r="F1431" s="1" t="str">
        <f>LOOKUP(A1431, NPCs!A:A, NPCs!C:C)</f>
        <v>Nagan Priest</v>
      </c>
      <c r="G1431" s="1" t="str">
        <f>LOOKUP(B1431, Maps!A:A, Maps!B:B)</f>
        <v>Nagan Oasis</v>
      </c>
    </row>
    <row r="1432" ht="15.75" customHeight="1">
      <c r="A1432" s="1">
        <v>52.0</v>
      </c>
      <c r="B1432" s="1">
        <v>27.0</v>
      </c>
      <c r="C1432" s="1">
        <v>78.0</v>
      </c>
      <c r="D1432" s="1">
        <v>4.0</v>
      </c>
      <c r="F1432" s="1" t="str">
        <f>LOOKUP(A1432, NPCs!A:A, NPCs!C:C)</f>
        <v>Nagan Priest</v>
      </c>
      <c r="G1432" s="1" t="str">
        <f>LOOKUP(B1432, Maps!A:A, Maps!B:B)</f>
        <v>Nagan Oasis</v>
      </c>
    </row>
    <row r="1433" ht="15.75" customHeight="1">
      <c r="A1433" s="1">
        <v>52.0</v>
      </c>
      <c r="B1433" s="1">
        <v>27.0</v>
      </c>
      <c r="C1433" s="1">
        <v>87.0</v>
      </c>
      <c r="D1433" s="1">
        <v>5.0</v>
      </c>
      <c r="F1433" s="1" t="str">
        <f>LOOKUP(A1433, NPCs!A:A, NPCs!C:C)</f>
        <v>Nagan Priest</v>
      </c>
      <c r="G1433" s="1" t="str">
        <f>LOOKUP(B1433, Maps!A:A, Maps!B:B)</f>
        <v>Nagan Oasis</v>
      </c>
    </row>
    <row r="1434" ht="15.75" customHeight="1">
      <c r="A1434" s="1">
        <v>52.0</v>
      </c>
      <c r="B1434" s="1">
        <v>27.0</v>
      </c>
      <c r="C1434" s="1">
        <v>92.0</v>
      </c>
      <c r="D1434" s="1">
        <v>11.0</v>
      </c>
      <c r="F1434" s="1" t="str">
        <f>LOOKUP(A1434, NPCs!A:A, NPCs!C:C)</f>
        <v>Nagan Priest</v>
      </c>
      <c r="G1434" s="1" t="str">
        <f>LOOKUP(B1434, Maps!A:A, Maps!B:B)</f>
        <v>Nagan Oasis</v>
      </c>
    </row>
    <row r="1435" ht="15.75" customHeight="1">
      <c r="A1435" s="1">
        <v>52.0</v>
      </c>
      <c r="B1435" s="1">
        <v>27.0</v>
      </c>
      <c r="C1435" s="1">
        <v>82.0</v>
      </c>
      <c r="D1435" s="1">
        <v>12.0</v>
      </c>
      <c r="F1435" s="1" t="str">
        <f>LOOKUP(A1435, NPCs!A:A, NPCs!C:C)</f>
        <v>Nagan Priest</v>
      </c>
      <c r="G1435" s="1" t="str">
        <f>LOOKUP(B1435, Maps!A:A, Maps!B:B)</f>
        <v>Nagan Oasis</v>
      </c>
    </row>
    <row r="1436" ht="15.75" customHeight="1">
      <c r="A1436" s="1">
        <v>52.0</v>
      </c>
      <c r="B1436" s="1">
        <v>27.0</v>
      </c>
      <c r="C1436" s="1">
        <v>85.0</v>
      </c>
      <c r="D1436" s="1">
        <v>19.0</v>
      </c>
      <c r="F1436" s="1" t="str">
        <f>LOOKUP(A1436, NPCs!A:A, NPCs!C:C)</f>
        <v>Nagan Priest</v>
      </c>
      <c r="G1436" s="1" t="str">
        <f>LOOKUP(B1436, Maps!A:A, Maps!B:B)</f>
        <v>Nagan Oasis</v>
      </c>
    </row>
    <row r="1437" ht="15.75" customHeight="1">
      <c r="A1437" s="1">
        <v>52.0</v>
      </c>
      <c r="B1437" s="1">
        <v>27.0</v>
      </c>
      <c r="C1437" s="1">
        <v>95.0</v>
      </c>
      <c r="D1437" s="1">
        <v>18.0</v>
      </c>
      <c r="F1437" s="1" t="str">
        <f>LOOKUP(A1437, NPCs!A:A, NPCs!C:C)</f>
        <v>Nagan Priest</v>
      </c>
      <c r="G1437" s="1" t="str">
        <f>LOOKUP(B1437, Maps!A:A, Maps!B:B)</f>
        <v>Nagan Oasis</v>
      </c>
    </row>
    <row r="1438" ht="15.75" customHeight="1">
      <c r="A1438" s="1">
        <v>52.0</v>
      </c>
      <c r="B1438" s="1">
        <v>27.0</v>
      </c>
      <c r="C1438" s="1">
        <v>91.0</v>
      </c>
      <c r="D1438" s="1">
        <v>25.0</v>
      </c>
      <c r="F1438" s="1" t="str">
        <f>LOOKUP(A1438, NPCs!A:A, NPCs!C:C)</f>
        <v>Nagan Priest</v>
      </c>
      <c r="G1438" s="1" t="str">
        <f>LOOKUP(B1438, Maps!A:A, Maps!B:B)</f>
        <v>Nagan Oasis</v>
      </c>
    </row>
    <row r="1439" ht="15.75" customHeight="1">
      <c r="A1439" s="1">
        <v>52.0</v>
      </c>
      <c r="B1439" s="1">
        <v>27.0</v>
      </c>
      <c r="C1439" s="1">
        <v>80.0</v>
      </c>
      <c r="D1439" s="1">
        <v>25.0</v>
      </c>
      <c r="F1439" s="1" t="str">
        <f>LOOKUP(A1439, NPCs!A:A, NPCs!C:C)</f>
        <v>Nagan Priest</v>
      </c>
      <c r="G1439" s="1" t="str">
        <f>LOOKUP(B1439, Maps!A:A, Maps!B:B)</f>
        <v>Nagan Oasis</v>
      </c>
    </row>
    <row r="1440" ht="15.75" customHeight="1">
      <c r="A1440" s="1">
        <v>52.0</v>
      </c>
      <c r="B1440" s="1">
        <v>27.0</v>
      </c>
      <c r="C1440" s="1">
        <v>86.0</v>
      </c>
      <c r="D1440" s="1">
        <v>31.0</v>
      </c>
      <c r="F1440" s="1" t="str">
        <f>LOOKUP(A1440, NPCs!A:A, NPCs!C:C)</f>
        <v>Nagan Priest</v>
      </c>
      <c r="G1440" s="1" t="str">
        <f>LOOKUP(B1440, Maps!A:A, Maps!B:B)</f>
        <v>Nagan Oasis</v>
      </c>
    </row>
    <row r="1441" ht="15.75" customHeight="1">
      <c r="A1441" s="1">
        <v>52.0</v>
      </c>
      <c r="B1441" s="1">
        <v>27.0</v>
      </c>
      <c r="C1441" s="1">
        <v>94.0</v>
      </c>
      <c r="D1441" s="1">
        <v>33.0</v>
      </c>
      <c r="F1441" s="1" t="str">
        <f>LOOKUP(A1441, NPCs!A:A, NPCs!C:C)</f>
        <v>Nagan Priest</v>
      </c>
      <c r="G1441" s="1" t="str">
        <f>LOOKUP(B1441, Maps!A:A, Maps!B:B)</f>
        <v>Nagan Oasis</v>
      </c>
    </row>
    <row r="1442" ht="15.75" customHeight="1">
      <c r="A1442" s="1">
        <v>52.0</v>
      </c>
      <c r="B1442" s="1">
        <v>27.0</v>
      </c>
      <c r="C1442" s="1">
        <v>94.0</v>
      </c>
      <c r="D1442" s="1">
        <v>40.0</v>
      </c>
      <c r="F1442" s="1" t="str">
        <f>LOOKUP(A1442, NPCs!A:A, NPCs!C:C)</f>
        <v>Nagan Priest</v>
      </c>
      <c r="G1442" s="1" t="str">
        <f>LOOKUP(B1442, Maps!A:A, Maps!B:B)</f>
        <v>Nagan Oasis</v>
      </c>
    </row>
    <row r="1443" ht="15.75" customHeight="1">
      <c r="A1443" s="1">
        <v>52.0</v>
      </c>
      <c r="B1443" s="1">
        <v>27.0</v>
      </c>
      <c r="C1443" s="1">
        <v>86.0</v>
      </c>
      <c r="D1443" s="1">
        <v>38.0</v>
      </c>
      <c r="F1443" s="1" t="str">
        <f>LOOKUP(A1443, NPCs!A:A, NPCs!C:C)</f>
        <v>Nagan Priest</v>
      </c>
      <c r="G1443" s="1" t="str">
        <f>LOOKUP(B1443, Maps!A:A, Maps!B:B)</f>
        <v>Nagan Oasis</v>
      </c>
    </row>
    <row r="1444" ht="15.75" customHeight="1">
      <c r="A1444" s="1">
        <v>52.0</v>
      </c>
      <c r="B1444" s="1">
        <v>27.0</v>
      </c>
      <c r="C1444" s="1">
        <v>80.0</v>
      </c>
      <c r="D1444" s="1">
        <v>44.0</v>
      </c>
      <c r="F1444" s="1" t="str">
        <f>LOOKUP(A1444, NPCs!A:A, NPCs!C:C)</f>
        <v>Nagan Priest</v>
      </c>
      <c r="G1444" s="1" t="str">
        <f>LOOKUP(B1444, Maps!A:A, Maps!B:B)</f>
        <v>Nagan Oasis</v>
      </c>
    </row>
    <row r="1445" ht="15.75" customHeight="1">
      <c r="A1445" s="1">
        <v>52.0</v>
      </c>
      <c r="B1445" s="1">
        <v>27.0</v>
      </c>
      <c r="C1445" s="1">
        <v>94.0</v>
      </c>
      <c r="D1445" s="1">
        <v>47.0</v>
      </c>
      <c r="F1445" s="1" t="str">
        <f>LOOKUP(A1445, NPCs!A:A, NPCs!C:C)</f>
        <v>Nagan Priest</v>
      </c>
      <c r="G1445" s="1" t="str">
        <f>LOOKUP(B1445, Maps!A:A, Maps!B:B)</f>
        <v>Nagan Oasis</v>
      </c>
    </row>
    <row r="1446" ht="15.75" customHeight="1">
      <c r="A1446" s="1">
        <v>52.0</v>
      </c>
      <c r="B1446" s="1">
        <v>27.0</v>
      </c>
      <c r="C1446" s="1">
        <v>85.0</v>
      </c>
      <c r="D1446" s="1">
        <v>50.0</v>
      </c>
      <c r="F1446" s="1" t="str">
        <f>LOOKUP(A1446, NPCs!A:A, NPCs!C:C)</f>
        <v>Nagan Priest</v>
      </c>
      <c r="G1446" s="1" t="str">
        <f>LOOKUP(B1446, Maps!A:A, Maps!B:B)</f>
        <v>Nagan Oasis</v>
      </c>
    </row>
    <row r="1447" ht="15.75" customHeight="1">
      <c r="A1447" s="1">
        <v>52.0</v>
      </c>
      <c r="B1447" s="1">
        <v>27.0</v>
      </c>
      <c r="C1447" s="1">
        <v>94.0</v>
      </c>
      <c r="D1447" s="1">
        <v>53.0</v>
      </c>
      <c r="F1447" s="1" t="str">
        <f>LOOKUP(A1447, NPCs!A:A, NPCs!C:C)</f>
        <v>Nagan Priest</v>
      </c>
      <c r="G1447" s="1" t="str">
        <f>LOOKUP(B1447, Maps!A:A, Maps!B:B)</f>
        <v>Nagan Oasis</v>
      </c>
    </row>
    <row r="1448" ht="15.75" customHeight="1">
      <c r="A1448" s="1">
        <v>52.0</v>
      </c>
      <c r="B1448" s="1">
        <v>27.0</v>
      </c>
      <c r="C1448" s="1">
        <v>85.0</v>
      </c>
      <c r="D1448" s="1">
        <v>56.0</v>
      </c>
      <c r="F1448" s="1" t="str">
        <f>LOOKUP(A1448, NPCs!A:A, NPCs!C:C)</f>
        <v>Nagan Priest</v>
      </c>
      <c r="G1448" s="1" t="str">
        <f>LOOKUP(B1448, Maps!A:A, Maps!B:B)</f>
        <v>Nagan Oasis</v>
      </c>
    </row>
    <row r="1449" ht="15.75" customHeight="1">
      <c r="A1449" s="1">
        <v>52.0</v>
      </c>
      <c r="B1449" s="1">
        <v>27.0</v>
      </c>
      <c r="C1449" s="1">
        <v>94.0</v>
      </c>
      <c r="D1449" s="1">
        <v>59.0</v>
      </c>
      <c r="F1449" s="1" t="str">
        <f>LOOKUP(A1449, NPCs!A:A, NPCs!C:C)</f>
        <v>Nagan Priest</v>
      </c>
      <c r="G1449" s="1" t="str">
        <f>LOOKUP(B1449, Maps!A:A, Maps!B:B)</f>
        <v>Nagan Oasis</v>
      </c>
    </row>
    <row r="1450" ht="15.75" customHeight="1">
      <c r="A1450" s="1">
        <v>52.0</v>
      </c>
      <c r="B1450" s="1">
        <v>27.0</v>
      </c>
      <c r="C1450" s="1">
        <v>97.0</v>
      </c>
      <c r="D1450" s="1">
        <v>64.0</v>
      </c>
      <c r="F1450" s="1" t="str">
        <f>LOOKUP(A1450, NPCs!A:A, NPCs!C:C)</f>
        <v>Nagan Priest</v>
      </c>
      <c r="G1450" s="1" t="str">
        <f>LOOKUP(B1450, Maps!A:A, Maps!B:B)</f>
        <v>Nagan Oasis</v>
      </c>
    </row>
    <row r="1451" ht="15.75" customHeight="1">
      <c r="A1451" s="1">
        <v>52.0</v>
      </c>
      <c r="B1451" s="1">
        <v>27.0</v>
      </c>
      <c r="C1451" s="1">
        <v>89.0</v>
      </c>
      <c r="D1451" s="1">
        <v>71.0</v>
      </c>
      <c r="F1451" s="1" t="str">
        <f>LOOKUP(A1451, NPCs!A:A, NPCs!C:C)</f>
        <v>Nagan Priest</v>
      </c>
      <c r="G1451" s="1" t="str">
        <f>LOOKUP(B1451, Maps!A:A, Maps!B:B)</f>
        <v>Nagan Oasis</v>
      </c>
    </row>
    <row r="1452" ht="15.75" customHeight="1">
      <c r="A1452" s="1">
        <v>52.0</v>
      </c>
      <c r="B1452" s="1">
        <v>27.0</v>
      </c>
      <c r="C1452" s="1">
        <v>93.0</v>
      </c>
      <c r="D1452" s="1">
        <v>77.0</v>
      </c>
      <c r="F1452" s="1" t="str">
        <f>LOOKUP(A1452, NPCs!A:A, NPCs!C:C)</f>
        <v>Nagan Priest</v>
      </c>
      <c r="G1452" s="1" t="str">
        <f>LOOKUP(B1452, Maps!A:A, Maps!B:B)</f>
        <v>Nagan Oasis</v>
      </c>
    </row>
    <row r="1453" ht="15.75" customHeight="1">
      <c r="A1453" s="1">
        <v>52.0</v>
      </c>
      <c r="B1453" s="1">
        <v>27.0</v>
      </c>
      <c r="C1453" s="1">
        <v>87.0</v>
      </c>
      <c r="D1453" s="1">
        <v>83.0</v>
      </c>
      <c r="F1453" s="1" t="str">
        <f>LOOKUP(A1453, NPCs!A:A, NPCs!C:C)</f>
        <v>Nagan Priest</v>
      </c>
      <c r="G1453" s="1" t="str">
        <f>LOOKUP(B1453, Maps!A:A, Maps!B:B)</f>
        <v>Nagan Oasis</v>
      </c>
    </row>
    <row r="1454" ht="15.75" customHeight="1">
      <c r="A1454" s="1">
        <v>52.0</v>
      </c>
      <c r="B1454" s="1">
        <v>27.0</v>
      </c>
      <c r="C1454" s="1">
        <v>96.0</v>
      </c>
      <c r="D1454" s="1">
        <v>87.0</v>
      </c>
      <c r="F1454" s="1" t="str">
        <f>LOOKUP(A1454, NPCs!A:A, NPCs!C:C)</f>
        <v>Nagan Priest</v>
      </c>
      <c r="G1454" s="1" t="str">
        <f>LOOKUP(B1454, Maps!A:A, Maps!B:B)</f>
        <v>Nagan Oasis</v>
      </c>
    </row>
    <row r="1455" ht="15.75" customHeight="1">
      <c r="A1455" s="1">
        <v>52.0</v>
      </c>
      <c r="B1455" s="1">
        <v>27.0</v>
      </c>
      <c r="C1455" s="1">
        <v>84.0</v>
      </c>
      <c r="D1455" s="1">
        <v>94.0</v>
      </c>
      <c r="F1455" s="1" t="str">
        <f>LOOKUP(A1455, NPCs!A:A, NPCs!C:C)</f>
        <v>Nagan Priest</v>
      </c>
      <c r="G1455" s="1" t="str">
        <f>LOOKUP(B1455, Maps!A:A, Maps!B:B)</f>
        <v>Nagan Oasis</v>
      </c>
    </row>
    <row r="1456" ht="15.75" customHeight="1">
      <c r="A1456" s="1">
        <v>52.0</v>
      </c>
      <c r="B1456" s="1">
        <v>27.0</v>
      </c>
      <c r="C1456" s="1">
        <v>78.0</v>
      </c>
      <c r="D1456" s="1">
        <v>88.0</v>
      </c>
      <c r="F1456" s="1" t="str">
        <f>LOOKUP(A1456, NPCs!A:A, NPCs!C:C)</f>
        <v>Nagan Priest</v>
      </c>
      <c r="G1456" s="1" t="str">
        <f>LOOKUP(B1456, Maps!A:A, Maps!B:B)</f>
        <v>Nagan Oasis</v>
      </c>
    </row>
    <row r="1457" ht="15.75" customHeight="1">
      <c r="A1457" s="1">
        <v>52.0</v>
      </c>
      <c r="B1457" s="1">
        <v>27.0</v>
      </c>
      <c r="C1457" s="1">
        <v>71.0</v>
      </c>
      <c r="D1457" s="1">
        <v>88.0</v>
      </c>
      <c r="F1457" s="1" t="str">
        <f>LOOKUP(A1457, NPCs!A:A, NPCs!C:C)</f>
        <v>Nagan Priest</v>
      </c>
      <c r="G1457" s="1" t="str">
        <f>LOOKUP(B1457, Maps!A:A, Maps!B:B)</f>
        <v>Nagan Oasis</v>
      </c>
    </row>
    <row r="1458" ht="15.75" customHeight="1">
      <c r="A1458" s="1">
        <v>52.0</v>
      </c>
      <c r="B1458" s="1">
        <v>27.0</v>
      </c>
      <c r="C1458" s="1">
        <v>63.0</v>
      </c>
      <c r="D1458" s="1">
        <v>85.0</v>
      </c>
      <c r="F1458" s="1" t="str">
        <f>LOOKUP(A1458, NPCs!A:A, NPCs!C:C)</f>
        <v>Nagan Priest</v>
      </c>
      <c r="G1458" s="1" t="str">
        <f>LOOKUP(B1458, Maps!A:A, Maps!B:B)</f>
        <v>Nagan Oasis</v>
      </c>
    </row>
    <row r="1459" ht="15.75" customHeight="1">
      <c r="A1459" s="1">
        <v>52.0</v>
      </c>
      <c r="B1459" s="1">
        <v>27.0</v>
      </c>
      <c r="C1459" s="1">
        <v>63.0</v>
      </c>
      <c r="D1459" s="1">
        <v>79.0</v>
      </c>
      <c r="F1459" s="1" t="str">
        <f>LOOKUP(A1459, NPCs!A:A, NPCs!C:C)</f>
        <v>Nagan Priest</v>
      </c>
      <c r="G1459" s="1" t="str">
        <f>LOOKUP(B1459, Maps!A:A, Maps!B:B)</f>
        <v>Nagan Oasis</v>
      </c>
    </row>
    <row r="1460" ht="15.75" customHeight="1">
      <c r="A1460" s="1">
        <v>52.0</v>
      </c>
      <c r="B1460" s="1">
        <v>27.0</v>
      </c>
      <c r="C1460" s="1">
        <v>63.0</v>
      </c>
      <c r="D1460" s="1">
        <v>73.0</v>
      </c>
      <c r="F1460" s="1" t="str">
        <f>LOOKUP(A1460, NPCs!A:A, NPCs!C:C)</f>
        <v>Nagan Priest</v>
      </c>
      <c r="G1460" s="1" t="str">
        <f>LOOKUP(B1460, Maps!A:A, Maps!B:B)</f>
        <v>Nagan Oasis</v>
      </c>
    </row>
    <row r="1461" ht="15.75" customHeight="1">
      <c r="A1461" s="1">
        <v>52.0</v>
      </c>
      <c r="B1461" s="1">
        <v>27.0</v>
      </c>
      <c r="C1461" s="1">
        <v>80.0</v>
      </c>
      <c r="D1461" s="1">
        <v>67.0</v>
      </c>
      <c r="F1461" s="1" t="str">
        <f>LOOKUP(A1461, NPCs!A:A, NPCs!C:C)</f>
        <v>Nagan Priest</v>
      </c>
      <c r="G1461" s="1" t="str">
        <f>LOOKUP(B1461, Maps!A:A, Maps!B:B)</f>
        <v>Nagan Oasis</v>
      </c>
    </row>
    <row r="1462" ht="15.75" customHeight="1">
      <c r="A1462" s="1">
        <v>52.0</v>
      </c>
      <c r="B1462" s="1">
        <v>27.0</v>
      </c>
      <c r="C1462" s="1">
        <v>70.0</v>
      </c>
      <c r="D1462" s="1">
        <v>64.0</v>
      </c>
      <c r="F1462" s="1" t="str">
        <f>LOOKUP(A1462, NPCs!A:A, NPCs!C:C)</f>
        <v>Nagan Priest</v>
      </c>
      <c r="G1462" s="1" t="str">
        <f>LOOKUP(B1462, Maps!A:A, Maps!B:B)</f>
        <v>Nagan Oasis</v>
      </c>
    </row>
    <row r="1463" ht="15.75" customHeight="1">
      <c r="A1463" s="1">
        <v>52.0</v>
      </c>
      <c r="B1463" s="1">
        <v>27.0</v>
      </c>
      <c r="C1463" s="1">
        <v>65.0</v>
      </c>
      <c r="D1463" s="1">
        <v>57.0</v>
      </c>
      <c r="F1463" s="1" t="str">
        <f>LOOKUP(A1463, NPCs!A:A, NPCs!C:C)</f>
        <v>Nagan Priest</v>
      </c>
      <c r="G1463" s="1" t="str">
        <f>LOOKUP(B1463, Maps!A:A, Maps!B:B)</f>
        <v>Nagan Oasis</v>
      </c>
    </row>
    <row r="1464" ht="15.75" customHeight="1">
      <c r="A1464" s="1">
        <v>52.0</v>
      </c>
      <c r="B1464" s="1">
        <v>27.0</v>
      </c>
      <c r="C1464" s="1">
        <v>75.0</v>
      </c>
      <c r="D1464" s="1">
        <v>57.0</v>
      </c>
      <c r="F1464" s="1" t="str">
        <f>LOOKUP(A1464, NPCs!A:A, NPCs!C:C)</f>
        <v>Nagan Priest</v>
      </c>
      <c r="G1464" s="1" t="str">
        <f>LOOKUP(B1464, Maps!A:A, Maps!B:B)</f>
        <v>Nagan Oasis</v>
      </c>
    </row>
    <row r="1465" ht="15.75" customHeight="1">
      <c r="A1465" s="1">
        <v>52.0</v>
      </c>
      <c r="B1465" s="1">
        <v>27.0</v>
      </c>
      <c r="C1465" s="1">
        <v>73.0</v>
      </c>
      <c r="D1465" s="1">
        <v>49.0</v>
      </c>
      <c r="F1465" s="1" t="str">
        <f>LOOKUP(A1465, NPCs!A:A, NPCs!C:C)</f>
        <v>Nagan Priest</v>
      </c>
      <c r="G1465" s="1" t="str">
        <f>LOOKUP(B1465, Maps!A:A, Maps!B:B)</f>
        <v>Nagan Oasis</v>
      </c>
    </row>
    <row r="1466" ht="15.75" customHeight="1">
      <c r="A1466" s="1">
        <v>52.0</v>
      </c>
      <c r="B1466" s="1">
        <v>27.0</v>
      </c>
      <c r="C1466" s="1">
        <v>63.0</v>
      </c>
      <c r="D1466" s="1">
        <v>50.0</v>
      </c>
      <c r="F1466" s="1" t="str">
        <f>LOOKUP(A1466, NPCs!A:A, NPCs!C:C)</f>
        <v>Nagan Priest</v>
      </c>
      <c r="G1466" s="1" t="str">
        <f>LOOKUP(B1466, Maps!A:A, Maps!B:B)</f>
        <v>Nagan Oasis</v>
      </c>
    </row>
    <row r="1467" ht="15.75" customHeight="1">
      <c r="A1467" s="1">
        <v>52.0</v>
      </c>
      <c r="B1467" s="1">
        <v>27.0</v>
      </c>
      <c r="C1467" s="1">
        <v>66.0</v>
      </c>
      <c r="D1467" s="1">
        <v>42.0</v>
      </c>
      <c r="F1467" s="1" t="str">
        <f>LOOKUP(A1467, NPCs!A:A, NPCs!C:C)</f>
        <v>Nagan Priest</v>
      </c>
      <c r="G1467" s="1" t="str">
        <f>LOOKUP(B1467, Maps!A:A, Maps!B:B)</f>
        <v>Nagan Oasis</v>
      </c>
    </row>
    <row r="1468" ht="15.75" customHeight="1">
      <c r="A1468" s="1">
        <v>52.0</v>
      </c>
      <c r="B1468" s="1">
        <v>27.0</v>
      </c>
      <c r="C1468" s="1">
        <v>75.0</v>
      </c>
      <c r="D1468" s="1">
        <v>38.0</v>
      </c>
      <c r="F1468" s="1" t="str">
        <f>LOOKUP(A1468, NPCs!A:A, NPCs!C:C)</f>
        <v>Nagan Priest</v>
      </c>
      <c r="G1468" s="1" t="str">
        <f>LOOKUP(B1468, Maps!A:A, Maps!B:B)</f>
        <v>Nagan Oasis</v>
      </c>
    </row>
    <row r="1469" ht="15.75" customHeight="1">
      <c r="A1469" s="1">
        <v>52.0</v>
      </c>
      <c r="B1469" s="1">
        <v>27.0</v>
      </c>
      <c r="C1469" s="1">
        <v>65.0</v>
      </c>
      <c r="D1469" s="1">
        <v>35.0</v>
      </c>
      <c r="F1469" s="1" t="str">
        <f>LOOKUP(A1469, NPCs!A:A, NPCs!C:C)</f>
        <v>Nagan Priest</v>
      </c>
      <c r="G1469" s="1" t="str">
        <f>LOOKUP(B1469, Maps!A:A, Maps!B:B)</f>
        <v>Nagan Oasis</v>
      </c>
    </row>
    <row r="1470" ht="15.75" customHeight="1">
      <c r="A1470" s="1">
        <v>52.0</v>
      </c>
      <c r="B1470" s="1">
        <v>27.0</v>
      </c>
      <c r="C1470" s="1">
        <v>71.0</v>
      </c>
      <c r="D1470" s="1">
        <v>30.0</v>
      </c>
      <c r="F1470" s="1" t="str">
        <f>LOOKUP(A1470, NPCs!A:A, NPCs!C:C)</f>
        <v>Nagan Priest</v>
      </c>
      <c r="G1470" s="1" t="str">
        <f>LOOKUP(B1470, Maps!A:A, Maps!B:B)</f>
        <v>Nagan Oasis</v>
      </c>
    </row>
    <row r="1471" ht="15.75" customHeight="1">
      <c r="A1471" s="1">
        <v>52.0</v>
      </c>
      <c r="B1471" s="1">
        <v>27.0</v>
      </c>
      <c r="C1471" s="1">
        <v>65.0</v>
      </c>
      <c r="D1471" s="1">
        <v>23.0</v>
      </c>
      <c r="F1471" s="1" t="str">
        <f>LOOKUP(A1471, NPCs!A:A, NPCs!C:C)</f>
        <v>Nagan Priest</v>
      </c>
      <c r="G1471" s="1" t="str">
        <f>LOOKUP(B1471, Maps!A:A, Maps!B:B)</f>
        <v>Nagan Oasis</v>
      </c>
    </row>
    <row r="1472" ht="15.75" customHeight="1">
      <c r="A1472" s="1">
        <v>52.0</v>
      </c>
      <c r="B1472" s="1">
        <v>27.0</v>
      </c>
      <c r="C1472" s="1">
        <v>63.0</v>
      </c>
      <c r="D1472" s="1">
        <v>16.0</v>
      </c>
      <c r="F1472" s="1" t="str">
        <f>LOOKUP(A1472, NPCs!A:A, NPCs!C:C)</f>
        <v>Nagan Priest</v>
      </c>
      <c r="G1472" s="1" t="str">
        <f>LOOKUP(B1472, Maps!A:A, Maps!B:B)</f>
        <v>Nagan Oasis</v>
      </c>
    </row>
    <row r="1473" ht="15.75" customHeight="1">
      <c r="A1473" s="1">
        <v>52.0</v>
      </c>
      <c r="B1473" s="1">
        <v>27.0</v>
      </c>
      <c r="C1473" s="1">
        <v>72.0</v>
      </c>
      <c r="D1473" s="1">
        <v>16.0</v>
      </c>
      <c r="F1473" s="1" t="str">
        <f>LOOKUP(A1473, NPCs!A:A, NPCs!C:C)</f>
        <v>Nagan Priest</v>
      </c>
      <c r="G1473" s="1" t="str">
        <f>LOOKUP(B1473, Maps!A:A, Maps!B:B)</f>
        <v>Nagan Oasis</v>
      </c>
    </row>
    <row r="1474" ht="15.75" customHeight="1">
      <c r="A1474" s="1">
        <v>52.0</v>
      </c>
      <c r="B1474" s="1">
        <v>27.0</v>
      </c>
      <c r="C1474" s="1">
        <v>59.0</v>
      </c>
      <c r="D1474" s="1">
        <v>63.0</v>
      </c>
      <c r="F1474" s="1" t="str">
        <f>LOOKUP(A1474, NPCs!A:A, NPCs!C:C)</f>
        <v>Nagan Priest</v>
      </c>
      <c r="G1474" s="1" t="str">
        <f>LOOKUP(B1474, Maps!A:A, Maps!B:B)</f>
        <v>Nagan Oasis</v>
      </c>
    </row>
    <row r="1475" ht="15.75" customHeight="1">
      <c r="A1475" s="1">
        <v>52.0</v>
      </c>
      <c r="B1475" s="1">
        <v>27.0</v>
      </c>
      <c r="C1475" s="1">
        <v>49.0</v>
      </c>
      <c r="D1475" s="1">
        <v>92.0</v>
      </c>
      <c r="F1475" s="1" t="str">
        <f>LOOKUP(A1475, NPCs!A:A, NPCs!C:C)</f>
        <v>Nagan Priest</v>
      </c>
      <c r="G1475" s="1" t="str">
        <f>LOOKUP(B1475, Maps!A:A, Maps!B:B)</f>
        <v>Nagan Oasis</v>
      </c>
    </row>
    <row r="1476" ht="15.75" customHeight="1">
      <c r="A1476" s="1">
        <v>52.0</v>
      </c>
      <c r="B1476" s="1">
        <v>27.0</v>
      </c>
      <c r="C1476" s="1">
        <v>54.0</v>
      </c>
      <c r="D1476" s="1">
        <v>85.0</v>
      </c>
      <c r="F1476" s="1" t="str">
        <f>LOOKUP(A1476, NPCs!A:A, NPCs!C:C)</f>
        <v>Nagan Priest</v>
      </c>
      <c r="G1476" s="1" t="str">
        <f>LOOKUP(B1476, Maps!A:A, Maps!B:B)</f>
        <v>Nagan Oasis</v>
      </c>
    </row>
    <row r="1477" ht="15.75" customHeight="1">
      <c r="A1477" s="1">
        <v>52.0</v>
      </c>
      <c r="B1477" s="1">
        <v>27.0</v>
      </c>
      <c r="C1477" s="1">
        <v>48.0</v>
      </c>
      <c r="D1477" s="1">
        <v>78.0</v>
      </c>
      <c r="F1477" s="1" t="str">
        <f>LOOKUP(A1477, NPCs!A:A, NPCs!C:C)</f>
        <v>Nagan Priest</v>
      </c>
      <c r="G1477" s="1" t="str">
        <f>LOOKUP(B1477, Maps!A:A, Maps!B:B)</f>
        <v>Nagan Oasis</v>
      </c>
    </row>
    <row r="1478" ht="15.75" customHeight="1">
      <c r="A1478" s="1">
        <v>52.0</v>
      </c>
      <c r="B1478" s="1">
        <v>27.0</v>
      </c>
      <c r="C1478" s="1">
        <v>53.0</v>
      </c>
      <c r="D1478" s="1">
        <v>69.0</v>
      </c>
      <c r="F1478" s="1" t="str">
        <f>LOOKUP(A1478, NPCs!A:A, NPCs!C:C)</f>
        <v>Nagan Priest</v>
      </c>
      <c r="G1478" s="1" t="str">
        <f>LOOKUP(B1478, Maps!A:A, Maps!B:B)</f>
        <v>Nagan Oasis</v>
      </c>
    </row>
    <row r="1479" ht="15.75" customHeight="1">
      <c r="A1479" s="1">
        <v>52.0</v>
      </c>
      <c r="B1479" s="1">
        <v>27.0</v>
      </c>
      <c r="C1479" s="1">
        <v>48.0</v>
      </c>
      <c r="D1479" s="1">
        <v>62.0</v>
      </c>
      <c r="F1479" s="1" t="str">
        <f>LOOKUP(A1479, NPCs!A:A, NPCs!C:C)</f>
        <v>Nagan Priest</v>
      </c>
      <c r="G1479" s="1" t="str">
        <f>LOOKUP(B1479, Maps!A:A, Maps!B:B)</f>
        <v>Nagan Oasis</v>
      </c>
    </row>
    <row r="1480" ht="15.75" customHeight="1">
      <c r="A1480" s="1">
        <v>52.0</v>
      </c>
      <c r="B1480" s="1">
        <v>27.0</v>
      </c>
      <c r="C1480" s="1">
        <v>54.0</v>
      </c>
      <c r="D1480" s="1">
        <v>56.0</v>
      </c>
      <c r="F1480" s="1" t="str">
        <f>LOOKUP(A1480, NPCs!A:A, NPCs!C:C)</f>
        <v>Nagan Priest</v>
      </c>
      <c r="G1480" s="1" t="str">
        <f>LOOKUP(B1480, Maps!A:A, Maps!B:B)</f>
        <v>Nagan Oasis</v>
      </c>
    </row>
    <row r="1481" ht="15.75" customHeight="1">
      <c r="A1481" s="1">
        <v>52.0</v>
      </c>
      <c r="B1481" s="1">
        <v>27.0</v>
      </c>
      <c r="C1481" s="1">
        <v>53.0</v>
      </c>
      <c r="D1481" s="1">
        <v>48.0</v>
      </c>
      <c r="F1481" s="1" t="str">
        <f>LOOKUP(A1481, NPCs!A:A, NPCs!C:C)</f>
        <v>Nagan Priest</v>
      </c>
      <c r="G1481" s="1" t="str">
        <f>LOOKUP(B1481, Maps!A:A, Maps!B:B)</f>
        <v>Nagan Oasis</v>
      </c>
    </row>
    <row r="1482" ht="15.75" customHeight="1">
      <c r="A1482" s="1">
        <v>52.0</v>
      </c>
      <c r="B1482" s="1">
        <v>27.0</v>
      </c>
      <c r="C1482" s="1">
        <v>46.0</v>
      </c>
      <c r="D1482" s="1">
        <v>41.0</v>
      </c>
      <c r="F1482" s="1" t="str">
        <f>LOOKUP(A1482, NPCs!A:A, NPCs!C:C)</f>
        <v>Nagan Priest</v>
      </c>
      <c r="G1482" s="1" t="str">
        <f>LOOKUP(B1482, Maps!A:A, Maps!B:B)</f>
        <v>Nagan Oasis</v>
      </c>
    </row>
    <row r="1483" ht="15.75" customHeight="1">
      <c r="A1483" s="1">
        <v>52.0</v>
      </c>
      <c r="B1483" s="1">
        <v>27.0</v>
      </c>
      <c r="C1483" s="1">
        <v>54.0</v>
      </c>
      <c r="D1483" s="1">
        <v>33.0</v>
      </c>
      <c r="F1483" s="1" t="str">
        <f>LOOKUP(A1483, NPCs!A:A, NPCs!C:C)</f>
        <v>Nagan Priest</v>
      </c>
      <c r="G1483" s="1" t="str">
        <f>LOOKUP(B1483, Maps!A:A, Maps!B:B)</f>
        <v>Nagan Oasis</v>
      </c>
    </row>
    <row r="1484" ht="15.75" customHeight="1">
      <c r="A1484" s="1">
        <v>52.0</v>
      </c>
      <c r="B1484" s="1">
        <v>27.0</v>
      </c>
      <c r="C1484" s="1">
        <v>53.0</v>
      </c>
      <c r="D1484" s="1">
        <v>26.0</v>
      </c>
      <c r="F1484" s="1" t="str">
        <f>LOOKUP(A1484, NPCs!A:A, NPCs!C:C)</f>
        <v>Nagan Priest</v>
      </c>
      <c r="G1484" s="1" t="str">
        <f>LOOKUP(B1484, Maps!A:A, Maps!B:B)</f>
        <v>Nagan Oasis</v>
      </c>
    </row>
    <row r="1485" ht="15.75" customHeight="1">
      <c r="A1485" s="1">
        <v>52.0</v>
      </c>
      <c r="B1485" s="1">
        <v>27.0</v>
      </c>
      <c r="C1485" s="1">
        <v>54.0</v>
      </c>
      <c r="D1485" s="1">
        <v>19.0</v>
      </c>
      <c r="F1485" s="1" t="str">
        <f>LOOKUP(A1485, NPCs!A:A, NPCs!C:C)</f>
        <v>Nagan Priest</v>
      </c>
      <c r="G1485" s="1" t="str">
        <f>LOOKUP(B1485, Maps!A:A, Maps!B:B)</f>
        <v>Nagan Oasis</v>
      </c>
    </row>
    <row r="1486" ht="15.75" customHeight="1">
      <c r="A1486" s="1">
        <v>52.0</v>
      </c>
      <c r="B1486" s="1">
        <v>27.0</v>
      </c>
      <c r="C1486" s="1">
        <v>40.0</v>
      </c>
      <c r="D1486" s="1">
        <v>17.0</v>
      </c>
      <c r="F1486" s="1" t="str">
        <f>LOOKUP(A1486, NPCs!A:A, NPCs!C:C)</f>
        <v>Nagan Priest</v>
      </c>
      <c r="G1486" s="1" t="str">
        <f>LOOKUP(B1486, Maps!A:A, Maps!B:B)</f>
        <v>Nagan Oasis</v>
      </c>
    </row>
    <row r="1487" ht="15.75" customHeight="1">
      <c r="A1487" s="1">
        <v>52.0</v>
      </c>
      <c r="B1487" s="1">
        <v>27.0</v>
      </c>
      <c r="C1487" s="1">
        <v>43.0</v>
      </c>
      <c r="D1487" s="1">
        <v>24.0</v>
      </c>
      <c r="F1487" s="1" t="str">
        <f>LOOKUP(A1487, NPCs!A:A, NPCs!C:C)</f>
        <v>Nagan Priest</v>
      </c>
      <c r="G1487" s="1" t="str">
        <f>LOOKUP(B1487, Maps!A:A, Maps!B:B)</f>
        <v>Nagan Oasis</v>
      </c>
    </row>
    <row r="1488" ht="15.75" customHeight="1">
      <c r="A1488" s="1">
        <v>52.0</v>
      </c>
      <c r="B1488" s="1">
        <v>27.0</v>
      </c>
      <c r="C1488" s="1">
        <v>40.0</v>
      </c>
      <c r="D1488" s="1">
        <v>33.0</v>
      </c>
      <c r="F1488" s="1" t="str">
        <f>LOOKUP(A1488, NPCs!A:A, NPCs!C:C)</f>
        <v>Nagan Priest</v>
      </c>
      <c r="G1488" s="1" t="str">
        <f>LOOKUP(B1488, Maps!A:A, Maps!B:B)</f>
        <v>Nagan Oasis</v>
      </c>
    </row>
    <row r="1489" ht="15.75" customHeight="1">
      <c r="A1489" s="1">
        <v>52.0</v>
      </c>
      <c r="B1489" s="1">
        <v>27.0</v>
      </c>
      <c r="C1489" s="1">
        <v>32.0</v>
      </c>
      <c r="D1489" s="1">
        <v>38.0</v>
      </c>
      <c r="F1489" s="1" t="str">
        <f>LOOKUP(A1489, NPCs!A:A, NPCs!C:C)</f>
        <v>Nagan Priest</v>
      </c>
      <c r="G1489" s="1" t="str">
        <f>LOOKUP(B1489, Maps!A:A, Maps!B:B)</f>
        <v>Nagan Oasis</v>
      </c>
    </row>
    <row r="1490" ht="15.75" customHeight="1">
      <c r="A1490" s="1">
        <v>52.0</v>
      </c>
      <c r="B1490" s="1">
        <v>27.0</v>
      </c>
      <c r="C1490" s="1">
        <v>36.0</v>
      </c>
      <c r="D1490" s="1">
        <v>45.0</v>
      </c>
      <c r="F1490" s="1" t="str">
        <f>LOOKUP(A1490, NPCs!A:A, NPCs!C:C)</f>
        <v>Nagan Priest</v>
      </c>
      <c r="G1490" s="1" t="str">
        <f>LOOKUP(B1490, Maps!A:A, Maps!B:B)</f>
        <v>Nagan Oasis</v>
      </c>
    </row>
    <row r="1491" ht="15.75" customHeight="1">
      <c r="A1491" s="1">
        <v>52.0</v>
      </c>
      <c r="B1491" s="1">
        <v>27.0</v>
      </c>
      <c r="C1491" s="1">
        <v>44.0</v>
      </c>
      <c r="D1491" s="1">
        <v>53.0</v>
      </c>
      <c r="F1491" s="1" t="str">
        <f>LOOKUP(A1491, NPCs!A:A, NPCs!C:C)</f>
        <v>Nagan Priest</v>
      </c>
      <c r="G1491" s="1" t="str">
        <f>LOOKUP(B1491, Maps!A:A, Maps!B:B)</f>
        <v>Nagan Oasis</v>
      </c>
    </row>
    <row r="1492" ht="15.75" customHeight="1">
      <c r="A1492" s="1">
        <v>52.0</v>
      </c>
      <c r="B1492" s="1">
        <v>27.0</v>
      </c>
      <c r="C1492" s="1">
        <v>34.0</v>
      </c>
      <c r="D1492" s="1">
        <v>57.0</v>
      </c>
      <c r="F1492" s="1" t="str">
        <f>LOOKUP(A1492, NPCs!A:A, NPCs!C:C)</f>
        <v>Nagan Priest</v>
      </c>
      <c r="G1492" s="1" t="str">
        <f>LOOKUP(B1492, Maps!A:A, Maps!B:B)</f>
        <v>Nagan Oasis</v>
      </c>
    </row>
    <row r="1493" ht="15.75" customHeight="1">
      <c r="A1493" s="1">
        <v>52.0</v>
      </c>
      <c r="B1493" s="1">
        <v>27.0</v>
      </c>
      <c r="C1493" s="1">
        <v>42.0</v>
      </c>
      <c r="D1493" s="1">
        <v>68.0</v>
      </c>
      <c r="F1493" s="1" t="str">
        <f>LOOKUP(A1493, NPCs!A:A, NPCs!C:C)</f>
        <v>Nagan Priest</v>
      </c>
      <c r="G1493" s="1" t="str">
        <f>LOOKUP(B1493, Maps!A:A, Maps!B:B)</f>
        <v>Nagan Oasis</v>
      </c>
    </row>
    <row r="1494" ht="15.75" customHeight="1">
      <c r="A1494" s="1">
        <v>52.0</v>
      </c>
      <c r="B1494" s="1">
        <v>27.0</v>
      </c>
      <c r="C1494" s="1">
        <v>33.0</v>
      </c>
      <c r="D1494" s="1">
        <v>64.0</v>
      </c>
      <c r="F1494" s="1" t="str">
        <f>LOOKUP(A1494, NPCs!A:A, NPCs!C:C)</f>
        <v>Nagan Priest</v>
      </c>
      <c r="G1494" s="1" t="str">
        <f>LOOKUP(B1494, Maps!A:A, Maps!B:B)</f>
        <v>Nagan Oasis</v>
      </c>
    </row>
    <row r="1495" ht="15.75" customHeight="1">
      <c r="A1495" s="1">
        <v>52.0</v>
      </c>
      <c r="B1495" s="1">
        <v>27.0</v>
      </c>
      <c r="C1495" s="1">
        <v>30.0</v>
      </c>
      <c r="D1495" s="1">
        <v>72.0</v>
      </c>
      <c r="F1495" s="1" t="str">
        <f>LOOKUP(A1495, NPCs!A:A, NPCs!C:C)</f>
        <v>Nagan Priest</v>
      </c>
      <c r="G1495" s="1" t="str">
        <f>LOOKUP(B1495, Maps!A:A, Maps!B:B)</f>
        <v>Nagan Oasis</v>
      </c>
    </row>
    <row r="1496" ht="15.75" customHeight="1">
      <c r="A1496" s="1">
        <v>52.0</v>
      </c>
      <c r="B1496" s="1">
        <v>27.0</v>
      </c>
      <c r="C1496" s="1">
        <v>24.0</v>
      </c>
      <c r="D1496" s="1">
        <v>67.0</v>
      </c>
      <c r="F1496" s="1" t="str">
        <f>LOOKUP(A1496, NPCs!A:A, NPCs!C:C)</f>
        <v>Nagan Priest</v>
      </c>
      <c r="G1496" s="1" t="str">
        <f>LOOKUP(B1496, Maps!A:A, Maps!B:B)</f>
        <v>Nagan Oasis</v>
      </c>
    </row>
    <row r="1497" ht="15.75" customHeight="1">
      <c r="A1497" s="1">
        <v>52.0</v>
      </c>
      <c r="B1497" s="1">
        <v>27.0</v>
      </c>
      <c r="C1497" s="1">
        <v>25.0</v>
      </c>
      <c r="D1497" s="1">
        <v>59.0</v>
      </c>
      <c r="F1497" s="1" t="str">
        <f>LOOKUP(A1497, NPCs!A:A, NPCs!C:C)</f>
        <v>Nagan Priest</v>
      </c>
      <c r="G1497" s="1" t="str">
        <f>LOOKUP(B1497, Maps!A:A, Maps!B:B)</f>
        <v>Nagan Oasis</v>
      </c>
    </row>
    <row r="1498" ht="15.75" customHeight="1">
      <c r="A1498" s="1">
        <v>52.0</v>
      </c>
      <c r="B1498" s="1">
        <v>27.0</v>
      </c>
      <c r="C1498" s="1">
        <v>25.0</v>
      </c>
      <c r="D1498" s="1">
        <v>80.0</v>
      </c>
      <c r="F1498" s="1" t="str">
        <f>LOOKUP(A1498, NPCs!A:A, NPCs!C:C)</f>
        <v>Nagan Priest</v>
      </c>
      <c r="G1498" s="1" t="str">
        <f>LOOKUP(B1498, Maps!A:A, Maps!B:B)</f>
        <v>Nagan Oasis</v>
      </c>
    </row>
    <row r="1499" ht="15.75" customHeight="1">
      <c r="A1499" s="1">
        <v>52.0</v>
      </c>
      <c r="B1499" s="1">
        <v>27.0</v>
      </c>
      <c r="C1499" s="1">
        <v>37.0</v>
      </c>
      <c r="D1499" s="1">
        <v>79.0</v>
      </c>
      <c r="F1499" s="1" t="str">
        <f>LOOKUP(A1499, NPCs!A:A, NPCs!C:C)</f>
        <v>Nagan Priest</v>
      </c>
      <c r="G1499" s="1" t="str">
        <f>LOOKUP(B1499, Maps!A:A, Maps!B:B)</f>
        <v>Nagan Oasis</v>
      </c>
    </row>
    <row r="1500" ht="15.75" customHeight="1">
      <c r="A1500" s="1">
        <v>52.0</v>
      </c>
      <c r="B1500" s="1">
        <v>27.0</v>
      </c>
      <c r="C1500" s="1">
        <v>24.0</v>
      </c>
      <c r="D1500" s="1">
        <v>52.0</v>
      </c>
      <c r="F1500" s="1" t="str">
        <f>LOOKUP(A1500, NPCs!A:A, NPCs!C:C)</f>
        <v>Nagan Priest</v>
      </c>
      <c r="G1500" s="1" t="str">
        <f>LOOKUP(B1500, Maps!A:A, Maps!B:B)</f>
        <v>Nagan Oasis</v>
      </c>
    </row>
    <row r="1501" ht="15.75" customHeight="1">
      <c r="A1501" s="1">
        <v>52.0</v>
      </c>
      <c r="B1501" s="1">
        <v>27.0</v>
      </c>
      <c r="C1501" s="1">
        <v>26.0</v>
      </c>
      <c r="D1501" s="1">
        <v>43.0</v>
      </c>
      <c r="F1501" s="1" t="str">
        <f>LOOKUP(A1501, NPCs!A:A, NPCs!C:C)</f>
        <v>Nagan Priest</v>
      </c>
      <c r="G1501" s="1" t="str">
        <f>LOOKUP(B1501, Maps!A:A, Maps!B:B)</f>
        <v>Nagan Oasis</v>
      </c>
    </row>
    <row r="1502" ht="15.75" customHeight="1">
      <c r="A1502" s="1">
        <v>52.0</v>
      </c>
      <c r="B1502" s="1">
        <v>27.0</v>
      </c>
      <c r="C1502" s="1">
        <v>23.0</v>
      </c>
      <c r="D1502" s="1">
        <v>34.0</v>
      </c>
      <c r="F1502" s="1" t="str">
        <f>LOOKUP(A1502, NPCs!A:A, NPCs!C:C)</f>
        <v>Nagan Priest</v>
      </c>
      <c r="G1502" s="1" t="str">
        <f>LOOKUP(B1502, Maps!A:A, Maps!B:B)</f>
        <v>Nagan Oasis</v>
      </c>
    </row>
    <row r="1503" ht="15.75" customHeight="1">
      <c r="A1503" s="1">
        <v>52.0</v>
      </c>
      <c r="B1503" s="1">
        <v>27.0</v>
      </c>
      <c r="C1503" s="1">
        <v>30.0</v>
      </c>
      <c r="D1503" s="1">
        <v>30.0</v>
      </c>
      <c r="F1503" s="1" t="str">
        <f>LOOKUP(A1503, NPCs!A:A, NPCs!C:C)</f>
        <v>Nagan Priest</v>
      </c>
      <c r="G1503" s="1" t="str">
        <f>LOOKUP(B1503, Maps!A:A, Maps!B:B)</f>
        <v>Nagan Oasis</v>
      </c>
    </row>
    <row r="1504" ht="15.75" customHeight="1">
      <c r="A1504" s="1">
        <v>52.0</v>
      </c>
      <c r="B1504" s="1">
        <v>27.0</v>
      </c>
      <c r="C1504" s="1">
        <v>34.0</v>
      </c>
      <c r="D1504" s="1">
        <v>23.0</v>
      </c>
      <c r="F1504" s="1" t="str">
        <f>LOOKUP(A1504, NPCs!A:A, NPCs!C:C)</f>
        <v>Nagan Priest</v>
      </c>
      <c r="G1504" s="1" t="str">
        <f>LOOKUP(B1504, Maps!A:A, Maps!B:B)</f>
        <v>Nagan Oasis</v>
      </c>
    </row>
    <row r="1505" ht="15.75" customHeight="1">
      <c r="A1505" s="1">
        <v>52.0</v>
      </c>
      <c r="B1505" s="1">
        <v>27.0</v>
      </c>
      <c r="C1505" s="1">
        <v>25.0</v>
      </c>
      <c r="D1505" s="1">
        <v>20.0</v>
      </c>
      <c r="F1505" s="1" t="str">
        <f>LOOKUP(A1505, NPCs!A:A, NPCs!C:C)</f>
        <v>Nagan Priest</v>
      </c>
      <c r="G1505" s="1" t="str">
        <f>LOOKUP(B1505, Maps!A:A, Maps!B:B)</f>
        <v>Nagan Oasis</v>
      </c>
    </row>
    <row r="1506" ht="15.75" customHeight="1">
      <c r="A1506" s="1">
        <v>52.0</v>
      </c>
      <c r="B1506" s="1">
        <v>27.0</v>
      </c>
      <c r="C1506" s="1">
        <v>25.0</v>
      </c>
      <c r="D1506" s="1">
        <v>13.0</v>
      </c>
      <c r="F1506" s="1" t="str">
        <f>LOOKUP(A1506, NPCs!A:A, NPCs!C:C)</f>
        <v>Nagan Priest</v>
      </c>
      <c r="G1506" s="1" t="str">
        <f>LOOKUP(B1506, Maps!A:A, Maps!B:B)</f>
        <v>Nagan Oasis</v>
      </c>
    </row>
    <row r="1507" ht="15.75" customHeight="1">
      <c r="A1507" s="1">
        <v>52.0</v>
      </c>
      <c r="B1507" s="1">
        <v>27.0</v>
      </c>
      <c r="C1507" s="1">
        <v>16.0</v>
      </c>
      <c r="D1507" s="1">
        <v>21.0</v>
      </c>
      <c r="F1507" s="1" t="str">
        <f>LOOKUP(A1507, NPCs!A:A, NPCs!C:C)</f>
        <v>Nagan Priest</v>
      </c>
      <c r="G1507" s="1" t="str">
        <f>LOOKUP(B1507, Maps!A:A, Maps!B:B)</f>
        <v>Nagan Oasis</v>
      </c>
    </row>
    <row r="1508" ht="15.75" customHeight="1">
      <c r="A1508" s="1">
        <v>52.0</v>
      </c>
      <c r="B1508" s="1">
        <v>27.0</v>
      </c>
      <c r="C1508" s="1">
        <v>19.0</v>
      </c>
      <c r="D1508" s="1">
        <v>29.0</v>
      </c>
      <c r="F1508" s="1" t="str">
        <f>LOOKUP(A1508, NPCs!A:A, NPCs!C:C)</f>
        <v>Nagan Priest</v>
      </c>
      <c r="G1508" s="1" t="str">
        <f>LOOKUP(B1508, Maps!A:A, Maps!B:B)</f>
        <v>Nagan Oasis</v>
      </c>
    </row>
    <row r="1509" ht="15.75" customHeight="1">
      <c r="A1509" s="1">
        <v>52.0</v>
      </c>
      <c r="B1509" s="1">
        <v>27.0</v>
      </c>
      <c r="C1509" s="1">
        <v>17.0</v>
      </c>
      <c r="D1509" s="1">
        <v>40.0</v>
      </c>
      <c r="F1509" s="1" t="str">
        <f>LOOKUP(A1509, NPCs!A:A, NPCs!C:C)</f>
        <v>Nagan Priest</v>
      </c>
      <c r="G1509" s="1" t="str">
        <f>LOOKUP(B1509, Maps!A:A, Maps!B:B)</f>
        <v>Nagan Oasis</v>
      </c>
    </row>
    <row r="1510" ht="15.75" customHeight="1">
      <c r="A1510" s="1">
        <v>52.0</v>
      </c>
      <c r="B1510" s="1">
        <v>27.0</v>
      </c>
      <c r="C1510" s="1">
        <v>17.0</v>
      </c>
      <c r="D1510" s="1">
        <v>46.0</v>
      </c>
      <c r="F1510" s="1" t="str">
        <f>LOOKUP(A1510, NPCs!A:A, NPCs!C:C)</f>
        <v>Nagan Priest</v>
      </c>
      <c r="G1510" s="1" t="str">
        <f>LOOKUP(B1510, Maps!A:A, Maps!B:B)</f>
        <v>Nagan Oasis</v>
      </c>
    </row>
    <row r="1511" ht="15.75" customHeight="1">
      <c r="A1511" s="1">
        <v>52.0</v>
      </c>
      <c r="B1511" s="1">
        <v>27.0</v>
      </c>
      <c r="C1511" s="1">
        <v>16.0</v>
      </c>
      <c r="D1511" s="1">
        <v>55.0</v>
      </c>
      <c r="F1511" s="1" t="str">
        <f>LOOKUP(A1511, NPCs!A:A, NPCs!C:C)</f>
        <v>Nagan Priest</v>
      </c>
      <c r="G1511" s="1" t="str">
        <f>LOOKUP(B1511, Maps!A:A, Maps!B:B)</f>
        <v>Nagan Oasis</v>
      </c>
    </row>
    <row r="1512" ht="15.75" customHeight="1">
      <c r="A1512" s="1">
        <v>52.0</v>
      </c>
      <c r="B1512" s="1">
        <v>27.0</v>
      </c>
      <c r="C1512" s="1">
        <v>16.0</v>
      </c>
      <c r="D1512" s="1">
        <v>61.0</v>
      </c>
      <c r="F1512" s="1" t="str">
        <f>LOOKUP(A1512, NPCs!A:A, NPCs!C:C)</f>
        <v>Nagan Priest</v>
      </c>
      <c r="G1512" s="1" t="str">
        <f>LOOKUP(B1512, Maps!A:A, Maps!B:B)</f>
        <v>Nagan Oasis</v>
      </c>
    </row>
    <row r="1513" ht="15.75" customHeight="1">
      <c r="A1513" s="1">
        <v>52.0</v>
      </c>
      <c r="B1513" s="1">
        <v>27.0</v>
      </c>
      <c r="C1513" s="1">
        <v>14.0</v>
      </c>
      <c r="D1513" s="1">
        <v>69.0</v>
      </c>
      <c r="F1513" s="1" t="str">
        <f>LOOKUP(A1513, NPCs!A:A, NPCs!C:C)</f>
        <v>Nagan Priest</v>
      </c>
      <c r="G1513" s="1" t="str">
        <f>LOOKUP(B1513, Maps!A:A, Maps!B:B)</f>
        <v>Nagan Oasis</v>
      </c>
    </row>
    <row r="1514" ht="15.75" customHeight="1">
      <c r="A1514" s="1">
        <v>52.0</v>
      </c>
      <c r="B1514" s="1">
        <v>27.0</v>
      </c>
      <c r="C1514" s="1">
        <v>16.0</v>
      </c>
      <c r="D1514" s="1">
        <v>77.0</v>
      </c>
      <c r="F1514" s="1" t="str">
        <f>LOOKUP(A1514, NPCs!A:A, NPCs!C:C)</f>
        <v>Nagan Priest</v>
      </c>
      <c r="G1514" s="1" t="str">
        <f>LOOKUP(B1514, Maps!A:A, Maps!B:B)</f>
        <v>Nagan Oasis</v>
      </c>
    </row>
    <row r="1515" ht="15.75" customHeight="1">
      <c r="A1515" s="1">
        <v>52.0</v>
      </c>
      <c r="B1515" s="1">
        <v>27.0</v>
      </c>
      <c r="C1515" s="1">
        <v>14.0</v>
      </c>
      <c r="D1515" s="1">
        <v>86.0</v>
      </c>
      <c r="F1515" s="1" t="str">
        <f>LOOKUP(A1515, NPCs!A:A, NPCs!C:C)</f>
        <v>Nagan Priest</v>
      </c>
      <c r="G1515" s="1" t="str">
        <f>LOOKUP(B1515, Maps!A:A, Maps!B:B)</f>
        <v>Nagan Oasis</v>
      </c>
    </row>
    <row r="1516" ht="15.75" customHeight="1">
      <c r="A1516" s="1">
        <v>52.0</v>
      </c>
      <c r="B1516" s="1">
        <v>27.0</v>
      </c>
      <c r="C1516" s="1">
        <v>6.0</v>
      </c>
      <c r="D1516" s="1">
        <v>80.0</v>
      </c>
      <c r="F1516" s="1" t="str">
        <f>LOOKUP(A1516, NPCs!A:A, NPCs!C:C)</f>
        <v>Nagan Priest</v>
      </c>
      <c r="G1516" s="1" t="str">
        <f>LOOKUP(B1516, Maps!A:A, Maps!B:B)</f>
        <v>Nagan Oasis</v>
      </c>
    </row>
    <row r="1517" ht="15.75" customHeight="1">
      <c r="A1517" s="1">
        <v>52.0</v>
      </c>
      <c r="B1517" s="1">
        <v>27.0</v>
      </c>
      <c r="C1517" s="1">
        <v>6.0</v>
      </c>
      <c r="D1517" s="1">
        <v>73.0</v>
      </c>
      <c r="F1517" s="1" t="str">
        <f>LOOKUP(A1517, NPCs!A:A, NPCs!C:C)</f>
        <v>Nagan Priest</v>
      </c>
      <c r="G1517" s="1" t="str">
        <f>LOOKUP(B1517, Maps!A:A, Maps!B:B)</f>
        <v>Nagan Oasis</v>
      </c>
    </row>
    <row r="1518" ht="15.75" customHeight="1">
      <c r="A1518" s="1">
        <v>52.0</v>
      </c>
      <c r="B1518" s="1">
        <v>27.0</v>
      </c>
      <c r="C1518" s="1">
        <v>6.0</v>
      </c>
      <c r="D1518" s="1">
        <v>67.0</v>
      </c>
      <c r="F1518" s="1" t="str">
        <f>LOOKUP(A1518, NPCs!A:A, NPCs!C:C)</f>
        <v>Nagan Priest</v>
      </c>
      <c r="G1518" s="1" t="str">
        <f>LOOKUP(B1518, Maps!A:A, Maps!B:B)</f>
        <v>Nagan Oasis</v>
      </c>
    </row>
    <row r="1519" ht="15.75" customHeight="1">
      <c r="A1519" s="1">
        <v>52.0</v>
      </c>
      <c r="B1519" s="1">
        <v>27.0</v>
      </c>
      <c r="C1519" s="1">
        <v>6.0</v>
      </c>
      <c r="D1519" s="1">
        <v>61.0</v>
      </c>
      <c r="F1519" s="1" t="str">
        <f>LOOKUP(A1519, NPCs!A:A, NPCs!C:C)</f>
        <v>Nagan Priest</v>
      </c>
      <c r="G1519" s="1" t="str">
        <f>LOOKUP(B1519, Maps!A:A, Maps!B:B)</f>
        <v>Nagan Oasis</v>
      </c>
    </row>
    <row r="1520" ht="15.75" customHeight="1">
      <c r="A1520" s="1">
        <v>52.0</v>
      </c>
      <c r="B1520" s="1">
        <v>27.0</v>
      </c>
      <c r="C1520" s="1">
        <v>9.0</v>
      </c>
      <c r="D1520" s="1">
        <v>43.0</v>
      </c>
      <c r="F1520" s="1" t="str">
        <f>LOOKUP(A1520, NPCs!A:A, NPCs!C:C)</f>
        <v>Nagan Priest</v>
      </c>
      <c r="G1520" s="1" t="str">
        <f>LOOKUP(B1520, Maps!A:A, Maps!B:B)</f>
        <v>Nagan Oasis</v>
      </c>
    </row>
    <row r="1521" ht="15.75" customHeight="1">
      <c r="A1521" s="1">
        <v>52.0</v>
      </c>
      <c r="B1521" s="1">
        <v>27.0</v>
      </c>
      <c r="C1521" s="1">
        <v>9.0</v>
      </c>
      <c r="D1521" s="1">
        <v>37.0</v>
      </c>
      <c r="F1521" s="1" t="str">
        <f>LOOKUP(A1521, NPCs!A:A, NPCs!C:C)</f>
        <v>Nagan Priest</v>
      </c>
      <c r="G1521" s="1" t="str">
        <f>LOOKUP(B1521, Maps!A:A, Maps!B:B)</f>
        <v>Nagan Oasis</v>
      </c>
    </row>
    <row r="1522" ht="15.75" customHeight="1">
      <c r="A1522" s="1">
        <v>52.0</v>
      </c>
      <c r="B1522" s="1">
        <v>27.0</v>
      </c>
      <c r="C1522" s="1">
        <v>9.0</v>
      </c>
      <c r="D1522" s="1">
        <v>31.0</v>
      </c>
      <c r="F1522" s="1" t="str">
        <f>LOOKUP(A1522, NPCs!A:A, NPCs!C:C)</f>
        <v>Nagan Priest</v>
      </c>
      <c r="G1522" s="1" t="str">
        <f>LOOKUP(B1522, Maps!A:A, Maps!B:B)</f>
        <v>Nagan Oasis</v>
      </c>
    </row>
    <row r="1523" ht="15.75" customHeight="1">
      <c r="A1523" s="1">
        <v>52.0</v>
      </c>
      <c r="B1523" s="1">
        <v>27.0</v>
      </c>
      <c r="C1523" s="1">
        <v>9.0</v>
      </c>
      <c r="D1523" s="1">
        <v>25.0</v>
      </c>
      <c r="F1523" s="1" t="str">
        <f>LOOKUP(A1523, NPCs!A:A, NPCs!C:C)</f>
        <v>Nagan Priest</v>
      </c>
      <c r="G1523" s="1" t="str">
        <f>LOOKUP(B1523, Maps!A:A, Maps!B:B)</f>
        <v>Nagan Oasis</v>
      </c>
    </row>
    <row r="1524" ht="15.75" customHeight="1">
      <c r="A1524" s="1">
        <v>52.0</v>
      </c>
      <c r="B1524" s="1">
        <v>27.0</v>
      </c>
      <c r="C1524" s="1">
        <v>9.0</v>
      </c>
      <c r="D1524" s="1">
        <v>19.0</v>
      </c>
      <c r="F1524" s="1" t="str">
        <f>LOOKUP(A1524, NPCs!A:A, NPCs!C:C)</f>
        <v>Nagan Priest</v>
      </c>
      <c r="G1524" s="1" t="str">
        <f>LOOKUP(B1524, Maps!A:A, Maps!B:B)</f>
        <v>Nagan Oasis</v>
      </c>
    </row>
    <row r="1525" ht="15.75" customHeight="1">
      <c r="A1525" s="1">
        <v>52.0</v>
      </c>
      <c r="B1525" s="1">
        <v>27.0</v>
      </c>
      <c r="C1525" s="1">
        <v>9.0</v>
      </c>
      <c r="D1525" s="1">
        <v>13.0</v>
      </c>
      <c r="F1525" s="1" t="str">
        <f>LOOKUP(A1525, NPCs!A:A, NPCs!C:C)</f>
        <v>Nagan Priest</v>
      </c>
      <c r="G1525" s="1" t="str">
        <f>LOOKUP(B1525, Maps!A:A, Maps!B:B)</f>
        <v>Nagan Oasis</v>
      </c>
    </row>
    <row r="1526" ht="15.75" customHeight="1">
      <c r="A1526" s="1">
        <v>53.0</v>
      </c>
      <c r="B1526" s="1">
        <v>27.0</v>
      </c>
      <c r="C1526" s="1">
        <v>76.0</v>
      </c>
      <c r="D1526" s="1">
        <v>83.0</v>
      </c>
      <c r="F1526" s="1" t="str">
        <f>LOOKUP(A1526, NPCs!A:A, NPCs!C:C)</f>
        <v>Udyana</v>
      </c>
      <c r="G1526" s="1" t="str">
        <f>LOOKUP(B1526, Maps!A:A, Maps!B:B)</f>
        <v>Nagan Oasis</v>
      </c>
    </row>
    <row r="1527" ht="15.75" customHeight="1">
      <c r="A1527" s="1">
        <v>54.0</v>
      </c>
      <c r="B1527" s="1">
        <v>12.0</v>
      </c>
      <c r="C1527" s="1">
        <v>84.0</v>
      </c>
      <c r="D1527" s="1">
        <v>85.0</v>
      </c>
      <c r="F1527" s="1" t="str">
        <f>LOOKUP(A1527, NPCs!A:A, NPCs!C:C)</f>
        <v>Complex</v>
      </c>
      <c r="G1527" s="1" t="str">
        <f>LOOKUP(B1527, Maps!A:A, Maps!B:B)</f>
        <v>Mindless Mines</v>
      </c>
    </row>
    <row r="1528" ht="15.75" customHeight="1">
      <c r="A1528" s="1">
        <v>55.0</v>
      </c>
      <c r="B1528" s="1">
        <v>12.0</v>
      </c>
      <c r="C1528" s="1">
        <v>85.0</v>
      </c>
      <c r="D1528" s="1">
        <v>86.0</v>
      </c>
      <c r="F1528" s="1" t="str">
        <f>LOOKUP(A1528, NPCs!A:A, NPCs!C:C)</f>
        <v>Simple</v>
      </c>
      <c r="G1528" s="1" t="str">
        <f>LOOKUP(B1528, Maps!A:A, Maps!B:B)</f>
        <v>Mindless Mines</v>
      </c>
    </row>
    <row r="1529" ht="15.75" customHeight="1">
      <c r="A1529" s="1">
        <v>55.0</v>
      </c>
      <c r="B1529" s="1">
        <v>12.0</v>
      </c>
      <c r="C1529" s="1">
        <v>86.0</v>
      </c>
      <c r="D1529" s="1">
        <v>87.0</v>
      </c>
      <c r="F1529" s="1" t="str">
        <f>LOOKUP(A1529, NPCs!A:A, NPCs!C:C)</f>
        <v>Simple</v>
      </c>
      <c r="G1529" s="1" t="str">
        <f>LOOKUP(B1529, Maps!A:A, Maps!B:B)</f>
        <v>Mindless Mines</v>
      </c>
    </row>
    <row r="1530" ht="15.75" customHeight="1">
      <c r="A1530" s="1">
        <v>55.0</v>
      </c>
      <c r="B1530" s="1">
        <v>12.0</v>
      </c>
      <c r="C1530" s="1">
        <v>85.0</v>
      </c>
      <c r="D1530" s="1">
        <v>84.0</v>
      </c>
      <c r="F1530" s="1" t="str">
        <f>LOOKUP(A1530, NPCs!A:A, NPCs!C:C)</f>
        <v>Simple</v>
      </c>
      <c r="G1530" s="1" t="str">
        <f>LOOKUP(B1530, Maps!A:A, Maps!B:B)</f>
        <v>Mindless Mines</v>
      </c>
    </row>
    <row r="1531" ht="15.75" customHeight="1">
      <c r="A1531" s="1">
        <v>55.0</v>
      </c>
      <c r="B1531" s="1">
        <v>12.0</v>
      </c>
      <c r="C1531" s="1">
        <v>86.0</v>
      </c>
      <c r="D1531" s="1">
        <v>83.0</v>
      </c>
      <c r="F1531" s="1" t="str">
        <f>LOOKUP(A1531, NPCs!A:A, NPCs!C:C)</f>
        <v>Simple</v>
      </c>
      <c r="G1531" s="1" t="str">
        <f>LOOKUP(B1531, Maps!A:A, Maps!B:B)</f>
        <v>Mindless Mines</v>
      </c>
    </row>
    <row r="1532" ht="15.75" customHeight="1">
      <c r="A1532" s="1">
        <v>55.0</v>
      </c>
      <c r="B1532" s="1">
        <v>12.0</v>
      </c>
      <c r="C1532" s="1">
        <v>89.0</v>
      </c>
      <c r="D1532" s="1">
        <v>86.0</v>
      </c>
      <c r="F1532" s="1" t="str">
        <f>LOOKUP(A1532, NPCs!A:A, NPCs!C:C)</f>
        <v>Simple</v>
      </c>
      <c r="G1532" s="1" t="str">
        <f>LOOKUP(B1532, Maps!A:A, Maps!B:B)</f>
        <v>Mindless Mines</v>
      </c>
    </row>
    <row r="1533" ht="15.75" customHeight="1">
      <c r="A1533" s="1">
        <v>55.0</v>
      </c>
      <c r="B1533" s="1">
        <v>12.0</v>
      </c>
      <c r="C1533" s="1">
        <v>89.0</v>
      </c>
      <c r="D1533" s="1">
        <v>84.0</v>
      </c>
      <c r="F1533" s="1" t="str">
        <f>LOOKUP(A1533, NPCs!A:A, NPCs!C:C)</f>
        <v>Simple</v>
      </c>
      <c r="G1533" s="1" t="str">
        <f>LOOKUP(B1533, Maps!A:A, Maps!B:B)</f>
        <v>Mindless Mines</v>
      </c>
    </row>
    <row r="1534" ht="15.75" customHeight="1">
      <c r="A1534" s="1">
        <v>55.0</v>
      </c>
      <c r="B1534" s="1">
        <v>12.0</v>
      </c>
      <c r="C1534" s="1">
        <v>92.0</v>
      </c>
      <c r="D1534" s="1">
        <v>83.0</v>
      </c>
      <c r="F1534" s="1" t="str">
        <f>LOOKUP(A1534, NPCs!A:A, NPCs!C:C)</f>
        <v>Simple</v>
      </c>
      <c r="G1534" s="1" t="str">
        <f>LOOKUP(B1534, Maps!A:A, Maps!B:B)</f>
        <v>Mindless Mines</v>
      </c>
    </row>
    <row r="1535" ht="15.75" customHeight="1">
      <c r="A1535" s="1">
        <v>55.0</v>
      </c>
      <c r="B1535" s="1">
        <v>12.0</v>
      </c>
      <c r="C1535" s="1">
        <v>94.0</v>
      </c>
      <c r="D1535" s="1">
        <v>85.0</v>
      </c>
      <c r="F1535" s="1" t="str">
        <f>LOOKUP(A1535, NPCs!A:A, NPCs!C:C)</f>
        <v>Simple</v>
      </c>
      <c r="G1535" s="1" t="str">
        <f>LOOKUP(B1535, Maps!A:A, Maps!B:B)</f>
        <v>Mindless Mines</v>
      </c>
    </row>
    <row r="1536" ht="15.75" customHeight="1">
      <c r="A1536" s="1">
        <v>55.0</v>
      </c>
      <c r="B1536" s="1">
        <v>12.0</v>
      </c>
      <c r="C1536" s="1">
        <v>95.0</v>
      </c>
      <c r="D1536" s="1">
        <v>82.0</v>
      </c>
      <c r="F1536" s="1" t="str">
        <f>LOOKUP(A1536, NPCs!A:A, NPCs!C:C)</f>
        <v>Simple</v>
      </c>
      <c r="G1536" s="1" t="str">
        <f>LOOKUP(B1536, Maps!A:A, Maps!B:B)</f>
        <v>Mindless Mines</v>
      </c>
    </row>
    <row r="1537" ht="15.75" customHeight="1">
      <c r="A1537" s="1">
        <v>55.0</v>
      </c>
      <c r="B1537" s="1">
        <v>12.0</v>
      </c>
      <c r="C1537" s="1">
        <v>99.0</v>
      </c>
      <c r="D1537" s="1">
        <v>82.0</v>
      </c>
      <c r="F1537" s="1" t="str">
        <f>LOOKUP(A1537, NPCs!A:A, NPCs!C:C)</f>
        <v>Simple</v>
      </c>
      <c r="G1537" s="1" t="str">
        <f>LOOKUP(B1537, Maps!A:A, Maps!B:B)</f>
        <v>Mindless Mines</v>
      </c>
    </row>
    <row r="1538" ht="15.75" customHeight="1">
      <c r="A1538" s="1">
        <v>55.0</v>
      </c>
      <c r="B1538" s="1">
        <v>12.0</v>
      </c>
      <c r="C1538" s="1">
        <v>98.0</v>
      </c>
      <c r="D1538" s="1">
        <v>83.0</v>
      </c>
      <c r="F1538" s="1" t="str">
        <f>LOOKUP(A1538, NPCs!A:A, NPCs!C:C)</f>
        <v>Simple</v>
      </c>
      <c r="G1538" s="1" t="str">
        <f>LOOKUP(B1538, Maps!A:A, Maps!B:B)</f>
        <v>Mindless Mines</v>
      </c>
    </row>
    <row r="1539" ht="15.75" customHeight="1">
      <c r="A1539" s="1">
        <v>55.0</v>
      </c>
      <c r="B1539" s="1">
        <v>12.0</v>
      </c>
      <c r="C1539" s="1">
        <v>98.0</v>
      </c>
      <c r="D1539" s="1">
        <v>86.0</v>
      </c>
      <c r="F1539" s="1" t="str">
        <f>LOOKUP(A1539, NPCs!A:A, NPCs!C:C)</f>
        <v>Simple</v>
      </c>
      <c r="G1539" s="1" t="str">
        <f>LOOKUP(B1539, Maps!A:A, Maps!B:B)</f>
        <v>Mindless Mines</v>
      </c>
    </row>
    <row r="1540" ht="15.75" customHeight="1">
      <c r="A1540" s="1">
        <v>56.0</v>
      </c>
      <c r="B1540" s="1">
        <v>9.0</v>
      </c>
      <c r="C1540" s="1">
        <v>34.0</v>
      </c>
      <c r="D1540" s="1">
        <v>3.0</v>
      </c>
      <c r="F1540" s="1" t="str">
        <f>LOOKUP(A1540, NPCs!A:A, NPCs!C:C)</f>
        <v>Spook</v>
      </c>
      <c r="G1540" s="1" t="str">
        <f>LOOKUP(B1540, Maps!A:A, Maps!B:B)</f>
        <v>Punchys Playhouse</v>
      </c>
    </row>
    <row r="1541" ht="15.75" customHeight="1">
      <c r="A1541" s="1">
        <v>56.0</v>
      </c>
      <c r="B1541" s="1">
        <v>9.0</v>
      </c>
      <c r="C1541" s="1">
        <v>35.0</v>
      </c>
      <c r="D1541" s="1">
        <v>8.0</v>
      </c>
      <c r="F1541" s="1" t="str">
        <f>LOOKUP(A1541, NPCs!A:A, NPCs!C:C)</f>
        <v>Spook</v>
      </c>
      <c r="G1541" s="1" t="str">
        <f>LOOKUP(B1541, Maps!A:A, Maps!B:B)</f>
        <v>Punchys Playhouse</v>
      </c>
    </row>
    <row r="1542" ht="15.75" customHeight="1">
      <c r="A1542" s="1">
        <v>56.0</v>
      </c>
      <c r="B1542" s="1">
        <v>9.0</v>
      </c>
      <c r="C1542" s="1">
        <v>36.0</v>
      </c>
      <c r="D1542" s="1">
        <v>10.0</v>
      </c>
      <c r="F1542" s="1" t="str">
        <f>LOOKUP(A1542, NPCs!A:A, NPCs!C:C)</f>
        <v>Spook</v>
      </c>
      <c r="G1542" s="1" t="str">
        <f>LOOKUP(B1542, Maps!A:A, Maps!B:B)</f>
        <v>Punchys Playhouse</v>
      </c>
    </row>
    <row r="1543" ht="15.75" customHeight="1">
      <c r="A1543" s="1">
        <v>56.0</v>
      </c>
      <c r="B1543" s="1">
        <v>9.0</v>
      </c>
      <c r="C1543" s="1">
        <v>38.0</v>
      </c>
      <c r="D1543" s="1">
        <v>8.0</v>
      </c>
      <c r="F1543" s="1" t="str">
        <f>LOOKUP(A1543, NPCs!A:A, NPCs!C:C)</f>
        <v>Spook</v>
      </c>
      <c r="G1543" s="1" t="str">
        <f>LOOKUP(B1543, Maps!A:A, Maps!B:B)</f>
        <v>Punchys Playhouse</v>
      </c>
    </row>
    <row r="1544" ht="15.75" customHeight="1">
      <c r="A1544" s="1">
        <v>56.0</v>
      </c>
      <c r="B1544" s="1">
        <v>9.0</v>
      </c>
      <c r="C1544" s="1">
        <v>37.0</v>
      </c>
      <c r="D1544" s="1">
        <v>6.0</v>
      </c>
      <c r="F1544" s="1" t="str">
        <f>LOOKUP(A1544, NPCs!A:A, NPCs!C:C)</f>
        <v>Spook</v>
      </c>
      <c r="G1544" s="1" t="str">
        <f>LOOKUP(B1544, Maps!A:A, Maps!B:B)</f>
        <v>Punchys Playhouse</v>
      </c>
    </row>
    <row r="1545" ht="15.75" customHeight="1">
      <c r="A1545" s="1">
        <v>56.0</v>
      </c>
      <c r="B1545" s="1">
        <v>9.0</v>
      </c>
      <c r="C1545" s="1">
        <v>41.0</v>
      </c>
      <c r="D1545" s="1">
        <v>7.0</v>
      </c>
      <c r="F1545" s="1" t="str">
        <f>LOOKUP(A1545, NPCs!A:A, NPCs!C:C)</f>
        <v>Spook</v>
      </c>
      <c r="G1545" s="1" t="str">
        <f>LOOKUP(B1545, Maps!A:A, Maps!B:B)</f>
        <v>Punchys Playhouse</v>
      </c>
    </row>
    <row r="1546" ht="15.75" customHeight="1">
      <c r="A1546" s="1">
        <v>56.0</v>
      </c>
      <c r="B1546" s="1">
        <v>9.0</v>
      </c>
      <c r="C1546" s="1">
        <v>47.0</v>
      </c>
      <c r="D1546" s="1">
        <v>10.0</v>
      </c>
      <c r="F1546" s="1" t="str">
        <f>LOOKUP(A1546, NPCs!A:A, NPCs!C:C)</f>
        <v>Spook</v>
      </c>
      <c r="G1546" s="1" t="str">
        <f>LOOKUP(B1546, Maps!A:A, Maps!B:B)</f>
        <v>Punchys Playhouse</v>
      </c>
    </row>
    <row r="1547" ht="15.75" customHeight="1">
      <c r="A1547" s="1">
        <v>56.0</v>
      </c>
      <c r="B1547" s="1">
        <v>9.0</v>
      </c>
      <c r="C1547" s="1">
        <v>47.0</v>
      </c>
      <c r="D1547" s="1">
        <v>8.0</v>
      </c>
      <c r="F1547" s="1" t="str">
        <f>LOOKUP(A1547, NPCs!A:A, NPCs!C:C)</f>
        <v>Spook</v>
      </c>
      <c r="G1547" s="1" t="str">
        <f>LOOKUP(B1547, Maps!A:A, Maps!B:B)</f>
        <v>Punchys Playhouse</v>
      </c>
    </row>
    <row r="1548" ht="15.75" customHeight="1">
      <c r="A1548" s="1">
        <v>56.0</v>
      </c>
      <c r="B1548" s="1">
        <v>9.0</v>
      </c>
      <c r="C1548" s="1">
        <v>44.0</v>
      </c>
      <c r="D1548" s="1">
        <v>8.0</v>
      </c>
      <c r="F1548" s="1" t="str">
        <f>LOOKUP(A1548, NPCs!A:A, NPCs!C:C)</f>
        <v>Spook</v>
      </c>
      <c r="G1548" s="1" t="str">
        <f>LOOKUP(B1548, Maps!A:A, Maps!B:B)</f>
        <v>Punchys Playhouse</v>
      </c>
    </row>
    <row r="1549" ht="15.75" customHeight="1">
      <c r="A1549" s="1">
        <v>56.0</v>
      </c>
      <c r="B1549" s="1">
        <v>9.0</v>
      </c>
      <c r="C1549" s="1">
        <v>45.0</v>
      </c>
      <c r="D1549" s="1">
        <v>6.0</v>
      </c>
      <c r="F1549" s="1" t="str">
        <f>LOOKUP(A1549, NPCs!A:A, NPCs!C:C)</f>
        <v>Spook</v>
      </c>
      <c r="G1549" s="1" t="str">
        <f>LOOKUP(B1549, Maps!A:A, Maps!B:B)</f>
        <v>Punchys Playhouse</v>
      </c>
    </row>
    <row r="1550" ht="15.75" customHeight="1">
      <c r="A1550" s="1">
        <v>56.0</v>
      </c>
      <c r="B1550" s="1">
        <v>9.0</v>
      </c>
      <c r="C1550" s="1">
        <v>48.0</v>
      </c>
      <c r="D1550" s="1">
        <v>3.0</v>
      </c>
      <c r="F1550" s="1" t="str">
        <f>LOOKUP(A1550, NPCs!A:A, NPCs!C:C)</f>
        <v>Spook</v>
      </c>
      <c r="G1550" s="1" t="str">
        <f>LOOKUP(B1550, Maps!A:A, Maps!B:B)</f>
        <v>Punchys Playhouse</v>
      </c>
    </row>
    <row r="1551" ht="15.75" customHeight="1">
      <c r="A1551" s="1">
        <v>56.0</v>
      </c>
      <c r="B1551" s="1">
        <v>9.0</v>
      </c>
      <c r="C1551" s="1">
        <v>13.0</v>
      </c>
      <c r="D1551" s="1">
        <v>5.0</v>
      </c>
      <c r="F1551" s="1" t="str">
        <f>LOOKUP(A1551, NPCs!A:A, NPCs!C:C)</f>
        <v>Spook</v>
      </c>
      <c r="G1551" s="1" t="str">
        <f>LOOKUP(B1551, Maps!A:A, Maps!B:B)</f>
        <v>Punchys Playhouse</v>
      </c>
    </row>
    <row r="1552" ht="15.75" customHeight="1">
      <c r="A1552" s="1">
        <v>56.0</v>
      </c>
      <c r="B1552" s="1">
        <v>9.0</v>
      </c>
      <c r="C1552" s="1">
        <v>15.0</v>
      </c>
      <c r="D1552" s="1">
        <v>5.0</v>
      </c>
      <c r="F1552" s="1" t="str">
        <f>LOOKUP(A1552, NPCs!A:A, NPCs!C:C)</f>
        <v>Spook</v>
      </c>
      <c r="G1552" s="1" t="str">
        <f>LOOKUP(B1552, Maps!A:A, Maps!B:B)</f>
        <v>Punchys Playhouse</v>
      </c>
    </row>
    <row r="1553" ht="15.75" customHeight="1">
      <c r="A1553" s="1">
        <v>56.0</v>
      </c>
      <c r="B1553" s="1">
        <v>9.0</v>
      </c>
      <c r="C1553" s="1">
        <v>17.0</v>
      </c>
      <c r="D1553" s="1">
        <v>10.0</v>
      </c>
      <c r="F1553" s="1" t="str">
        <f>LOOKUP(A1553, NPCs!A:A, NPCs!C:C)</f>
        <v>Spook</v>
      </c>
      <c r="G1553" s="1" t="str">
        <f>LOOKUP(B1553, Maps!A:A, Maps!B:B)</f>
        <v>Punchys Playhouse</v>
      </c>
    </row>
    <row r="1554" ht="15.75" customHeight="1">
      <c r="A1554" s="1">
        <v>56.0</v>
      </c>
      <c r="B1554" s="1">
        <v>9.0</v>
      </c>
      <c r="C1554" s="1">
        <v>17.0</v>
      </c>
      <c r="D1554" s="1">
        <v>11.0</v>
      </c>
      <c r="F1554" s="1" t="str">
        <f>LOOKUP(A1554, NPCs!A:A, NPCs!C:C)</f>
        <v>Spook</v>
      </c>
      <c r="G1554" s="1" t="str">
        <f>LOOKUP(B1554, Maps!A:A, Maps!B:B)</f>
        <v>Punchys Playhouse</v>
      </c>
    </row>
    <row r="1555" ht="15.75" customHeight="1">
      <c r="A1555" s="1">
        <v>56.0</v>
      </c>
      <c r="B1555" s="1">
        <v>9.0</v>
      </c>
      <c r="C1555" s="1">
        <v>2.0</v>
      </c>
      <c r="D1555" s="1">
        <v>14.0</v>
      </c>
      <c r="F1555" s="1" t="str">
        <f>LOOKUP(A1555, NPCs!A:A, NPCs!C:C)</f>
        <v>Spook</v>
      </c>
      <c r="G1555" s="1" t="str">
        <f>LOOKUP(B1555, Maps!A:A, Maps!B:B)</f>
        <v>Punchys Playhouse</v>
      </c>
    </row>
    <row r="1556" ht="15.75" customHeight="1">
      <c r="A1556" s="1">
        <v>56.0</v>
      </c>
      <c r="B1556" s="1">
        <v>9.0</v>
      </c>
      <c r="C1556" s="1">
        <v>3.0</v>
      </c>
      <c r="D1556" s="1">
        <v>14.0</v>
      </c>
      <c r="F1556" s="1" t="str">
        <f>LOOKUP(A1556, NPCs!A:A, NPCs!C:C)</f>
        <v>Spook</v>
      </c>
      <c r="G1556" s="1" t="str">
        <f>LOOKUP(B1556, Maps!A:A, Maps!B:B)</f>
        <v>Punchys Playhouse</v>
      </c>
    </row>
    <row r="1557" ht="15.75" customHeight="1">
      <c r="A1557" s="1">
        <v>56.0</v>
      </c>
      <c r="B1557" s="1">
        <v>9.0</v>
      </c>
      <c r="C1557" s="1">
        <v>8.0</v>
      </c>
      <c r="D1557" s="1">
        <v>14.0</v>
      </c>
      <c r="F1557" s="1" t="str">
        <f>LOOKUP(A1557, NPCs!A:A, NPCs!C:C)</f>
        <v>Spook</v>
      </c>
      <c r="G1557" s="1" t="str">
        <f>LOOKUP(B1557, Maps!A:A, Maps!B:B)</f>
        <v>Punchys Playhouse</v>
      </c>
    </row>
    <row r="1558" ht="15.75" customHeight="1">
      <c r="A1558" s="1">
        <v>56.0</v>
      </c>
      <c r="B1558" s="1">
        <v>9.0</v>
      </c>
      <c r="C1558" s="1">
        <v>9.0</v>
      </c>
      <c r="D1558" s="1">
        <v>13.0</v>
      </c>
      <c r="F1558" s="1" t="str">
        <f>LOOKUP(A1558, NPCs!A:A, NPCs!C:C)</f>
        <v>Spook</v>
      </c>
      <c r="G1558" s="1" t="str">
        <f>LOOKUP(B1558, Maps!A:A, Maps!B:B)</f>
        <v>Punchys Playhouse</v>
      </c>
    </row>
    <row r="1559" ht="15.75" customHeight="1">
      <c r="A1559" s="1">
        <v>56.0</v>
      </c>
      <c r="B1559" s="1">
        <v>9.0</v>
      </c>
      <c r="C1559" s="1">
        <v>10.0</v>
      </c>
      <c r="D1559" s="1">
        <v>13.0</v>
      </c>
      <c r="F1559" s="1" t="str">
        <f>LOOKUP(A1559, NPCs!A:A, NPCs!C:C)</f>
        <v>Spook</v>
      </c>
      <c r="G1559" s="1" t="str">
        <f>LOOKUP(B1559, Maps!A:A, Maps!B:B)</f>
        <v>Punchys Playhouse</v>
      </c>
    </row>
    <row r="1560" ht="15.75" customHeight="1">
      <c r="A1560" s="1">
        <v>56.0</v>
      </c>
      <c r="B1560" s="1">
        <v>9.0</v>
      </c>
      <c r="C1560" s="1">
        <v>11.0</v>
      </c>
      <c r="D1560" s="1">
        <v>13.0</v>
      </c>
      <c r="F1560" s="1" t="str">
        <f>LOOKUP(A1560, NPCs!A:A, NPCs!C:C)</f>
        <v>Spook</v>
      </c>
      <c r="G1560" s="1" t="str">
        <f>LOOKUP(B1560, Maps!A:A, Maps!B:B)</f>
        <v>Punchys Playhouse</v>
      </c>
    </row>
    <row r="1561" ht="15.75" customHeight="1">
      <c r="A1561" s="1">
        <v>56.0</v>
      </c>
      <c r="B1561" s="1">
        <v>9.0</v>
      </c>
      <c r="C1561" s="1">
        <v>12.0</v>
      </c>
      <c r="D1561" s="1">
        <v>14.0</v>
      </c>
      <c r="F1561" s="1" t="str">
        <f>LOOKUP(A1561, NPCs!A:A, NPCs!C:C)</f>
        <v>Spook</v>
      </c>
      <c r="G1561" s="1" t="str">
        <f>LOOKUP(B1561, Maps!A:A, Maps!B:B)</f>
        <v>Punchys Playhouse</v>
      </c>
    </row>
    <row r="1562" ht="15.75" customHeight="1">
      <c r="A1562" s="1">
        <v>56.0</v>
      </c>
      <c r="B1562" s="1">
        <v>9.0</v>
      </c>
      <c r="C1562" s="1">
        <v>3.0</v>
      </c>
      <c r="D1562" s="1">
        <v>19.0</v>
      </c>
      <c r="F1562" s="1" t="str">
        <f>LOOKUP(A1562, NPCs!A:A, NPCs!C:C)</f>
        <v>Spook</v>
      </c>
      <c r="G1562" s="1" t="str">
        <f>LOOKUP(B1562, Maps!A:A, Maps!B:B)</f>
        <v>Punchys Playhouse</v>
      </c>
    </row>
    <row r="1563" ht="15.75" customHeight="1">
      <c r="A1563" s="1">
        <v>56.0</v>
      </c>
      <c r="B1563" s="1">
        <v>9.0</v>
      </c>
      <c r="C1563" s="1">
        <v>4.0</v>
      </c>
      <c r="D1563" s="1">
        <v>20.0</v>
      </c>
      <c r="F1563" s="1" t="str">
        <f>LOOKUP(A1563, NPCs!A:A, NPCs!C:C)</f>
        <v>Spook</v>
      </c>
      <c r="G1563" s="1" t="str">
        <f>LOOKUP(B1563, Maps!A:A, Maps!B:B)</f>
        <v>Punchys Playhouse</v>
      </c>
    </row>
    <row r="1564" ht="15.75" customHeight="1">
      <c r="A1564" s="1">
        <v>56.0</v>
      </c>
      <c r="B1564" s="1">
        <v>9.0</v>
      </c>
      <c r="C1564" s="1">
        <v>5.0</v>
      </c>
      <c r="D1564" s="1">
        <v>20.0</v>
      </c>
      <c r="F1564" s="1" t="str">
        <f>LOOKUP(A1564, NPCs!A:A, NPCs!C:C)</f>
        <v>Spook</v>
      </c>
      <c r="G1564" s="1" t="str">
        <f>LOOKUP(B1564, Maps!A:A, Maps!B:B)</f>
        <v>Punchys Playhouse</v>
      </c>
    </row>
    <row r="1565" ht="15.75" customHeight="1">
      <c r="A1565" s="1">
        <v>56.0</v>
      </c>
      <c r="B1565" s="1">
        <v>9.0</v>
      </c>
      <c r="C1565" s="1">
        <v>6.0</v>
      </c>
      <c r="D1565" s="1">
        <v>20.0</v>
      </c>
      <c r="F1565" s="1" t="str">
        <f>LOOKUP(A1565, NPCs!A:A, NPCs!C:C)</f>
        <v>Spook</v>
      </c>
      <c r="G1565" s="1" t="str">
        <f>LOOKUP(B1565, Maps!A:A, Maps!B:B)</f>
        <v>Punchys Playhouse</v>
      </c>
    </row>
    <row r="1566" ht="15.75" customHeight="1">
      <c r="A1566" s="1">
        <v>56.0</v>
      </c>
      <c r="B1566" s="1">
        <v>9.0</v>
      </c>
      <c r="C1566" s="1">
        <v>14.0</v>
      </c>
      <c r="D1566" s="1">
        <v>19.0</v>
      </c>
      <c r="F1566" s="1" t="str">
        <f>LOOKUP(A1566, NPCs!A:A, NPCs!C:C)</f>
        <v>Spook</v>
      </c>
      <c r="G1566" s="1" t="str">
        <f>LOOKUP(B1566, Maps!A:A, Maps!B:B)</f>
        <v>Punchys Playhouse</v>
      </c>
    </row>
    <row r="1567" ht="15.75" customHeight="1">
      <c r="A1567" s="1">
        <v>56.0</v>
      </c>
      <c r="B1567" s="1">
        <v>9.0</v>
      </c>
      <c r="C1567" s="1">
        <v>17.0</v>
      </c>
      <c r="D1567" s="1">
        <v>19.0</v>
      </c>
      <c r="F1567" s="1" t="str">
        <f>LOOKUP(A1567, NPCs!A:A, NPCs!C:C)</f>
        <v>Spook</v>
      </c>
      <c r="G1567" s="1" t="str">
        <f>LOOKUP(B1567, Maps!A:A, Maps!B:B)</f>
        <v>Punchys Playhouse</v>
      </c>
    </row>
    <row r="1568" ht="15.75" customHeight="1">
      <c r="A1568" s="1">
        <v>56.0</v>
      </c>
      <c r="B1568" s="1">
        <v>9.0</v>
      </c>
      <c r="C1568" s="1">
        <v>6.0</v>
      </c>
      <c r="D1568" s="1">
        <v>25.0</v>
      </c>
      <c r="F1568" s="1" t="str">
        <f>LOOKUP(A1568, NPCs!A:A, NPCs!C:C)</f>
        <v>Spook</v>
      </c>
      <c r="G1568" s="1" t="str">
        <f>LOOKUP(B1568, Maps!A:A, Maps!B:B)</f>
        <v>Punchys Playhouse</v>
      </c>
    </row>
    <row r="1569" ht="15.75" customHeight="1">
      <c r="A1569" s="1">
        <v>56.0</v>
      </c>
      <c r="B1569" s="1">
        <v>9.0</v>
      </c>
      <c r="C1569" s="1">
        <v>12.0</v>
      </c>
      <c r="D1569" s="1">
        <v>24.0</v>
      </c>
      <c r="F1569" s="1" t="str">
        <f>LOOKUP(A1569, NPCs!A:A, NPCs!C:C)</f>
        <v>Spook</v>
      </c>
      <c r="G1569" s="1" t="str">
        <f>LOOKUP(B1569, Maps!A:A, Maps!B:B)</f>
        <v>Punchys Playhouse</v>
      </c>
    </row>
    <row r="1570" ht="15.75" customHeight="1">
      <c r="A1570" s="1">
        <v>56.0</v>
      </c>
      <c r="B1570" s="1">
        <v>9.0</v>
      </c>
      <c r="C1570" s="1">
        <v>13.0</v>
      </c>
      <c r="D1570" s="1">
        <v>24.0</v>
      </c>
      <c r="F1570" s="1" t="str">
        <f>LOOKUP(A1570, NPCs!A:A, NPCs!C:C)</f>
        <v>Spook</v>
      </c>
      <c r="G1570" s="1" t="str">
        <f>LOOKUP(B1570, Maps!A:A, Maps!B:B)</f>
        <v>Punchys Playhouse</v>
      </c>
    </row>
    <row r="1571" ht="15.75" customHeight="1">
      <c r="A1571" s="1">
        <v>56.0</v>
      </c>
      <c r="B1571" s="1">
        <v>9.0</v>
      </c>
      <c r="C1571" s="1">
        <v>11.0</v>
      </c>
      <c r="D1571" s="1">
        <v>29.0</v>
      </c>
      <c r="F1571" s="1" t="str">
        <f>LOOKUP(A1571, NPCs!A:A, NPCs!C:C)</f>
        <v>Spook</v>
      </c>
      <c r="G1571" s="1" t="str">
        <f>LOOKUP(B1571, Maps!A:A, Maps!B:B)</f>
        <v>Punchys Playhouse</v>
      </c>
    </row>
    <row r="1572" ht="15.75" customHeight="1">
      <c r="A1572" s="1">
        <v>56.0</v>
      </c>
      <c r="B1572" s="1">
        <v>9.0</v>
      </c>
      <c r="C1572" s="1">
        <v>13.0</v>
      </c>
      <c r="D1572" s="1">
        <v>29.0</v>
      </c>
      <c r="F1572" s="1" t="str">
        <f>LOOKUP(A1572, NPCs!A:A, NPCs!C:C)</f>
        <v>Spook</v>
      </c>
      <c r="G1572" s="1" t="str">
        <f>LOOKUP(B1572, Maps!A:A, Maps!B:B)</f>
        <v>Punchys Playhouse</v>
      </c>
    </row>
    <row r="1573" ht="15.75" customHeight="1">
      <c r="A1573" s="1">
        <v>56.0</v>
      </c>
      <c r="B1573" s="1">
        <v>9.0</v>
      </c>
      <c r="C1573" s="1">
        <v>14.0</v>
      </c>
      <c r="D1573" s="1">
        <v>29.0</v>
      </c>
      <c r="F1573" s="1" t="str">
        <f>LOOKUP(A1573, NPCs!A:A, NPCs!C:C)</f>
        <v>Spook</v>
      </c>
      <c r="G1573" s="1" t="str">
        <f>LOOKUP(B1573, Maps!A:A, Maps!B:B)</f>
        <v>Punchys Playhouse</v>
      </c>
    </row>
    <row r="1574" ht="15.75" customHeight="1">
      <c r="A1574" s="1">
        <v>56.0</v>
      </c>
      <c r="B1574" s="1">
        <v>9.0</v>
      </c>
      <c r="C1574" s="1">
        <v>19.0</v>
      </c>
      <c r="D1574" s="1">
        <v>25.0</v>
      </c>
      <c r="F1574" s="1" t="str">
        <f>LOOKUP(A1574, NPCs!A:A, NPCs!C:C)</f>
        <v>Spook</v>
      </c>
      <c r="G1574" s="1" t="str">
        <f>LOOKUP(B1574, Maps!A:A, Maps!B:B)</f>
        <v>Punchys Playhouse</v>
      </c>
    </row>
    <row r="1575" ht="15.75" customHeight="1">
      <c r="A1575" s="1">
        <v>56.0</v>
      </c>
      <c r="B1575" s="1">
        <v>9.0</v>
      </c>
      <c r="C1575" s="1">
        <v>20.0</v>
      </c>
      <c r="D1575" s="1">
        <v>25.0</v>
      </c>
      <c r="F1575" s="1" t="str">
        <f>LOOKUP(A1575, NPCs!A:A, NPCs!C:C)</f>
        <v>Spook</v>
      </c>
      <c r="G1575" s="1" t="str">
        <f>LOOKUP(B1575, Maps!A:A, Maps!B:B)</f>
        <v>Punchys Playhouse</v>
      </c>
    </row>
    <row r="1576" ht="15.75" customHeight="1">
      <c r="A1576" s="1">
        <v>56.0</v>
      </c>
      <c r="B1576" s="1">
        <v>9.0</v>
      </c>
      <c r="C1576" s="1">
        <v>22.0</v>
      </c>
      <c r="D1576" s="1">
        <v>27.0</v>
      </c>
      <c r="F1576" s="1" t="str">
        <f>LOOKUP(A1576, NPCs!A:A, NPCs!C:C)</f>
        <v>Spook</v>
      </c>
      <c r="G1576" s="1" t="str">
        <f>LOOKUP(B1576, Maps!A:A, Maps!B:B)</f>
        <v>Punchys Playhouse</v>
      </c>
    </row>
    <row r="1577" ht="15.75" customHeight="1">
      <c r="A1577" s="1">
        <v>56.0</v>
      </c>
      <c r="B1577" s="1">
        <v>9.0</v>
      </c>
      <c r="C1577" s="1">
        <v>22.0</v>
      </c>
      <c r="D1577" s="1">
        <v>28.0</v>
      </c>
      <c r="F1577" s="1" t="str">
        <f>LOOKUP(A1577, NPCs!A:A, NPCs!C:C)</f>
        <v>Spook</v>
      </c>
      <c r="G1577" s="1" t="str">
        <f>LOOKUP(B1577, Maps!A:A, Maps!B:B)</f>
        <v>Punchys Playhouse</v>
      </c>
    </row>
    <row r="1578" ht="15.75" customHeight="1">
      <c r="A1578" s="1">
        <v>56.0</v>
      </c>
      <c r="B1578" s="1">
        <v>9.0</v>
      </c>
      <c r="C1578" s="1">
        <v>29.0</v>
      </c>
      <c r="D1578" s="1">
        <v>25.0</v>
      </c>
      <c r="F1578" s="1" t="str">
        <f>LOOKUP(A1578, NPCs!A:A, NPCs!C:C)</f>
        <v>Spook</v>
      </c>
      <c r="G1578" s="1" t="str">
        <f>LOOKUP(B1578, Maps!A:A, Maps!B:B)</f>
        <v>Punchys Playhouse</v>
      </c>
    </row>
    <row r="1579" ht="15.75" customHeight="1">
      <c r="A1579" s="1">
        <v>56.0</v>
      </c>
      <c r="B1579" s="1">
        <v>9.0</v>
      </c>
      <c r="C1579" s="1">
        <v>30.0</v>
      </c>
      <c r="D1579" s="1">
        <v>25.0</v>
      </c>
      <c r="F1579" s="1" t="str">
        <f>LOOKUP(A1579, NPCs!A:A, NPCs!C:C)</f>
        <v>Spook</v>
      </c>
      <c r="G1579" s="1" t="str">
        <f>LOOKUP(B1579, Maps!A:A, Maps!B:B)</f>
        <v>Punchys Playhouse</v>
      </c>
    </row>
    <row r="1580" ht="15.75" customHeight="1">
      <c r="A1580" s="1">
        <v>56.0</v>
      </c>
      <c r="B1580" s="1">
        <v>9.0</v>
      </c>
      <c r="C1580" s="1">
        <v>30.0</v>
      </c>
      <c r="D1580" s="1">
        <v>27.0</v>
      </c>
      <c r="F1580" s="1" t="str">
        <f>LOOKUP(A1580, NPCs!A:A, NPCs!C:C)</f>
        <v>Spook</v>
      </c>
      <c r="G1580" s="1" t="str">
        <f>LOOKUP(B1580, Maps!A:A, Maps!B:B)</f>
        <v>Punchys Playhouse</v>
      </c>
    </row>
    <row r="1581" ht="15.75" customHeight="1">
      <c r="A1581" s="1">
        <v>56.0</v>
      </c>
      <c r="B1581" s="1">
        <v>9.0</v>
      </c>
      <c r="C1581" s="1">
        <v>28.0</v>
      </c>
      <c r="D1581" s="1">
        <v>32.0</v>
      </c>
      <c r="F1581" s="1" t="str">
        <f>LOOKUP(A1581, NPCs!A:A, NPCs!C:C)</f>
        <v>Spook</v>
      </c>
      <c r="G1581" s="1" t="str">
        <f>LOOKUP(B1581, Maps!A:A, Maps!B:B)</f>
        <v>Punchys Playhouse</v>
      </c>
    </row>
    <row r="1582" ht="15.75" customHeight="1">
      <c r="A1582" s="1">
        <v>56.0</v>
      </c>
      <c r="B1582" s="1">
        <v>9.0</v>
      </c>
      <c r="C1582" s="1">
        <v>30.0</v>
      </c>
      <c r="D1582" s="1">
        <v>32.0</v>
      </c>
      <c r="F1582" s="1" t="str">
        <f>LOOKUP(A1582, NPCs!A:A, NPCs!C:C)</f>
        <v>Spook</v>
      </c>
      <c r="G1582" s="1" t="str">
        <f>LOOKUP(B1582, Maps!A:A, Maps!B:B)</f>
        <v>Punchys Playhouse</v>
      </c>
    </row>
    <row r="1583" ht="15.75" customHeight="1">
      <c r="A1583" s="1">
        <v>56.0</v>
      </c>
      <c r="B1583" s="1">
        <v>9.0</v>
      </c>
      <c r="C1583" s="1">
        <v>29.0</v>
      </c>
      <c r="D1583" s="1">
        <v>33.0</v>
      </c>
      <c r="F1583" s="1" t="str">
        <f>LOOKUP(A1583, NPCs!A:A, NPCs!C:C)</f>
        <v>Spook</v>
      </c>
      <c r="G1583" s="1" t="str">
        <f>LOOKUP(B1583, Maps!A:A, Maps!B:B)</f>
        <v>Punchys Playhouse</v>
      </c>
    </row>
    <row r="1584" ht="15.75" customHeight="1">
      <c r="A1584" s="1">
        <v>56.0</v>
      </c>
      <c r="B1584" s="1">
        <v>9.0</v>
      </c>
      <c r="C1584" s="1">
        <v>28.0</v>
      </c>
      <c r="D1584" s="1">
        <v>38.0</v>
      </c>
      <c r="F1584" s="1" t="str">
        <f>LOOKUP(A1584, NPCs!A:A, NPCs!C:C)</f>
        <v>Spook</v>
      </c>
      <c r="G1584" s="1" t="str">
        <f>LOOKUP(B1584, Maps!A:A, Maps!B:B)</f>
        <v>Punchys Playhouse</v>
      </c>
    </row>
    <row r="1585" ht="15.75" customHeight="1">
      <c r="A1585" s="1">
        <v>56.0</v>
      </c>
      <c r="B1585" s="1">
        <v>9.0</v>
      </c>
      <c r="C1585" s="1">
        <v>30.0</v>
      </c>
      <c r="D1585" s="1">
        <v>38.0</v>
      </c>
      <c r="F1585" s="1" t="str">
        <f>LOOKUP(A1585, NPCs!A:A, NPCs!C:C)</f>
        <v>Spook</v>
      </c>
      <c r="G1585" s="1" t="str">
        <f>LOOKUP(B1585, Maps!A:A, Maps!B:B)</f>
        <v>Punchys Playhouse</v>
      </c>
    </row>
    <row r="1586" ht="15.75" customHeight="1">
      <c r="A1586" s="1">
        <v>56.0</v>
      </c>
      <c r="B1586" s="1">
        <v>9.0</v>
      </c>
      <c r="C1586" s="1">
        <v>29.0</v>
      </c>
      <c r="D1586" s="1">
        <v>39.0</v>
      </c>
      <c r="F1586" s="1" t="str">
        <f>LOOKUP(A1586, NPCs!A:A, NPCs!C:C)</f>
        <v>Spook</v>
      </c>
      <c r="G1586" s="1" t="str">
        <f>LOOKUP(B1586, Maps!A:A, Maps!B:B)</f>
        <v>Punchys Playhouse</v>
      </c>
    </row>
    <row r="1587" ht="15.75" customHeight="1">
      <c r="A1587" s="1">
        <v>56.0</v>
      </c>
      <c r="B1587" s="1">
        <v>9.0</v>
      </c>
      <c r="C1587" s="1">
        <v>24.0</v>
      </c>
      <c r="D1587" s="1">
        <v>43.0</v>
      </c>
      <c r="F1587" s="1" t="str">
        <f>LOOKUP(A1587, NPCs!A:A, NPCs!C:C)</f>
        <v>Spook</v>
      </c>
      <c r="G1587" s="1" t="str">
        <f>LOOKUP(B1587, Maps!A:A, Maps!B:B)</f>
        <v>Punchys Playhouse</v>
      </c>
    </row>
    <row r="1588" ht="15.75" customHeight="1">
      <c r="A1588" s="1">
        <v>56.0</v>
      </c>
      <c r="B1588" s="1">
        <v>9.0</v>
      </c>
      <c r="C1588" s="1">
        <v>26.0</v>
      </c>
      <c r="D1588" s="1">
        <v>54.0</v>
      </c>
      <c r="F1588" s="1" t="str">
        <f>LOOKUP(A1588, NPCs!A:A, NPCs!C:C)</f>
        <v>Spook</v>
      </c>
      <c r="G1588" s="1" t="str">
        <f>LOOKUP(B1588, Maps!A:A, Maps!B:B)</f>
        <v>Punchys Playhouse</v>
      </c>
    </row>
    <row r="1589" ht="15.75" customHeight="1">
      <c r="A1589" s="1">
        <v>56.0</v>
      </c>
      <c r="B1589" s="1">
        <v>9.0</v>
      </c>
      <c r="C1589" s="1">
        <v>29.0</v>
      </c>
      <c r="D1589" s="1">
        <v>44.0</v>
      </c>
      <c r="F1589" s="1" t="str">
        <f>LOOKUP(A1589, NPCs!A:A, NPCs!C:C)</f>
        <v>Spook</v>
      </c>
      <c r="G1589" s="1" t="str">
        <f>LOOKUP(B1589, Maps!A:A, Maps!B:B)</f>
        <v>Punchys Playhouse</v>
      </c>
    </row>
    <row r="1590" ht="15.75" customHeight="1">
      <c r="A1590" s="1">
        <v>56.0</v>
      </c>
      <c r="B1590" s="1">
        <v>9.0</v>
      </c>
      <c r="C1590" s="1">
        <v>5.0</v>
      </c>
      <c r="D1590" s="1">
        <v>41.0</v>
      </c>
      <c r="F1590" s="1" t="str">
        <f>LOOKUP(A1590, NPCs!A:A, NPCs!C:C)</f>
        <v>Spook</v>
      </c>
      <c r="G1590" s="1" t="str">
        <f>LOOKUP(B1590, Maps!A:A, Maps!B:B)</f>
        <v>Punchys Playhouse</v>
      </c>
    </row>
    <row r="1591" ht="15.75" customHeight="1">
      <c r="A1591" s="1">
        <v>56.0</v>
      </c>
      <c r="B1591" s="1">
        <v>9.0</v>
      </c>
      <c r="C1591" s="1">
        <v>6.0</v>
      </c>
      <c r="D1591" s="1">
        <v>41.0</v>
      </c>
      <c r="F1591" s="1" t="str">
        <f>LOOKUP(A1591, NPCs!A:A, NPCs!C:C)</f>
        <v>Spook</v>
      </c>
      <c r="G1591" s="1" t="str">
        <f>LOOKUP(B1591, Maps!A:A, Maps!B:B)</f>
        <v>Punchys Playhouse</v>
      </c>
    </row>
    <row r="1592" ht="15.75" customHeight="1">
      <c r="A1592" s="1">
        <v>56.0</v>
      </c>
      <c r="B1592" s="1">
        <v>9.0</v>
      </c>
      <c r="C1592" s="1">
        <v>11.0</v>
      </c>
      <c r="D1592" s="1">
        <v>41.0</v>
      </c>
      <c r="F1592" s="1" t="str">
        <f>LOOKUP(A1592, NPCs!A:A, NPCs!C:C)</f>
        <v>Spook</v>
      </c>
      <c r="G1592" s="1" t="str">
        <f>LOOKUP(B1592, Maps!A:A, Maps!B:B)</f>
        <v>Punchys Playhouse</v>
      </c>
    </row>
    <row r="1593" ht="15.75" customHeight="1">
      <c r="A1593" s="1">
        <v>56.0</v>
      </c>
      <c r="B1593" s="1">
        <v>9.0</v>
      </c>
      <c r="C1593" s="1">
        <v>5.0</v>
      </c>
      <c r="D1593" s="1">
        <v>45.0</v>
      </c>
      <c r="F1593" s="1" t="str">
        <f>LOOKUP(A1593, NPCs!A:A, NPCs!C:C)</f>
        <v>Spook</v>
      </c>
      <c r="G1593" s="1" t="str">
        <f>LOOKUP(B1593, Maps!A:A, Maps!B:B)</f>
        <v>Punchys Playhouse</v>
      </c>
    </row>
    <row r="1594" ht="15.75" customHeight="1">
      <c r="A1594" s="1">
        <v>56.0</v>
      </c>
      <c r="B1594" s="1">
        <v>9.0</v>
      </c>
      <c r="C1594" s="1">
        <v>6.0</v>
      </c>
      <c r="D1594" s="1">
        <v>45.0</v>
      </c>
      <c r="F1594" s="1" t="str">
        <f>LOOKUP(A1594, NPCs!A:A, NPCs!C:C)</f>
        <v>Spook</v>
      </c>
      <c r="G1594" s="1" t="str">
        <f>LOOKUP(B1594, Maps!A:A, Maps!B:B)</f>
        <v>Punchys Playhouse</v>
      </c>
    </row>
    <row r="1595" ht="15.75" customHeight="1">
      <c r="A1595" s="1">
        <v>56.0</v>
      </c>
      <c r="B1595" s="1">
        <v>9.0</v>
      </c>
      <c r="C1595" s="1">
        <v>16.0</v>
      </c>
      <c r="D1595" s="1">
        <v>46.0</v>
      </c>
      <c r="F1595" s="1" t="str">
        <f>LOOKUP(A1595, NPCs!A:A, NPCs!C:C)</f>
        <v>Spook</v>
      </c>
      <c r="G1595" s="1" t="str">
        <f>LOOKUP(B1595, Maps!A:A, Maps!B:B)</f>
        <v>Punchys Playhouse</v>
      </c>
    </row>
    <row r="1596" ht="15.75" customHeight="1">
      <c r="A1596" s="1">
        <v>56.0</v>
      </c>
      <c r="B1596" s="1">
        <v>9.0</v>
      </c>
      <c r="C1596" s="1">
        <v>17.0</v>
      </c>
      <c r="D1596" s="1">
        <v>47.0</v>
      </c>
      <c r="F1596" s="1" t="str">
        <f>LOOKUP(A1596, NPCs!A:A, NPCs!C:C)</f>
        <v>Spook</v>
      </c>
      <c r="G1596" s="1" t="str">
        <f>LOOKUP(B1596, Maps!A:A, Maps!B:B)</f>
        <v>Punchys Playhouse</v>
      </c>
    </row>
    <row r="1597" ht="15.75" customHeight="1">
      <c r="A1597" s="1">
        <v>56.0</v>
      </c>
      <c r="B1597" s="1">
        <v>9.0</v>
      </c>
      <c r="C1597" s="1">
        <v>5.0</v>
      </c>
      <c r="D1597" s="1">
        <v>47.0</v>
      </c>
      <c r="F1597" s="1" t="str">
        <f>LOOKUP(A1597, NPCs!A:A, NPCs!C:C)</f>
        <v>Spook</v>
      </c>
      <c r="G1597" s="1" t="str">
        <f>LOOKUP(B1597, Maps!A:A, Maps!B:B)</f>
        <v>Punchys Playhouse</v>
      </c>
    </row>
    <row r="1598" ht="15.75" customHeight="1">
      <c r="A1598" s="1">
        <v>56.0</v>
      </c>
      <c r="B1598" s="1">
        <v>9.0</v>
      </c>
      <c r="C1598" s="1">
        <v>9.0</v>
      </c>
      <c r="D1598" s="1">
        <v>49.0</v>
      </c>
      <c r="F1598" s="1" t="str">
        <f>LOOKUP(A1598, NPCs!A:A, NPCs!C:C)</f>
        <v>Spook</v>
      </c>
      <c r="G1598" s="1" t="str">
        <f>LOOKUP(B1598, Maps!A:A, Maps!B:B)</f>
        <v>Punchys Playhouse</v>
      </c>
    </row>
    <row r="1599" ht="15.75" customHeight="1">
      <c r="A1599" s="1">
        <v>56.0</v>
      </c>
      <c r="B1599" s="1">
        <v>9.0</v>
      </c>
      <c r="C1599" s="1">
        <v>11.0</v>
      </c>
      <c r="D1599" s="1">
        <v>49.0</v>
      </c>
      <c r="F1599" s="1" t="str">
        <f>LOOKUP(A1599, NPCs!A:A, NPCs!C:C)</f>
        <v>Spook</v>
      </c>
      <c r="G1599" s="1" t="str">
        <f>LOOKUP(B1599, Maps!A:A, Maps!B:B)</f>
        <v>Punchys Playhouse</v>
      </c>
    </row>
    <row r="1600" ht="15.75" customHeight="1">
      <c r="A1600" s="1">
        <v>56.0</v>
      </c>
      <c r="B1600" s="1">
        <v>9.0</v>
      </c>
      <c r="C1600" s="1">
        <v>16.0</v>
      </c>
      <c r="D1600" s="1">
        <v>50.0</v>
      </c>
      <c r="F1600" s="1" t="str">
        <f>LOOKUP(A1600, NPCs!A:A, NPCs!C:C)</f>
        <v>Spook</v>
      </c>
      <c r="G1600" s="1" t="str">
        <f>LOOKUP(B1600, Maps!A:A, Maps!B:B)</f>
        <v>Punchys Playhouse</v>
      </c>
    </row>
    <row r="1601" ht="15.75" customHeight="1">
      <c r="A1601" s="1">
        <v>56.0</v>
      </c>
      <c r="B1601" s="1">
        <v>9.0</v>
      </c>
      <c r="C1601" s="1">
        <v>4.0</v>
      </c>
      <c r="D1601" s="1">
        <v>59.0</v>
      </c>
      <c r="F1601" s="1" t="str">
        <f>LOOKUP(A1601, NPCs!A:A, NPCs!C:C)</f>
        <v>Spook</v>
      </c>
      <c r="G1601" s="1" t="str">
        <f>LOOKUP(B1601, Maps!A:A, Maps!B:B)</f>
        <v>Punchys Playhouse</v>
      </c>
    </row>
    <row r="1602" ht="15.75" customHeight="1">
      <c r="A1602" s="1">
        <v>56.0</v>
      </c>
      <c r="B1602" s="1">
        <v>9.0</v>
      </c>
      <c r="C1602" s="1">
        <v>16.0</v>
      </c>
      <c r="D1602" s="1">
        <v>59.0</v>
      </c>
      <c r="F1602" s="1" t="str">
        <f>LOOKUP(A1602, NPCs!A:A, NPCs!C:C)</f>
        <v>Spook</v>
      </c>
      <c r="G1602" s="1" t="str">
        <f>LOOKUP(B1602, Maps!A:A, Maps!B:B)</f>
        <v>Punchys Playhouse</v>
      </c>
    </row>
    <row r="1603" ht="15.75" customHeight="1">
      <c r="A1603" s="1">
        <v>56.0</v>
      </c>
      <c r="B1603" s="1">
        <v>9.0</v>
      </c>
      <c r="C1603" s="1">
        <v>8.0</v>
      </c>
      <c r="D1603" s="1">
        <v>61.0</v>
      </c>
      <c r="F1603" s="1" t="str">
        <f>LOOKUP(A1603, NPCs!A:A, NPCs!C:C)</f>
        <v>Spook</v>
      </c>
      <c r="G1603" s="1" t="str">
        <f>LOOKUP(B1603, Maps!A:A, Maps!B:B)</f>
        <v>Punchys Playhouse</v>
      </c>
    </row>
    <row r="1604" ht="15.75" customHeight="1">
      <c r="A1604" s="1">
        <v>56.0</v>
      </c>
      <c r="B1604" s="1">
        <v>9.0</v>
      </c>
      <c r="C1604" s="1">
        <v>12.0</v>
      </c>
      <c r="D1604" s="1">
        <v>61.0</v>
      </c>
      <c r="F1604" s="1" t="str">
        <f>LOOKUP(A1604, NPCs!A:A, NPCs!C:C)</f>
        <v>Spook</v>
      </c>
      <c r="G1604" s="1" t="str">
        <f>LOOKUP(B1604, Maps!A:A, Maps!B:B)</f>
        <v>Punchys Playhouse</v>
      </c>
    </row>
    <row r="1605" ht="15.75" customHeight="1">
      <c r="A1605" s="1">
        <v>56.0</v>
      </c>
      <c r="B1605" s="1">
        <v>9.0</v>
      </c>
      <c r="C1605" s="1">
        <v>3.0</v>
      </c>
      <c r="D1605" s="1">
        <v>74.0</v>
      </c>
      <c r="F1605" s="1" t="str">
        <f>LOOKUP(A1605, NPCs!A:A, NPCs!C:C)</f>
        <v>Spook</v>
      </c>
      <c r="G1605" s="1" t="str">
        <f>LOOKUP(B1605, Maps!A:A, Maps!B:B)</f>
        <v>Punchys Playhouse</v>
      </c>
    </row>
    <row r="1606" ht="15.75" customHeight="1">
      <c r="A1606" s="1">
        <v>56.0</v>
      </c>
      <c r="B1606" s="1">
        <v>9.0</v>
      </c>
      <c r="C1606" s="1">
        <v>10.0</v>
      </c>
      <c r="D1606" s="1">
        <v>74.0</v>
      </c>
      <c r="F1606" s="1" t="str">
        <f>LOOKUP(A1606, NPCs!A:A, NPCs!C:C)</f>
        <v>Spook</v>
      </c>
      <c r="G1606" s="1" t="str">
        <f>LOOKUP(B1606, Maps!A:A, Maps!B:B)</f>
        <v>Punchys Playhouse</v>
      </c>
    </row>
    <row r="1607" ht="15.75" customHeight="1">
      <c r="A1607" s="1">
        <v>56.0</v>
      </c>
      <c r="B1607" s="1">
        <v>9.0</v>
      </c>
      <c r="C1607" s="1">
        <v>4.0</v>
      </c>
      <c r="D1607" s="1">
        <v>75.0</v>
      </c>
      <c r="F1607" s="1" t="str">
        <f>LOOKUP(A1607, NPCs!A:A, NPCs!C:C)</f>
        <v>Spook</v>
      </c>
      <c r="G1607" s="1" t="str">
        <f>LOOKUP(B1607, Maps!A:A, Maps!B:B)</f>
        <v>Punchys Playhouse</v>
      </c>
    </row>
    <row r="1608" ht="15.75" customHeight="1">
      <c r="A1608" s="1">
        <v>56.0</v>
      </c>
      <c r="B1608" s="1">
        <v>9.0</v>
      </c>
      <c r="C1608" s="1">
        <v>9.0</v>
      </c>
      <c r="D1608" s="1">
        <v>75.0</v>
      </c>
      <c r="F1608" s="1" t="str">
        <f>LOOKUP(A1608, NPCs!A:A, NPCs!C:C)</f>
        <v>Spook</v>
      </c>
      <c r="G1608" s="1" t="str">
        <f>LOOKUP(B1608, Maps!A:A, Maps!B:B)</f>
        <v>Punchys Playhouse</v>
      </c>
    </row>
    <row r="1609" ht="15.75" customHeight="1">
      <c r="A1609" s="1">
        <v>56.0</v>
      </c>
      <c r="B1609" s="1">
        <v>9.0</v>
      </c>
      <c r="C1609" s="1">
        <v>11.0</v>
      </c>
      <c r="D1609" s="1">
        <v>75.0</v>
      </c>
      <c r="F1609" s="1" t="str">
        <f>LOOKUP(A1609, NPCs!A:A, NPCs!C:C)</f>
        <v>Spook</v>
      </c>
      <c r="G1609" s="1" t="str">
        <f>LOOKUP(B1609, Maps!A:A, Maps!B:B)</f>
        <v>Punchys Playhouse</v>
      </c>
    </row>
    <row r="1610" ht="15.75" customHeight="1">
      <c r="A1610" s="1">
        <v>56.0</v>
      </c>
      <c r="B1610" s="1">
        <v>9.0</v>
      </c>
      <c r="C1610" s="1">
        <v>16.0</v>
      </c>
      <c r="D1610" s="1">
        <v>75.0</v>
      </c>
      <c r="F1610" s="1" t="str">
        <f>LOOKUP(A1610, NPCs!A:A, NPCs!C:C)</f>
        <v>Spook</v>
      </c>
      <c r="G1610" s="1" t="str">
        <f>LOOKUP(B1610, Maps!A:A, Maps!B:B)</f>
        <v>Punchys Playhouse</v>
      </c>
    </row>
    <row r="1611" ht="15.75" customHeight="1">
      <c r="A1611" s="1">
        <v>56.0</v>
      </c>
      <c r="B1611" s="1">
        <v>9.0</v>
      </c>
      <c r="C1611" s="1">
        <v>17.0</v>
      </c>
      <c r="D1611" s="1">
        <v>75.0</v>
      </c>
      <c r="F1611" s="1" t="str">
        <f>LOOKUP(A1611, NPCs!A:A, NPCs!C:C)</f>
        <v>Spook</v>
      </c>
      <c r="G1611" s="1" t="str">
        <f>LOOKUP(B1611, Maps!A:A, Maps!B:B)</f>
        <v>Punchys Playhouse</v>
      </c>
    </row>
    <row r="1612" ht="15.75" customHeight="1">
      <c r="A1612" s="1">
        <v>56.0</v>
      </c>
      <c r="B1612" s="1">
        <v>9.0</v>
      </c>
      <c r="C1612" s="1">
        <v>17.0</v>
      </c>
      <c r="D1612" s="1">
        <v>78.0</v>
      </c>
      <c r="F1612" s="1" t="str">
        <f>LOOKUP(A1612, NPCs!A:A, NPCs!C:C)</f>
        <v>Spook</v>
      </c>
      <c r="G1612" s="1" t="str">
        <f>LOOKUP(B1612, Maps!A:A, Maps!B:B)</f>
        <v>Punchys Playhouse</v>
      </c>
    </row>
    <row r="1613" ht="15.75" customHeight="1">
      <c r="A1613" s="1">
        <v>56.0</v>
      </c>
      <c r="B1613" s="1">
        <v>9.0</v>
      </c>
      <c r="C1613" s="1">
        <v>6.0</v>
      </c>
      <c r="D1613" s="1">
        <v>81.0</v>
      </c>
      <c r="F1613" s="1" t="str">
        <f>LOOKUP(A1613, NPCs!A:A, NPCs!C:C)</f>
        <v>Spook</v>
      </c>
      <c r="G1613" s="1" t="str">
        <f>LOOKUP(B1613, Maps!A:A, Maps!B:B)</f>
        <v>Punchys Playhouse</v>
      </c>
    </row>
    <row r="1614" ht="15.75" customHeight="1">
      <c r="A1614" s="1">
        <v>56.0</v>
      </c>
      <c r="B1614" s="1">
        <v>9.0</v>
      </c>
      <c r="C1614" s="1">
        <v>12.0</v>
      </c>
      <c r="D1614" s="1">
        <v>82.0</v>
      </c>
      <c r="F1614" s="1" t="str">
        <f>LOOKUP(A1614, NPCs!A:A, NPCs!C:C)</f>
        <v>Spook</v>
      </c>
      <c r="G1614" s="1" t="str">
        <f>LOOKUP(B1614, Maps!A:A, Maps!B:B)</f>
        <v>Punchys Playhouse</v>
      </c>
    </row>
    <row r="1615" ht="15.75" customHeight="1">
      <c r="A1615" s="1">
        <v>56.0</v>
      </c>
      <c r="B1615" s="1">
        <v>9.0</v>
      </c>
      <c r="C1615" s="1">
        <v>16.0</v>
      </c>
      <c r="D1615" s="1">
        <v>84.0</v>
      </c>
      <c r="F1615" s="1" t="str">
        <f>LOOKUP(A1615, NPCs!A:A, NPCs!C:C)</f>
        <v>Spook</v>
      </c>
      <c r="G1615" s="1" t="str">
        <f>LOOKUP(B1615, Maps!A:A, Maps!B:B)</f>
        <v>Punchys Playhouse</v>
      </c>
    </row>
    <row r="1616" ht="15.75" customHeight="1">
      <c r="A1616" s="1">
        <v>56.0</v>
      </c>
      <c r="B1616" s="1">
        <v>9.0</v>
      </c>
      <c r="C1616" s="1">
        <v>16.0</v>
      </c>
      <c r="D1616" s="1">
        <v>89.0</v>
      </c>
      <c r="F1616" s="1" t="str">
        <f>LOOKUP(A1616, NPCs!A:A, NPCs!C:C)</f>
        <v>Spook</v>
      </c>
      <c r="G1616" s="1" t="str">
        <f>LOOKUP(B1616, Maps!A:A, Maps!B:B)</f>
        <v>Punchys Playhouse</v>
      </c>
    </row>
    <row r="1617" ht="15.75" customHeight="1">
      <c r="A1617" s="1">
        <v>56.0</v>
      </c>
      <c r="B1617" s="1">
        <v>9.0</v>
      </c>
      <c r="C1617" s="1">
        <v>14.0</v>
      </c>
      <c r="D1617" s="1">
        <v>90.0</v>
      </c>
      <c r="F1617" s="1" t="str">
        <f>LOOKUP(A1617, NPCs!A:A, NPCs!C:C)</f>
        <v>Spook</v>
      </c>
      <c r="G1617" s="1" t="str">
        <f>LOOKUP(B1617, Maps!A:A, Maps!B:B)</f>
        <v>Punchys Playhouse</v>
      </c>
    </row>
    <row r="1618" ht="15.75" customHeight="1">
      <c r="A1618" s="1">
        <v>56.0</v>
      </c>
      <c r="B1618" s="1">
        <v>9.0</v>
      </c>
      <c r="C1618" s="1">
        <v>5.0</v>
      </c>
      <c r="D1618" s="1">
        <v>89.0</v>
      </c>
      <c r="F1618" s="1" t="str">
        <f>LOOKUP(A1618, NPCs!A:A, NPCs!C:C)</f>
        <v>Spook</v>
      </c>
      <c r="G1618" s="1" t="str">
        <f>LOOKUP(B1618, Maps!A:A, Maps!B:B)</f>
        <v>Punchys Playhouse</v>
      </c>
    </row>
    <row r="1619" ht="15.75" customHeight="1">
      <c r="A1619" s="1">
        <v>56.0</v>
      </c>
      <c r="B1619" s="1">
        <v>9.0</v>
      </c>
      <c r="C1619" s="1">
        <v>4.0</v>
      </c>
      <c r="D1619" s="1">
        <v>90.0</v>
      </c>
      <c r="F1619" s="1" t="str">
        <f>LOOKUP(A1619, NPCs!A:A, NPCs!C:C)</f>
        <v>Spook</v>
      </c>
      <c r="G1619" s="1" t="str">
        <f>LOOKUP(B1619, Maps!A:A, Maps!B:B)</f>
        <v>Punchys Playhouse</v>
      </c>
    </row>
    <row r="1620" ht="15.75" customHeight="1">
      <c r="A1620" s="1">
        <v>56.0</v>
      </c>
      <c r="B1620" s="1">
        <v>9.0</v>
      </c>
      <c r="C1620" s="1">
        <v>3.0</v>
      </c>
      <c r="D1620" s="1">
        <v>91.0</v>
      </c>
      <c r="F1620" s="1" t="str">
        <f>LOOKUP(A1620, NPCs!A:A, NPCs!C:C)</f>
        <v>Spook</v>
      </c>
      <c r="G1620" s="1" t="str">
        <f>LOOKUP(B1620, Maps!A:A, Maps!B:B)</f>
        <v>Punchys Playhouse</v>
      </c>
    </row>
    <row r="1621" ht="15.75" customHeight="1">
      <c r="A1621" s="1">
        <v>56.0</v>
      </c>
      <c r="B1621" s="1">
        <v>9.0</v>
      </c>
      <c r="C1621" s="1">
        <v>15.0</v>
      </c>
      <c r="D1621" s="1">
        <v>91.0</v>
      </c>
      <c r="F1621" s="1" t="str">
        <f>LOOKUP(A1621, NPCs!A:A, NPCs!C:C)</f>
        <v>Spook</v>
      </c>
      <c r="G1621" s="1" t="str">
        <f>LOOKUP(B1621, Maps!A:A, Maps!B:B)</f>
        <v>Punchys Playhouse</v>
      </c>
    </row>
    <row r="1622" ht="15.75" customHeight="1">
      <c r="A1622" s="1">
        <v>56.0</v>
      </c>
      <c r="B1622" s="1">
        <v>9.0</v>
      </c>
      <c r="C1622" s="1">
        <v>16.0</v>
      </c>
      <c r="D1622" s="1">
        <v>92.0</v>
      </c>
      <c r="F1622" s="1" t="str">
        <f>LOOKUP(A1622, NPCs!A:A, NPCs!C:C)</f>
        <v>Spook</v>
      </c>
      <c r="G1622" s="1" t="str">
        <f>LOOKUP(B1622, Maps!A:A, Maps!B:B)</f>
        <v>Punchys Playhouse</v>
      </c>
    </row>
    <row r="1623" ht="15.75" customHeight="1">
      <c r="A1623" s="1">
        <v>56.0</v>
      </c>
      <c r="B1623" s="1">
        <v>9.0</v>
      </c>
      <c r="C1623" s="1">
        <v>4.0</v>
      </c>
      <c r="D1623" s="1">
        <v>92.0</v>
      </c>
      <c r="F1623" s="1" t="str">
        <f>LOOKUP(A1623, NPCs!A:A, NPCs!C:C)</f>
        <v>Spook</v>
      </c>
      <c r="G1623" s="1" t="str">
        <f>LOOKUP(B1623, Maps!A:A, Maps!B:B)</f>
        <v>Punchys Playhouse</v>
      </c>
    </row>
    <row r="1624" ht="15.75" customHeight="1">
      <c r="A1624" s="1">
        <v>56.0</v>
      </c>
      <c r="B1624" s="1">
        <v>9.0</v>
      </c>
      <c r="C1624" s="1">
        <v>8.0</v>
      </c>
      <c r="D1624" s="1">
        <v>96.0</v>
      </c>
      <c r="F1624" s="1" t="str">
        <f>LOOKUP(A1624, NPCs!A:A, NPCs!C:C)</f>
        <v>Spook</v>
      </c>
      <c r="G1624" s="1" t="str">
        <f>LOOKUP(B1624, Maps!A:A, Maps!B:B)</f>
        <v>Punchys Playhouse</v>
      </c>
    </row>
    <row r="1625" ht="15.75" customHeight="1">
      <c r="A1625" s="1">
        <v>56.0</v>
      </c>
      <c r="B1625" s="1">
        <v>9.0</v>
      </c>
      <c r="C1625" s="1">
        <v>9.0</v>
      </c>
      <c r="D1625" s="1">
        <v>97.0</v>
      </c>
      <c r="F1625" s="1" t="str">
        <f>LOOKUP(A1625, NPCs!A:A, NPCs!C:C)</f>
        <v>Spook</v>
      </c>
      <c r="G1625" s="1" t="str">
        <f>LOOKUP(B1625, Maps!A:A, Maps!B:B)</f>
        <v>Punchys Playhouse</v>
      </c>
    </row>
    <row r="1626" ht="15.75" customHeight="1">
      <c r="A1626" s="1">
        <v>56.0</v>
      </c>
      <c r="B1626" s="1">
        <v>9.0</v>
      </c>
      <c r="C1626" s="1">
        <v>22.0</v>
      </c>
      <c r="D1626" s="1">
        <v>93.0</v>
      </c>
      <c r="F1626" s="1" t="str">
        <f>LOOKUP(A1626, NPCs!A:A, NPCs!C:C)</f>
        <v>Spook</v>
      </c>
      <c r="G1626" s="1" t="str">
        <f>LOOKUP(B1626, Maps!A:A, Maps!B:B)</f>
        <v>Punchys Playhouse</v>
      </c>
    </row>
    <row r="1627" ht="15.75" customHeight="1">
      <c r="A1627" s="1">
        <v>56.0</v>
      </c>
      <c r="B1627" s="1">
        <v>9.0</v>
      </c>
      <c r="C1627" s="1">
        <v>23.0</v>
      </c>
      <c r="D1627" s="1">
        <v>95.0</v>
      </c>
      <c r="F1627" s="1" t="str">
        <f>LOOKUP(A1627, NPCs!A:A, NPCs!C:C)</f>
        <v>Spook</v>
      </c>
      <c r="G1627" s="1" t="str">
        <f>LOOKUP(B1627, Maps!A:A, Maps!B:B)</f>
        <v>Punchys Playhouse</v>
      </c>
    </row>
    <row r="1628" ht="15.75" customHeight="1">
      <c r="A1628" s="1">
        <v>56.0</v>
      </c>
      <c r="B1628" s="1">
        <v>9.0</v>
      </c>
      <c r="C1628" s="1">
        <v>21.0</v>
      </c>
      <c r="D1628" s="1">
        <v>96.0</v>
      </c>
      <c r="F1628" s="1" t="str">
        <f>LOOKUP(A1628, NPCs!A:A, NPCs!C:C)</f>
        <v>Spook</v>
      </c>
      <c r="G1628" s="1" t="str">
        <f>LOOKUP(B1628, Maps!A:A, Maps!B:B)</f>
        <v>Punchys Playhouse</v>
      </c>
    </row>
    <row r="1629" ht="15.75" customHeight="1">
      <c r="A1629" s="1">
        <v>57.0</v>
      </c>
      <c r="B1629" s="1">
        <v>9.0</v>
      </c>
      <c r="C1629" s="1">
        <v>24.0</v>
      </c>
      <c r="D1629" s="1">
        <v>97.0</v>
      </c>
      <c r="F1629" s="1" t="str">
        <f>LOOKUP(A1629, NPCs!A:A, NPCs!C:C)</f>
        <v>Ghast</v>
      </c>
      <c r="G1629" s="1" t="str">
        <f>LOOKUP(B1629, Maps!A:A, Maps!B:B)</f>
        <v>Punchys Playhouse</v>
      </c>
    </row>
    <row r="1630" ht="15.75" customHeight="1">
      <c r="A1630" s="1">
        <v>57.0</v>
      </c>
      <c r="B1630" s="1">
        <v>9.0</v>
      </c>
      <c r="C1630" s="1">
        <v>25.0</v>
      </c>
      <c r="D1630" s="1">
        <v>94.0</v>
      </c>
      <c r="F1630" s="1" t="str">
        <f>LOOKUP(A1630, NPCs!A:A, NPCs!C:C)</f>
        <v>Ghast</v>
      </c>
      <c r="G1630" s="1" t="str">
        <f>LOOKUP(B1630, Maps!A:A, Maps!B:B)</f>
        <v>Punchys Playhouse</v>
      </c>
    </row>
    <row r="1631" ht="15.75" customHeight="1">
      <c r="A1631" s="1">
        <v>57.0</v>
      </c>
      <c r="B1631" s="1">
        <v>9.0</v>
      </c>
      <c r="C1631" s="1">
        <v>33.0</v>
      </c>
      <c r="D1631" s="1">
        <v>92.0</v>
      </c>
      <c r="F1631" s="1" t="str">
        <f>LOOKUP(A1631, NPCs!A:A, NPCs!C:C)</f>
        <v>Ghast</v>
      </c>
      <c r="G1631" s="1" t="str">
        <f>LOOKUP(B1631, Maps!A:A, Maps!B:B)</f>
        <v>Punchys Playhouse</v>
      </c>
    </row>
    <row r="1632" ht="15.75" customHeight="1">
      <c r="A1632" s="1">
        <v>57.0</v>
      </c>
      <c r="B1632" s="1">
        <v>9.0</v>
      </c>
      <c r="C1632" s="1">
        <v>34.0</v>
      </c>
      <c r="D1632" s="1">
        <v>91.0</v>
      </c>
      <c r="F1632" s="1" t="str">
        <f>LOOKUP(A1632, NPCs!A:A, NPCs!C:C)</f>
        <v>Ghast</v>
      </c>
      <c r="G1632" s="1" t="str">
        <f>LOOKUP(B1632, Maps!A:A, Maps!B:B)</f>
        <v>Punchys Playhouse</v>
      </c>
    </row>
    <row r="1633" ht="15.75" customHeight="1">
      <c r="A1633" s="1">
        <v>57.0</v>
      </c>
      <c r="B1633" s="1">
        <v>9.0</v>
      </c>
      <c r="C1633" s="1">
        <v>37.0</v>
      </c>
      <c r="D1633" s="1">
        <v>95.0</v>
      </c>
      <c r="F1633" s="1" t="str">
        <f>LOOKUP(A1633, NPCs!A:A, NPCs!C:C)</f>
        <v>Ghast</v>
      </c>
      <c r="G1633" s="1" t="str">
        <f>LOOKUP(B1633, Maps!A:A, Maps!B:B)</f>
        <v>Punchys Playhouse</v>
      </c>
    </row>
    <row r="1634" ht="15.75" customHeight="1">
      <c r="A1634" s="1">
        <v>57.0</v>
      </c>
      <c r="B1634" s="1">
        <v>9.0</v>
      </c>
      <c r="C1634" s="1">
        <v>40.0</v>
      </c>
      <c r="D1634" s="1">
        <v>97.0</v>
      </c>
      <c r="F1634" s="1" t="str">
        <f>LOOKUP(A1634, NPCs!A:A, NPCs!C:C)</f>
        <v>Ghast</v>
      </c>
      <c r="G1634" s="1" t="str">
        <f>LOOKUP(B1634, Maps!A:A, Maps!B:B)</f>
        <v>Punchys Playhouse</v>
      </c>
    </row>
    <row r="1635" ht="15.75" customHeight="1">
      <c r="A1635" s="1">
        <v>57.0</v>
      </c>
      <c r="B1635" s="1">
        <v>9.0</v>
      </c>
      <c r="C1635" s="1">
        <v>28.0</v>
      </c>
      <c r="D1635" s="1">
        <v>88.0</v>
      </c>
      <c r="F1635" s="1" t="str">
        <f>LOOKUP(A1635, NPCs!A:A, NPCs!C:C)</f>
        <v>Ghast</v>
      </c>
      <c r="G1635" s="1" t="str">
        <f>LOOKUP(B1635, Maps!A:A, Maps!B:B)</f>
        <v>Punchys Playhouse</v>
      </c>
    </row>
    <row r="1636" ht="15.75" customHeight="1">
      <c r="A1636" s="1">
        <v>57.0</v>
      </c>
      <c r="B1636" s="1">
        <v>9.0</v>
      </c>
      <c r="C1636" s="1">
        <v>29.0</v>
      </c>
      <c r="D1636" s="1">
        <v>87.0</v>
      </c>
      <c r="F1636" s="1" t="str">
        <f>LOOKUP(A1636, NPCs!A:A, NPCs!C:C)</f>
        <v>Ghast</v>
      </c>
      <c r="G1636" s="1" t="str">
        <f>LOOKUP(B1636, Maps!A:A, Maps!B:B)</f>
        <v>Punchys Playhouse</v>
      </c>
    </row>
    <row r="1637" ht="15.75" customHeight="1">
      <c r="A1637" s="1">
        <v>57.0</v>
      </c>
      <c r="B1637" s="1">
        <v>9.0</v>
      </c>
      <c r="C1637" s="1">
        <v>30.0</v>
      </c>
      <c r="D1637" s="1">
        <v>85.0</v>
      </c>
      <c r="F1637" s="1" t="str">
        <f>LOOKUP(A1637, NPCs!A:A, NPCs!C:C)</f>
        <v>Ghast</v>
      </c>
      <c r="G1637" s="1" t="str">
        <f>LOOKUP(B1637, Maps!A:A, Maps!B:B)</f>
        <v>Punchys Playhouse</v>
      </c>
    </row>
    <row r="1638" ht="15.75" customHeight="1">
      <c r="A1638" s="1">
        <v>57.0</v>
      </c>
      <c r="B1638" s="1">
        <v>9.0</v>
      </c>
      <c r="C1638" s="1">
        <v>29.0</v>
      </c>
      <c r="D1638" s="1">
        <v>86.0</v>
      </c>
      <c r="F1638" s="1" t="str">
        <f>LOOKUP(A1638, NPCs!A:A, NPCs!C:C)</f>
        <v>Ghast</v>
      </c>
      <c r="G1638" s="1" t="str">
        <f>LOOKUP(B1638, Maps!A:A, Maps!B:B)</f>
        <v>Punchys Playhouse</v>
      </c>
    </row>
    <row r="1639" ht="15.75" customHeight="1">
      <c r="A1639" s="1">
        <v>57.0</v>
      </c>
      <c r="B1639" s="1">
        <v>9.0</v>
      </c>
      <c r="C1639" s="1">
        <v>36.0</v>
      </c>
      <c r="D1639" s="1">
        <v>85.0</v>
      </c>
      <c r="F1639" s="1" t="str">
        <f>LOOKUP(A1639, NPCs!A:A, NPCs!C:C)</f>
        <v>Ghast</v>
      </c>
      <c r="G1639" s="1" t="str">
        <f>LOOKUP(B1639, Maps!A:A, Maps!B:B)</f>
        <v>Punchys Playhouse</v>
      </c>
    </row>
    <row r="1640" ht="15.75" customHeight="1">
      <c r="A1640" s="1">
        <v>57.0</v>
      </c>
      <c r="B1640" s="1">
        <v>9.0</v>
      </c>
      <c r="C1640" s="1">
        <v>37.0</v>
      </c>
      <c r="D1640" s="1">
        <v>85.0</v>
      </c>
      <c r="F1640" s="1" t="str">
        <f>LOOKUP(A1640, NPCs!A:A, NPCs!C:C)</f>
        <v>Ghast</v>
      </c>
      <c r="G1640" s="1" t="str">
        <f>LOOKUP(B1640, Maps!A:A, Maps!B:B)</f>
        <v>Punchys Playhouse</v>
      </c>
    </row>
    <row r="1641" ht="15.75" customHeight="1">
      <c r="A1641" s="1">
        <v>57.0</v>
      </c>
      <c r="B1641" s="1">
        <v>9.0</v>
      </c>
      <c r="C1641" s="1">
        <v>39.0</v>
      </c>
      <c r="D1641" s="1">
        <v>85.0</v>
      </c>
      <c r="F1641" s="1" t="str">
        <f>LOOKUP(A1641, NPCs!A:A, NPCs!C:C)</f>
        <v>Ghast</v>
      </c>
      <c r="G1641" s="1" t="str">
        <f>LOOKUP(B1641, Maps!A:A, Maps!B:B)</f>
        <v>Punchys Playhouse</v>
      </c>
    </row>
    <row r="1642" ht="15.75" customHeight="1">
      <c r="A1642" s="1">
        <v>57.0</v>
      </c>
      <c r="B1642" s="1">
        <v>9.0</v>
      </c>
      <c r="C1642" s="1">
        <v>32.0</v>
      </c>
      <c r="D1642" s="1">
        <v>79.0</v>
      </c>
      <c r="F1642" s="1" t="str">
        <f>LOOKUP(A1642, NPCs!A:A, NPCs!C:C)</f>
        <v>Ghast</v>
      </c>
      <c r="G1642" s="1" t="str">
        <f>LOOKUP(B1642, Maps!A:A, Maps!B:B)</f>
        <v>Punchys Playhouse</v>
      </c>
    </row>
    <row r="1643" ht="15.75" customHeight="1">
      <c r="A1643" s="1">
        <v>57.0</v>
      </c>
      <c r="B1643" s="1">
        <v>9.0</v>
      </c>
      <c r="C1643" s="1">
        <v>37.0</v>
      </c>
      <c r="D1643" s="1">
        <v>79.0</v>
      </c>
      <c r="F1643" s="1" t="str">
        <f>LOOKUP(A1643, NPCs!A:A, NPCs!C:C)</f>
        <v>Ghast</v>
      </c>
      <c r="G1643" s="1" t="str">
        <f>LOOKUP(B1643, Maps!A:A, Maps!B:B)</f>
        <v>Punchys Playhouse</v>
      </c>
    </row>
    <row r="1644" ht="15.75" customHeight="1">
      <c r="A1644" s="1">
        <v>57.0</v>
      </c>
      <c r="B1644" s="1">
        <v>9.0</v>
      </c>
      <c r="C1644" s="1">
        <v>40.0</v>
      </c>
      <c r="D1644" s="1">
        <v>74.0</v>
      </c>
      <c r="F1644" s="1" t="str">
        <f>LOOKUP(A1644, NPCs!A:A, NPCs!C:C)</f>
        <v>Ghast</v>
      </c>
      <c r="G1644" s="1" t="str">
        <f>LOOKUP(B1644, Maps!A:A, Maps!B:B)</f>
        <v>Punchys Playhouse</v>
      </c>
    </row>
    <row r="1645" ht="15.75" customHeight="1">
      <c r="A1645" s="1">
        <v>57.0</v>
      </c>
      <c r="B1645" s="1">
        <v>9.0</v>
      </c>
      <c r="C1645" s="1">
        <v>34.0</v>
      </c>
      <c r="D1645" s="1">
        <v>76.0</v>
      </c>
      <c r="F1645" s="1" t="str">
        <f>LOOKUP(A1645, NPCs!A:A, NPCs!C:C)</f>
        <v>Ghast</v>
      </c>
      <c r="G1645" s="1" t="str">
        <f>LOOKUP(B1645, Maps!A:A, Maps!B:B)</f>
        <v>Punchys Playhouse</v>
      </c>
    </row>
    <row r="1646" ht="15.75" customHeight="1">
      <c r="A1646" s="1">
        <v>57.0</v>
      </c>
      <c r="B1646" s="1">
        <v>9.0</v>
      </c>
      <c r="C1646" s="1">
        <v>35.0</v>
      </c>
      <c r="D1646" s="1">
        <v>76.0</v>
      </c>
      <c r="F1646" s="1" t="str">
        <f>LOOKUP(A1646, NPCs!A:A, NPCs!C:C)</f>
        <v>Ghast</v>
      </c>
      <c r="G1646" s="1" t="str">
        <f>LOOKUP(B1646, Maps!A:A, Maps!B:B)</f>
        <v>Punchys Playhouse</v>
      </c>
    </row>
    <row r="1647" ht="15.75" customHeight="1">
      <c r="A1647" s="1">
        <v>57.0</v>
      </c>
      <c r="B1647" s="1">
        <v>9.0</v>
      </c>
      <c r="C1647" s="1">
        <v>31.0</v>
      </c>
      <c r="D1647" s="1">
        <v>69.0</v>
      </c>
      <c r="F1647" s="1" t="str">
        <f>LOOKUP(A1647, NPCs!A:A, NPCs!C:C)</f>
        <v>Ghast</v>
      </c>
      <c r="G1647" s="1" t="str">
        <f>LOOKUP(B1647, Maps!A:A, Maps!B:B)</f>
        <v>Punchys Playhouse</v>
      </c>
    </row>
    <row r="1648" ht="15.75" customHeight="1">
      <c r="A1648" s="1">
        <v>57.0</v>
      </c>
      <c r="B1648" s="1">
        <v>9.0</v>
      </c>
      <c r="C1648" s="1">
        <v>31.0</v>
      </c>
      <c r="D1648" s="1">
        <v>68.0</v>
      </c>
      <c r="F1648" s="1" t="str">
        <f>LOOKUP(A1648, NPCs!A:A, NPCs!C:C)</f>
        <v>Ghast</v>
      </c>
      <c r="G1648" s="1" t="str">
        <f>LOOKUP(B1648, Maps!A:A, Maps!B:B)</f>
        <v>Punchys Playhouse</v>
      </c>
    </row>
    <row r="1649" ht="15.75" customHeight="1">
      <c r="A1649" s="1">
        <v>57.0</v>
      </c>
      <c r="B1649" s="1">
        <v>9.0</v>
      </c>
      <c r="C1649" s="1">
        <v>31.0</v>
      </c>
      <c r="D1649" s="1">
        <v>67.0</v>
      </c>
      <c r="F1649" s="1" t="str">
        <f>LOOKUP(A1649, NPCs!A:A, NPCs!C:C)</f>
        <v>Ghast</v>
      </c>
      <c r="G1649" s="1" t="str">
        <f>LOOKUP(B1649, Maps!A:A, Maps!B:B)</f>
        <v>Punchys Playhouse</v>
      </c>
    </row>
    <row r="1650" ht="15.75" customHeight="1">
      <c r="A1650" s="1">
        <v>57.0</v>
      </c>
      <c r="B1650" s="1">
        <v>9.0</v>
      </c>
      <c r="C1650" s="1">
        <v>39.0</v>
      </c>
      <c r="D1650" s="1">
        <v>68.0</v>
      </c>
      <c r="F1650" s="1" t="str">
        <f>LOOKUP(A1650, NPCs!A:A, NPCs!C:C)</f>
        <v>Ghast</v>
      </c>
      <c r="G1650" s="1" t="str">
        <f>LOOKUP(B1650, Maps!A:A, Maps!B:B)</f>
        <v>Punchys Playhouse</v>
      </c>
    </row>
    <row r="1651" ht="15.75" customHeight="1">
      <c r="A1651" s="1">
        <v>57.0</v>
      </c>
      <c r="B1651" s="1">
        <v>9.0</v>
      </c>
      <c r="C1651" s="1">
        <v>38.0</v>
      </c>
      <c r="D1651" s="1">
        <v>65.0</v>
      </c>
      <c r="F1651" s="1" t="str">
        <f>LOOKUP(A1651, NPCs!A:A, NPCs!C:C)</f>
        <v>Ghast</v>
      </c>
      <c r="G1651" s="1" t="str">
        <f>LOOKUP(B1651, Maps!A:A, Maps!B:B)</f>
        <v>Punchys Playhouse</v>
      </c>
    </row>
    <row r="1652" ht="15.75" customHeight="1">
      <c r="A1652" s="1">
        <v>57.0</v>
      </c>
      <c r="B1652" s="1">
        <v>9.0</v>
      </c>
      <c r="C1652" s="1">
        <v>35.0</v>
      </c>
      <c r="D1652" s="1">
        <v>62.0</v>
      </c>
      <c r="F1652" s="1" t="str">
        <f>LOOKUP(A1652, NPCs!A:A, NPCs!C:C)</f>
        <v>Ghast</v>
      </c>
      <c r="G1652" s="1" t="str">
        <f>LOOKUP(B1652, Maps!A:A, Maps!B:B)</f>
        <v>Punchys Playhouse</v>
      </c>
    </row>
    <row r="1653" ht="15.75" customHeight="1">
      <c r="A1653" s="1">
        <v>57.0</v>
      </c>
      <c r="B1653" s="1">
        <v>9.0</v>
      </c>
      <c r="C1653" s="1">
        <v>33.0</v>
      </c>
      <c r="D1653" s="1">
        <v>59.0</v>
      </c>
      <c r="F1653" s="1" t="str">
        <f>LOOKUP(A1653, NPCs!A:A, NPCs!C:C)</f>
        <v>Ghast</v>
      </c>
      <c r="G1653" s="1" t="str">
        <f>LOOKUP(B1653, Maps!A:A, Maps!B:B)</f>
        <v>Punchys Playhouse</v>
      </c>
    </row>
    <row r="1654" ht="15.75" customHeight="1">
      <c r="A1654" s="1">
        <v>57.0</v>
      </c>
      <c r="B1654" s="1">
        <v>9.0</v>
      </c>
      <c r="C1654" s="1">
        <v>43.0</v>
      </c>
      <c r="D1654" s="1">
        <v>59.0</v>
      </c>
      <c r="F1654" s="1" t="str">
        <f>LOOKUP(A1654, NPCs!A:A, NPCs!C:C)</f>
        <v>Ghast</v>
      </c>
      <c r="G1654" s="1" t="str">
        <f>LOOKUP(B1654, Maps!A:A, Maps!B:B)</f>
        <v>Punchys Playhouse</v>
      </c>
    </row>
    <row r="1655" ht="15.75" customHeight="1">
      <c r="A1655" s="1">
        <v>57.0</v>
      </c>
      <c r="B1655" s="1">
        <v>9.0</v>
      </c>
      <c r="C1655" s="1">
        <v>44.0</v>
      </c>
      <c r="D1655" s="1">
        <v>59.0</v>
      </c>
      <c r="F1655" s="1" t="str">
        <f>LOOKUP(A1655, NPCs!A:A, NPCs!C:C)</f>
        <v>Ghast</v>
      </c>
      <c r="G1655" s="1" t="str">
        <f>LOOKUP(B1655, Maps!A:A, Maps!B:B)</f>
        <v>Punchys Playhouse</v>
      </c>
    </row>
    <row r="1656" ht="15.75" customHeight="1">
      <c r="A1656" s="1">
        <v>57.0</v>
      </c>
      <c r="B1656" s="1">
        <v>9.0</v>
      </c>
      <c r="C1656" s="1">
        <v>48.0</v>
      </c>
      <c r="D1656" s="1">
        <v>67.0</v>
      </c>
      <c r="F1656" s="1" t="str">
        <f>LOOKUP(A1656, NPCs!A:A, NPCs!C:C)</f>
        <v>Ghast</v>
      </c>
      <c r="G1656" s="1" t="str">
        <f>LOOKUP(B1656, Maps!A:A, Maps!B:B)</f>
        <v>Punchys Playhouse</v>
      </c>
    </row>
    <row r="1657" ht="15.75" customHeight="1">
      <c r="A1657" s="1">
        <v>57.0</v>
      </c>
      <c r="B1657" s="1">
        <v>9.0</v>
      </c>
      <c r="C1657" s="1">
        <v>50.0</v>
      </c>
      <c r="D1657" s="1">
        <v>67.0</v>
      </c>
      <c r="F1657" s="1" t="str">
        <f>LOOKUP(A1657, NPCs!A:A, NPCs!C:C)</f>
        <v>Ghast</v>
      </c>
      <c r="G1657" s="1" t="str">
        <f>LOOKUP(B1657, Maps!A:A, Maps!B:B)</f>
        <v>Punchys Playhouse</v>
      </c>
    </row>
    <row r="1658" ht="15.75" customHeight="1">
      <c r="A1658" s="1">
        <v>57.0</v>
      </c>
      <c r="B1658" s="1">
        <v>9.0</v>
      </c>
      <c r="C1658" s="1">
        <v>52.0</v>
      </c>
      <c r="D1658" s="1">
        <v>66.0</v>
      </c>
      <c r="F1658" s="1" t="str">
        <f>LOOKUP(A1658, NPCs!A:A, NPCs!C:C)</f>
        <v>Ghast</v>
      </c>
      <c r="G1658" s="1" t="str">
        <f>LOOKUP(B1658, Maps!A:A, Maps!B:B)</f>
        <v>Punchys Playhouse</v>
      </c>
    </row>
    <row r="1659" ht="15.75" customHeight="1">
      <c r="A1659" s="1">
        <v>57.0</v>
      </c>
      <c r="B1659" s="1">
        <v>9.0</v>
      </c>
      <c r="C1659" s="1">
        <v>54.0</v>
      </c>
      <c r="D1659" s="1">
        <v>65.0</v>
      </c>
      <c r="F1659" s="1" t="str">
        <f>LOOKUP(A1659, NPCs!A:A, NPCs!C:C)</f>
        <v>Ghast</v>
      </c>
      <c r="G1659" s="1" t="str">
        <f>LOOKUP(B1659, Maps!A:A, Maps!B:B)</f>
        <v>Punchys Playhouse</v>
      </c>
    </row>
    <row r="1660" ht="15.75" customHeight="1">
      <c r="A1660" s="1">
        <v>57.0</v>
      </c>
      <c r="B1660" s="1">
        <v>9.0</v>
      </c>
      <c r="C1660" s="1">
        <v>54.0</v>
      </c>
      <c r="D1660" s="1">
        <v>64.0</v>
      </c>
      <c r="F1660" s="1" t="str">
        <f>LOOKUP(A1660, NPCs!A:A, NPCs!C:C)</f>
        <v>Ghast</v>
      </c>
      <c r="G1660" s="1" t="str">
        <f>LOOKUP(B1660, Maps!A:A, Maps!B:B)</f>
        <v>Punchys Playhouse</v>
      </c>
    </row>
    <row r="1661" ht="15.75" customHeight="1">
      <c r="A1661" s="1">
        <v>57.0</v>
      </c>
      <c r="B1661" s="1">
        <v>9.0</v>
      </c>
      <c r="C1661" s="1">
        <v>52.0</v>
      </c>
      <c r="D1661" s="1">
        <v>59.0</v>
      </c>
      <c r="F1661" s="1" t="str">
        <f>LOOKUP(A1661, NPCs!A:A, NPCs!C:C)</f>
        <v>Ghast</v>
      </c>
      <c r="G1661" s="1" t="str">
        <f>LOOKUP(B1661, Maps!A:A, Maps!B:B)</f>
        <v>Punchys Playhouse</v>
      </c>
    </row>
    <row r="1662" ht="15.75" customHeight="1">
      <c r="A1662" s="1">
        <v>57.0</v>
      </c>
      <c r="B1662" s="1">
        <v>9.0</v>
      </c>
      <c r="C1662" s="1">
        <v>53.0</v>
      </c>
      <c r="D1662" s="1">
        <v>59.0</v>
      </c>
      <c r="F1662" s="1" t="str">
        <f>LOOKUP(A1662, NPCs!A:A, NPCs!C:C)</f>
        <v>Ghast</v>
      </c>
      <c r="G1662" s="1" t="str">
        <f>LOOKUP(B1662, Maps!A:A, Maps!B:B)</f>
        <v>Punchys Playhouse</v>
      </c>
    </row>
    <row r="1663" ht="15.75" customHeight="1">
      <c r="A1663" s="1">
        <v>57.0</v>
      </c>
      <c r="B1663" s="1">
        <v>9.0</v>
      </c>
      <c r="C1663" s="1">
        <v>55.0</v>
      </c>
      <c r="D1663" s="1">
        <v>59.0</v>
      </c>
      <c r="F1663" s="1" t="str">
        <f>LOOKUP(A1663, NPCs!A:A, NPCs!C:C)</f>
        <v>Ghast</v>
      </c>
      <c r="G1663" s="1" t="str">
        <f>LOOKUP(B1663, Maps!A:A, Maps!B:B)</f>
        <v>Punchys Playhouse</v>
      </c>
    </row>
    <row r="1664" ht="15.75" customHeight="1">
      <c r="A1664" s="1">
        <v>57.0</v>
      </c>
      <c r="B1664" s="1">
        <v>9.0</v>
      </c>
      <c r="C1664" s="1">
        <v>58.0</v>
      </c>
      <c r="D1664" s="1">
        <v>72.0</v>
      </c>
      <c r="F1664" s="1" t="str">
        <f>LOOKUP(A1664, NPCs!A:A, NPCs!C:C)</f>
        <v>Ghast</v>
      </c>
      <c r="G1664" s="1" t="str">
        <f>LOOKUP(B1664, Maps!A:A, Maps!B:B)</f>
        <v>Punchys Playhouse</v>
      </c>
    </row>
    <row r="1665" ht="15.75" customHeight="1">
      <c r="A1665" s="1">
        <v>57.0</v>
      </c>
      <c r="B1665" s="1">
        <v>9.0</v>
      </c>
      <c r="C1665" s="1">
        <v>61.0</v>
      </c>
      <c r="D1665" s="1">
        <v>75.0</v>
      </c>
      <c r="F1665" s="1" t="str">
        <f>LOOKUP(A1665, NPCs!A:A, NPCs!C:C)</f>
        <v>Ghast</v>
      </c>
      <c r="G1665" s="1" t="str">
        <f>LOOKUP(B1665, Maps!A:A, Maps!B:B)</f>
        <v>Punchys Playhouse</v>
      </c>
    </row>
    <row r="1666" ht="15.75" customHeight="1">
      <c r="A1666" s="1">
        <v>57.0</v>
      </c>
      <c r="B1666" s="1">
        <v>9.0</v>
      </c>
      <c r="C1666" s="1">
        <v>64.0</v>
      </c>
      <c r="D1666" s="1">
        <v>78.0</v>
      </c>
      <c r="F1666" s="1" t="str">
        <f>LOOKUP(A1666, NPCs!A:A, NPCs!C:C)</f>
        <v>Ghast</v>
      </c>
      <c r="G1666" s="1" t="str">
        <f>LOOKUP(B1666, Maps!A:A, Maps!B:B)</f>
        <v>Punchys Playhouse</v>
      </c>
    </row>
    <row r="1667" ht="15.75" customHeight="1">
      <c r="A1667" s="1">
        <v>57.0</v>
      </c>
      <c r="B1667" s="1">
        <v>9.0</v>
      </c>
      <c r="C1667" s="1">
        <v>63.0</v>
      </c>
      <c r="D1667" s="1">
        <v>67.0</v>
      </c>
      <c r="F1667" s="1" t="str">
        <f>LOOKUP(A1667, NPCs!A:A, NPCs!C:C)</f>
        <v>Ghast</v>
      </c>
      <c r="G1667" s="1" t="str">
        <f>LOOKUP(B1667, Maps!A:A, Maps!B:B)</f>
        <v>Punchys Playhouse</v>
      </c>
    </row>
    <row r="1668" ht="15.75" customHeight="1">
      <c r="A1668" s="1">
        <v>57.0</v>
      </c>
      <c r="B1668" s="1">
        <v>9.0</v>
      </c>
      <c r="C1668" s="1">
        <v>66.0</v>
      </c>
      <c r="D1668" s="1">
        <v>67.0</v>
      </c>
      <c r="F1668" s="1" t="str">
        <f>LOOKUP(A1668, NPCs!A:A, NPCs!C:C)</f>
        <v>Ghast</v>
      </c>
      <c r="G1668" s="1" t="str">
        <f>LOOKUP(B1668, Maps!A:A, Maps!B:B)</f>
        <v>Punchys Playhouse</v>
      </c>
    </row>
    <row r="1669" ht="15.75" customHeight="1">
      <c r="A1669" s="1">
        <v>57.0</v>
      </c>
      <c r="B1669" s="1">
        <v>9.0</v>
      </c>
      <c r="C1669" s="1">
        <v>67.0</v>
      </c>
      <c r="D1669" s="1">
        <v>71.0</v>
      </c>
      <c r="F1669" s="1" t="str">
        <f>LOOKUP(A1669, NPCs!A:A, NPCs!C:C)</f>
        <v>Ghast</v>
      </c>
      <c r="G1669" s="1" t="str">
        <f>LOOKUP(B1669, Maps!A:A, Maps!B:B)</f>
        <v>Punchys Playhouse</v>
      </c>
    </row>
    <row r="1670" ht="15.75" customHeight="1">
      <c r="A1670" s="1">
        <v>57.0</v>
      </c>
      <c r="B1670" s="1">
        <v>9.0</v>
      </c>
      <c r="C1670" s="1">
        <v>71.0</v>
      </c>
      <c r="D1670" s="1">
        <v>75.0</v>
      </c>
      <c r="F1670" s="1" t="str">
        <f>LOOKUP(A1670, NPCs!A:A, NPCs!C:C)</f>
        <v>Ghast</v>
      </c>
      <c r="G1670" s="1" t="str">
        <f>LOOKUP(B1670, Maps!A:A, Maps!B:B)</f>
        <v>Punchys Playhouse</v>
      </c>
    </row>
    <row r="1671" ht="15.75" customHeight="1">
      <c r="A1671" s="1">
        <v>57.0</v>
      </c>
      <c r="B1671" s="1">
        <v>9.0</v>
      </c>
      <c r="C1671" s="1">
        <v>81.0</v>
      </c>
      <c r="D1671" s="1">
        <v>82.0</v>
      </c>
      <c r="F1671" s="1" t="str">
        <f>LOOKUP(A1671, NPCs!A:A, NPCs!C:C)</f>
        <v>Ghast</v>
      </c>
      <c r="G1671" s="1" t="str">
        <f>LOOKUP(B1671, Maps!A:A, Maps!B:B)</f>
        <v>Punchys Playhouse</v>
      </c>
    </row>
    <row r="1672" ht="15.75" customHeight="1">
      <c r="A1672" s="1">
        <v>57.0</v>
      </c>
      <c r="B1672" s="1">
        <v>9.0</v>
      </c>
      <c r="C1672" s="1">
        <v>82.0</v>
      </c>
      <c r="D1672" s="1">
        <v>80.0</v>
      </c>
      <c r="F1672" s="1" t="str">
        <f>LOOKUP(A1672, NPCs!A:A, NPCs!C:C)</f>
        <v>Ghast</v>
      </c>
      <c r="G1672" s="1" t="str">
        <f>LOOKUP(B1672, Maps!A:A, Maps!B:B)</f>
        <v>Punchys Playhouse</v>
      </c>
    </row>
    <row r="1673" ht="15.75" customHeight="1">
      <c r="A1673" s="1">
        <v>57.0</v>
      </c>
      <c r="B1673" s="1">
        <v>9.0</v>
      </c>
      <c r="C1673" s="1">
        <v>76.0</v>
      </c>
      <c r="D1673" s="1">
        <v>87.0</v>
      </c>
      <c r="F1673" s="1" t="str">
        <f>LOOKUP(A1673, NPCs!A:A, NPCs!C:C)</f>
        <v>Ghast</v>
      </c>
      <c r="G1673" s="1" t="str">
        <f>LOOKUP(B1673, Maps!A:A, Maps!B:B)</f>
        <v>Punchys Playhouse</v>
      </c>
    </row>
    <row r="1674" ht="15.75" customHeight="1">
      <c r="A1674" s="1">
        <v>57.0</v>
      </c>
      <c r="B1674" s="1">
        <v>9.0</v>
      </c>
      <c r="C1674" s="1">
        <v>77.0</v>
      </c>
      <c r="D1674" s="1">
        <v>88.0</v>
      </c>
      <c r="F1674" s="1" t="str">
        <f>LOOKUP(A1674, NPCs!A:A, NPCs!C:C)</f>
        <v>Ghast</v>
      </c>
      <c r="G1674" s="1" t="str">
        <f>LOOKUP(B1674, Maps!A:A, Maps!B:B)</f>
        <v>Punchys Playhouse</v>
      </c>
    </row>
    <row r="1675" ht="15.75" customHeight="1">
      <c r="A1675" s="1">
        <v>57.0</v>
      </c>
      <c r="B1675" s="1">
        <v>9.0</v>
      </c>
      <c r="C1675" s="1">
        <v>83.0</v>
      </c>
      <c r="D1675" s="1">
        <v>87.0</v>
      </c>
      <c r="F1675" s="1" t="str">
        <f>LOOKUP(A1675, NPCs!A:A, NPCs!C:C)</f>
        <v>Ghast</v>
      </c>
      <c r="G1675" s="1" t="str">
        <f>LOOKUP(B1675, Maps!A:A, Maps!B:B)</f>
        <v>Punchys Playhouse</v>
      </c>
    </row>
    <row r="1676" ht="15.75" customHeight="1">
      <c r="A1676" s="1">
        <v>57.0</v>
      </c>
      <c r="B1676" s="1">
        <v>9.0</v>
      </c>
      <c r="C1676" s="1">
        <v>90.0</v>
      </c>
      <c r="D1676" s="1">
        <v>87.0</v>
      </c>
      <c r="F1676" s="1" t="str">
        <f>LOOKUP(A1676, NPCs!A:A, NPCs!C:C)</f>
        <v>Ghast</v>
      </c>
      <c r="G1676" s="1" t="str">
        <f>LOOKUP(B1676, Maps!A:A, Maps!B:B)</f>
        <v>Punchys Playhouse</v>
      </c>
    </row>
    <row r="1677" ht="15.75" customHeight="1">
      <c r="A1677" s="1">
        <v>57.0</v>
      </c>
      <c r="B1677" s="1">
        <v>9.0</v>
      </c>
      <c r="C1677" s="1">
        <v>91.0</v>
      </c>
      <c r="D1677" s="1">
        <v>87.0</v>
      </c>
      <c r="F1677" s="1" t="str">
        <f>LOOKUP(A1677, NPCs!A:A, NPCs!C:C)</f>
        <v>Ghast</v>
      </c>
      <c r="G1677" s="1" t="str">
        <f>LOOKUP(B1677, Maps!A:A, Maps!B:B)</f>
        <v>Punchys Playhouse</v>
      </c>
    </row>
    <row r="1678" ht="15.75" customHeight="1">
      <c r="A1678" s="1">
        <v>57.0</v>
      </c>
      <c r="B1678" s="1">
        <v>9.0</v>
      </c>
      <c r="C1678" s="1">
        <v>92.0</v>
      </c>
      <c r="D1678" s="1">
        <v>88.0</v>
      </c>
      <c r="F1678" s="1" t="str">
        <f>LOOKUP(A1678, NPCs!A:A, NPCs!C:C)</f>
        <v>Ghast</v>
      </c>
      <c r="G1678" s="1" t="str">
        <f>LOOKUP(B1678, Maps!A:A, Maps!B:B)</f>
        <v>Punchys Playhouse</v>
      </c>
    </row>
    <row r="1679" ht="15.75" customHeight="1">
      <c r="A1679" s="1">
        <v>57.0</v>
      </c>
      <c r="B1679" s="1">
        <v>9.0</v>
      </c>
      <c r="C1679" s="1">
        <v>97.0</v>
      </c>
      <c r="D1679" s="1">
        <v>88.0</v>
      </c>
      <c r="F1679" s="1" t="str">
        <f>LOOKUP(A1679, NPCs!A:A, NPCs!C:C)</f>
        <v>Ghast</v>
      </c>
      <c r="G1679" s="1" t="str">
        <f>LOOKUP(B1679, Maps!A:A, Maps!B:B)</f>
        <v>Punchys Playhouse</v>
      </c>
    </row>
    <row r="1680" ht="15.75" customHeight="1">
      <c r="A1680" s="1">
        <v>57.0</v>
      </c>
      <c r="B1680" s="1">
        <v>9.0</v>
      </c>
      <c r="C1680" s="1">
        <v>85.0</v>
      </c>
      <c r="D1680" s="1">
        <v>98.0</v>
      </c>
      <c r="F1680" s="1" t="str">
        <f>LOOKUP(A1680, NPCs!A:A, NPCs!C:C)</f>
        <v>Ghast</v>
      </c>
      <c r="G1680" s="1" t="str">
        <f>LOOKUP(B1680, Maps!A:A, Maps!B:B)</f>
        <v>Punchys Playhouse</v>
      </c>
    </row>
    <row r="1681" ht="15.75" customHeight="1">
      <c r="A1681" s="1">
        <v>57.0</v>
      </c>
      <c r="B1681" s="1">
        <v>9.0</v>
      </c>
      <c r="C1681" s="1">
        <v>91.0</v>
      </c>
      <c r="D1681" s="1">
        <v>98.0</v>
      </c>
      <c r="F1681" s="1" t="str">
        <f>LOOKUP(A1681, NPCs!A:A, NPCs!C:C)</f>
        <v>Ghast</v>
      </c>
      <c r="G1681" s="1" t="str">
        <f>LOOKUP(B1681, Maps!A:A, Maps!B:B)</f>
        <v>Punchys Playhouse</v>
      </c>
    </row>
    <row r="1682" ht="15.75" customHeight="1">
      <c r="A1682" s="1">
        <v>57.0</v>
      </c>
      <c r="B1682" s="1">
        <v>9.0</v>
      </c>
      <c r="C1682" s="1">
        <v>99.0</v>
      </c>
      <c r="D1682" s="1">
        <v>98.0</v>
      </c>
      <c r="F1682" s="1" t="str">
        <f>LOOKUP(A1682, NPCs!A:A, NPCs!C:C)</f>
        <v>Ghast</v>
      </c>
      <c r="G1682" s="1" t="str">
        <f>LOOKUP(B1682, Maps!A:A, Maps!B:B)</f>
        <v>Punchys Playhouse</v>
      </c>
    </row>
    <row r="1683" ht="15.75" customHeight="1">
      <c r="A1683" s="1">
        <v>57.0</v>
      </c>
      <c r="B1683" s="1">
        <v>9.0</v>
      </c>
      <c r="C1683" s="1">
        <v>95.0</v>
      </c>
      <c r="D1683" s="1">
        <v>96.0</v>
      </c>
      <c r="F1683" s="1" t="str">
        <f>LOOKUP(A1683, NPCs!A:A, NPCs!C:C)</f>
        <v>Ghast</v>
      </c>
      <c r="G1683" s="1" t="str">
        <f>LOOKUP(B1683, Maps!A:A, Maps!B:B)</f>
        <v>Punchys Playhouse</v>
      </c>
    </row>
    <row r="1684" ht="15.75" customHeight="1">
      <c r="A1684" s="1">
        <v>57.0</v>
      </c>
      <c r="B1684" s="1">
        <v>9.0</v>
      </c>
      <c r="C1684" s="1">
        <v>93.0</v>
      </c>
      <c r="D1684" s="1">
        <v>92.0</v>
      </c>
      <c r="F1684" s="1" t="str">
        <f>LOOKUP(A1684, NPCs!A:A, NPCs!C:C)</f>
        <v>Ghast</v>
      </c>
      <c r="G1684" s="1" t="str">
        <f>LOOKUP(B1684, Maps!A:A, Maps!B:B)</f>
        <v>Punchys Playhouse</v>
      </c>
    </row>
    <row r="1685" ht="15.75" customHeight="1">
      <c r="A1685" s="1">
        <v>57.0</v>
      </c>
      <c r="B1685" s="1">
        <v>9.0</v>
      </c>
      <c r="C1685" s="1">
        <v>89.0</v>
      </c>
      <c r="D1685" s="1">
        <v>94.0</v>
      </c>
      <c r="F1685" s="1" t="str">
        <f>LOOKUP(A1685, NPCs!A:A, NPCs!C:C)</f>
        <v>Ghast</v>
      </c>
      <c r="G1685" s="1" t="str">
        <f>LOOKUP(B1685, Maps!A:A, Maps!B:B)</f>
        <v>Punchys Playhouse</v>
      </c>
    </row>
    <row r="1686" ht="15.75" customHeight="1">
      <c r="A1686" s="1">
        <v>57.0</v>
      </c>
      <c r="B1686" s="1">
        <v>9.0</v>
      </c>
      <c r="C1686" s="1">
        <v>94.0</v>
      </c>
      <c r="D1686" s="1">
        <v>81.0</v>
      </c>
      <c r="F1686" s="1" t="str">
        <f>LOOKUP(A1686, NPCs!A:A, NPCs!C:C)</f>
        <v>Ghast</v>
      </c>
      <c r="G1686" s="1" t="str">
        <f>LOOKUP(B1686, Maps!A:A, Maps!B:B)</f>
        <v>Punchys Playhouse</v>
      </c>
    </row>
    <row r="1687" ht="15.75" customHeight="1">
      <c r="A1687" s="1">
        <v>57.0</v>
      </c>
      <c r="B1687" s="1">
        <v>9.0</v>
      </c>
      <c r="C1687" s="1">
        <v>98.0</v>
      </c>
      <c r="D1687" s="1">
        <v>81.0</v>
      </c>
      <c r="F1687" s="1" t="str">
        <f>LOOKUP(A1687, NPCs!A:A, NPCs!C:C)</f>
        <v>Ghast</v>
      </c>
      <c r="G1687" s="1" t="str">
        <f>LOOKUP(B1687, Maps!A:A, Maps!B:B)</f>
        <v>Punchys Playhouse</v>
      </c>
    </row>
    <row r="1688" ht="15.75" customHeight="1">
      <c r="A1688" s="1">
        <v>57.0</v>
      </c>
      <c r="B1688" s="1">
        <v>9.0</v>
      </c>
      <c r="C1688" s="1">
        <v>98.0</v>
      </c>
      <c r="D1688" s="1">
        <v>77.0</v>
      </c>
      <c r="F1688" s="1" t="str">
        <f>LOOKUP(A1688, NPCs!A:A, NPCs!C:C)</f>
        <v>Ghast</v>
      </c>
      <c r="G1688" s="1" t="str">
        <f>LOOKUP(B1688, Maps!A:A, Maps!B:B)</f>
        <v>Punchys Playhouse</v>
      </c>
    </row>
    <row r="1689" ht="15.75" customHeight="1">
      <c r="A1689" s="1">
        <v>57.0</v>
      </c>
      <c r="B1689" s="1">
        <v>9.0</v>
      </c>
      <c r="C1689" s="1">
        <v>94.0</v>
      </c>
      <c r="D1689" s="1">
        <v>77.0</v>
      </c>
      <c r="F1689" s="1" t="str">
        <f>LOOKUP(A1689, NPCs!A:A, NPCs!C:C)</f>
        <v>Ghast</v>
      </c>
      <c r="G1689" s="1" t="str">
        <f>LOOKUP(B1689, Maps!A:A, Maps!B:B)</f>
        <v>Punchys Playhouse</v>
      </c>
    </row>
    <row r="1690" ht="15.75" customHeight="1">
      <c r="A1690" s="1">
        <v>57.0</v>
      </c>
      <c r="B1690" s="1">
        <v>9.0</v>
      </c>
      <c r="C1690" s="1">
        <v>94.0</v>
      </c>
      <c r="D1690" s="1">
        <v>73.0</v>
      </c>
      <c r="F1690" s="1" t="str">
        <f>LOOKUP(A1690, NPCs!A:A, NPCs!C:C)</f>
        <v>Ghast</v>
      </c>
      <c r="G1690" s="1" t="str">
        <f>LOOKUP(B1690, Maps!A:A, Maps!B:B)</f>
        <v>Punchys Playhouse</v>
      </c>
    </row>
    <row r="1691" ht="15.75" customHeight="1">
      <c r="A1691" s="1">
        <v>57.0</v>
      </c>
      <c r="B1691" s="1">
        <v>9.0</v>
      </c>
      <c r="C1691" s="1">
        <v>98.0</v>
      </c>
      <c r="D1691" s="1">
        <v>73.0</v>
      </c>
      <c r="F1691" s="1" t="str">
        <f>LOOKUP(A1691, NPCs!A:A, NPCs!C:C)</f>
        <v>Ghast</v>
      </c>
      <c r="G1691" s="1" t="str">
        <f>LOOKUP(B1691, Maps!A:A, Maps!B:B)</f>
        <v>Punchys Playhouse</v>
      </c>
    </row>
    <row r="1692" ht="15.75" customHeight="1">
      <c r="A1692" s="1">
        <v>57.0</v>
      </c>
      <c r="B1692" s="1">
        <v>9.0</v>
      </c>
      <c r="C1692" s="1">
        <v>98.0</v>
      </c>
      <c r="D1692" s="1">
        <v>69.0</v>
      </c>
      <c r="F1692" s="1" t="str">
        <f>LOOKUP(A1692, NPCs!A:A, NPCs!C:C)</f>
        <v>Ghast</v>
      </c>
      <c r="G1692" s="1" t="str">
        <f>LOOKUP(B1692, Maps!A:A, Maps!B:B)</f>
        <v>Punchys Playhouse</v>
      </c>
    </row>
    <row r="1693" ht="15.75" customHeight="1">
      <c r="A1693" s="1">
        <v>57.0</v>
      </c>
      <c r="B1693" s="1">
        <v>9.0</v>
      </c>
      <c r="C1693" s="1">
        <v>94.0</v>
      </c>
      <c r="D1693" s="1">
        <v>69.0</v>
      </c>
      <c r="F1693" s="1" t="str">
        <f>LOOKUP(A1693, NPCs!A:A, NPCs!C:C)</f>
        <v>Ghast</v>
      </c>
      <c r="G1693" s="1" t="str">
        <f>LOOKUP(B1693, Maps!A:A, Maps!B:B)</f>
        <v>Punchys Playhouse</v>
      </c>
    </row>
    <row r="1694" ht="15.75" customHeight="1">
      <c r="A1694" s="1">
        <v>57.0</v>
      </c>
      <c r="B1694" s="1">
        <v>9.0</v>
      </c>
      <c r="C1694" s="1">
        <v>95.0</v>
      </c>
      <c r="D1694" s="1">
        <v>63.0</v>
      </c>
      <c r="F1694" s="1" t="str">
        <f>LOOKUP(A1694, NPCs!A:A, NPCs!C:C)</f>
        <v>Ghast</v>
      </c>
      <c r="G1694" s="1" t="str">
        <f>LOOKUP(B1694, Maps!A:A, Maps!B:B)</f>
        <v>Punchys Playhouse</v>
      </c>
    </row>
    <row r="1695" ht="15.75" customHeight="1">
      <c r="A1695" s="1">
        <v>57.0</v>
      </c>
      <c r="B1695" s="1">
        <v>9.0</v>
      </c>
      <c r="C1695" s="1">
        <v>88.0</v>
      </c>
      <c r="D1695" s="1">
        <v>63.0</v>
      </c>
      <c r="F1695" s="1" t="str">
        <f>LOOKUP(A1695, NPCs!A:A, NPCs!C:C)</f>
        <v>Ghast</v>
      </c>
      <c r="G1695" s="1" t="str">
        <f>LOOKUP(B1695, Maps!A:A, Maps!B:B)</f>
        <v>Punchys Playhouse</v>
      </c>
    </row>
    <row r="1696" ht="15.75" customHeight="1">
      <c r="A1696" s="1">
        <v>57.0</v>
      </c>
      <c r="B1696" s="1">
        <v>9.0</v>
      </c>
      <c r="C1696" s="1">
        <v>85.0</v>
      </c>
      <c r="D1696" s="1">
        <v>63.0</v>
      </c>
      <c r="F1696" s="1" t="str">
        <f>LOOKUP(A1696, NPCs!A:A, NPCs!C:C)</f>
        <v>Ghast</v>
      </c>
      <c r="G1696" s="1" t="str">
        <f>LOOKUP(B1696, Maps!A:A, Maps!B:B)</f>
        <v>Punchys Playhouse</v>
      </c>
    </row>
    <row r="1697" ht="15.75" customHeight="1">
      <c r="A1697" s="1">
        <v>57.0</v>
      </c>
      <c r="B1697" s="1">
        <v>9.0</v>
      </c>
      <c r="C1697" s="1">
        <v>84.0</v>
      </c>
      <c r="D1697" s="1">
        <v>60.0</v>
      </c>
      <c r="F1697" s="1" t="str">
        <f>LOOKUP(A1697, NPCs!A:A, NPCs!C:C)</f>
        <v>Ghast</v>
      </c>
      <c r="G1697" s="1" t="str">
        <f>LOOKUP(B1697, Maps!A:A, Maps!B:B)</f>
        <v>Punchys Playhouse</v>
      </c>
    </row>
    <row r="1698" ht="15.75" customHeight="1">
      <c r="A1698" s="1">
        <v>57.0</v>
      </c>
      <c r="B1698" s="1">
        <v>9.0</v>
      </c>
      <c r="C1698" s="1">
        <v>85.0</v>
      </c>
      <c r="D1698" s="1">
        <v>57.0</v>
      </c>
      <c r="F1698" s="1" t="str">
        <f>LOOKUP(A1698, NPCs!A:A, NPCs!C:C)</f>
        <v>Ghast</v>
      </c>
      <c r="G1698" s="1" t="str">
        <f>LOOKUP(B1698, Maps!A:A, Maps!B:B)</f>
        <v>Punchys Playhouse</v>
      </c>
    </row>
    <row r="1699" ht="15.75" customHeight="1">
      <c r="A1699" s="1">
        <v>57.0</v>
      </c>
      <c r="B1699" s="1">
        <v>9.0</v>
      </c>
      <c r="C1699" s="1">
        <v>91.0</v>
      </c>
      <c r="D1699" s="1">
        <v>54.0</v>
      </c>
      <c r="F1699" s="1" t="str">
        <f>LOOKUP(A1699, NPCs!A:A, NPCs!C:C)</f>
        <v>Ghast</v>
      </c>
      <c r="G1699" s="1" t="str">
        <f>LOOKUP(B1699, Maps!A:A, Maps!B:B)</f>
        <v>Punchys Playhouse</v>
      </c>
    </row>
    <row r="1700" ht="15.75" customHeight="1">
      <c r="A1700" s="1">
        <v>57.0</v>
      </c>
      <c r="B1700" s="1">
        <v>9.0</v>
      </c>
      <c r="C1700" s="1">
        <v>97.0</v>
      </c>
      <c r="D1700" s="1">
        <v>54.0</v>
      </c>
      <c r="F1700" s="1" t="str">
        <f>LOOKUP(A1700, NPCs!A:A, NPCs!C:C)</f>
        <v>Ghast</v>
      </c>
      <c r="G1700" s="1" t="str">
        <f>LOOKUP(B1700, Maps!A:A, Maps!B:B)</f>
        <v>Punchys Playhouse</v>
      </c>
    </row>
    <row r="1701" ht="15.75" customHeight="1">
      <c r="A1701" s="1">
        <v>57.0</v>
      </c>
      <c r="B1701" s="1">
        <v>9.0</v>
      </c>
      <c r="C1701" s="1">
        <v>79.0</v>
      </c>
      <c r="D1701" s="1">
        <v>51.0</v>
      </c>
      <c r="F1701" s="1" t="str">
        <f>LOOKUP(A1701, NPCs!A:A, NPCs!C:C)</f>
        <v>Ghast</v>
      </c>
      <c r="G1701" s="1" t="str">
        <f>LOOKUP(B1701, Maps!A:A, Maps!B:B)</f>
        <v>Punchys Playhouse</v>
      </c>
    </row>
    <row r="1702" ht="15.75" customHeight="1">
      <c r="A1702" s="1">
        <v>57.0</v>
      </c>
      <c r="B1702" s="1">
        <v>9.0</v>
      </c>
      <c r="C1702" s="1">
        <v>78.0</v>
      </c>
      <c r="D1702" s="1">
        <v>50.0</v>
      </c>
      <c r="F1702" s="1" t="str">
        <f>LOOKUP(A1702, NPCs!A:A, NPCs!C:C)</f>
        <v>Ghast</v>
      </c>
      <c r="G1702" s="1" t="str">
        <f>LOOKUP(B1702, Maps!A:A, Maps!B:B)</f>
        <v>Punchys Playhouse</v>
      </c>
    </row>
    <row r="1703" ht="15.75" customHeight="1">
      <c r="A1703" s="1">
        <v>57.0</v>
      </c>
      <c r="B1703" s="1">
        <v>9.0</v>
      </c>
      <c r="C1703" s="1">
        <v>79.0</v>
      </c>
      <c r="D1703" s="1">
        <v>49.0</v>
      </c>
      <c r="F1703" s="1" t="str">
        <f>LOOKUP(A1703, NPCs!A:A, NPCs!C:C)</f>
        <v>Ghast</v>
      </c>
      <c r="G1703" s="1" t="str">
        <f>LOOKUP(B1703, Maps!A:A, Maps!B:B)</f>
        <v>Punchys Playhouse</v>
      </c>
    </row>
    <row r="1704" ht="15.75" customHeight="1">
      <c r="A1704" s="1">
        <v>57.0</v>
      </c>
      <c r="B1704" s="1">
        <v>9.0</v>
      </c>
      <c r="C1704" s="1">
        <v>85.0</v>
      </c>
      <c r="D1704" s="1">
        <v>50.0</v>
      </c>
      <c r="F1704" s="1" t="str">
        <f>LOOKUP(A1704, NPCs!A:A, NPCs!C:C)</f>
        <v>Ghast</v>
      </c>
      <c r="G1704" s="1" t="str">
        <f>LOOKUP(B1704, Maps!A:A, Maps!B:B)</f>
        <v>Punchys Playhouse</v>
      </c>
    </row>
    <row r="1705" ht="15.75" customHeight="1">
      <c r="A1705" s="1">
        <v>57.0</v>
      </c>
      <c r="B1705" s="1">
        <v>9.0</v>
      </c>
      <c r="C1705" s="1">
        <v>91.0</v>
      </c>
      <c r="D1705" s="1">
        <v>49.0</v>
      </c>
      <c r="F1705" s="1" t="str">
        <f>LOOKUP(A1705, NPCs!A:A, NPCs!C:C)</f>
        <v>Ghast</v>
      </c>
      <c r="G1705" s="1" t="str">
        <f>LOOKUP(B1705, Maps!A:A, Maps!B:B)</f>
        <v>Punchys Playhouse</v>
      </c>
    </row>
    <row r="1706" ht="15.75" customHeight="1">
      <c r="A1706" s="1">
        <v>57.0</v>
      </c>
      <c r="B1706" s="1">
        <v>9.0</v>
      </c>
      <c r="C1706" s="1">
        <v>92.0</v>
      </c>
      <c r="D1706" s="1">
        <v>49.0</v>
      </c>
      <c r="F1706" s="1" t="str">
        <f>LOOKUP(A1706, NPCs!A:A, NPCs!C:C)</f>
        <v>Ghast</v>
      </c>
      <c r="G1706" s="1" t="str">
        <f>LOOKUP(B1706, Maps!A:A, Maps!B:B)</f>
        <v>Punchys Playhouse</v>
      </c>
    </row>
    <row r="1707" ht="15.75" customHeight="1">
      <c r="A1707" s="1">
        <v>57.0</v>
      </c>
      <c r="B1707" s="1">
        <v>9.0</v>
      </c>
      <c r="C1707" s="1">
        <v>97.0</v>
      </c>
      <c r="D1707" s="1">
        <v>49.0</v>
      </c>
      <c r="F1707" s="1" t="str">
        <f>LOOKUP(A1707, NPCs!A:A, NPCs!C:C)</f>
        <v>Ghast</v>
      </c>
      <c r="G1707" s="1" t="str">
        <f>LOOKUP(B1707, Maps!A:A, Maps!B:B)</f>
        <v>Punchys Playhouse</v>
      </c>
    </row>
    <row r="1708" ht="15.75" customHeight="1">
      <c r="A1708" s="1">
        <v>57.0</v>
      </c>
      <c r="B1708" s="1">
        <v>9.0</v>
      </c>
      <c r="C1708" s="1">
        <v>98.0</v>
      </c>
      <c r="D1708" s="1">
        <v>49.0</v>
      </c>
      <c r="F1708" s="1" t="str">
        <f>LOOKUP(A1708, NPCs!A:A, NPCs!C:C)</f>
        <v>Ghast</v>
      </c>
      <c r="G1708" s="1" t="str">
        <f>LOOKUP(B1708, Maps!A:A, Maps!B:B)</f>
        <v>Punchys Playhouse</v>
      </c>
    </row>
    <row r="1709" ht="15.75" customHeight="1">
      <c r="A1709" s="1">
        <v>57.0</v>
      </c>
      <c r="B1709" s="1">
        <v>9.0</v>
      </c>
      <c r="C1709" s="1">
        <v>69.0</v>
      </c>
      <c r="D1709" s="1">
        <v>46.0</v>
      </c>
      <c r="F1709" s="1" t="str">
        <f>LOOKUP(A1709, NPCs!A:A, NPCs!C:C)</f>
        <v>Ghast</v>
      </c>
      <c r="G1709" s="1" t="str">
        <f>LOOKUP(B1709, Maps!A:A, Maps!B:B)</f>
        <v>Punchys Playhouse</v>
      </c>
    </row>
    <row r="1710" ht="15.75" customHeight="1">
      <c r="A1710" s="1">
        <v>57.0</v>
      </c>
      <c r="B1710" s="1">
        <v>9.0</v>
      </c>
      <c r="C1710" s="1">
        <v>66.0</v>
      </c>
      <c r="D1710" s="1">
        <v>44.0</v>
      </c>
      <c r="F1710" s="1" t="str">
        <f>LOOKUP(A1710, NPCs!A:A, NPCs!C:C)</f>
        <v>Ghast</v>
      </c>
      <c r="G1710" s="1" t="str">
        <f>LOOKUP(B1710, Maps!A:A, Maps!B:B)</f>
        <v>Punchys Playhouse</v>
      </c>
    </row>
    <row r="1711" ht="15.75" customHeight="1">
      <c r="A1711" s="1">
        <v>57.0</v>
      </c>
      <c r="B1711" s="1">
        <v>9.0</v>
      </c>
      <c r="C1711" s="1">
        <v>63.0</v>
      </c>
      <c r="D1711" s="1">
        <v>43.0</v>
      </c>
      <c r="F1711" s="1" t="str">
        <f>LOOKUP(A1711, NPCs!A:A, NPCs!C:C)</f>
        <v>Ghast</v>
      </c>
      <c r="G1711" s="1" t="str">
        <f>LOOKUP(B1711, Maps!A:A, Maps!B:B)</f>
        <v>Punchys Playhouse</v>
      </c>
    </row>
    <row r="1712" ht="15.75" customHeight="1">
      <c r="A1712" s="1">
        <v>57.0</v>
      </c>
      <c r="B1712" s="1">
        <v>9.0</v>
      </c>
      <c r="C1712" s="1">
        <v>74.0</v>
      </c>
      <c r="D1712" s="1">
        <v>42.0</v>
      </c>
      <c r="F1712" s="1" t="str">
        <f>LOOKUP(A1712, NPCs!A:A, NPCs!C:C)</f>
        <v>Ghast</v>
      </c>
      <c r="G1712" s="1" t="str">
        <f>LOOKUP(B1712, Maps!A:A, Maps!B:B)</f>
        <v>Punchys Playhouse</v>
      </c>
    </row>
    <row r="1713" ht="15.75" customHeight="1">
      <c r="A1713" s="1">
        <v>57.0</v>
      </c>
      <c r="B1713" s="1">
        <v>9.0</v>
      </c>
      <c r="C1713" s="1">
        <v>71.0</v>
      </c>
      <c r="D1713" s="1">
        <v>10.0</v>
      </c>
      <c r="F1713" s="1" t="str">
        <f>LOOKUP(A1713, NPCs!A:A, NPCs!C:C)</f>
        <v>Ghast</v>
      </c>
      <c r="G1713" s="1" t="str">
        <f>LOOKUP(B1713, Maps!A:A, Maps!B:B)</f>
        <v>Punchys Playhouse</v>
      </c>
    </row>
    <row r="1714" ht="15.75" customHeight="1">
      <c r="A1714" s="1">
        <v>57.0</v>
      </c>
      <c r="B1714" s="1">
        <v>9.0</v>
      </c>
      <c r="C1714" s="1">
        <v>69.0</v>
      </c>
      <c r="D1714" s="1">
        <v>37.0</v>
      </c>
      <c r="F1714" s="1" t="str">
        <f>LOOKUP(A1714, NPCs!A:A, NPCs!C:C)</f>
        <v>Ghast</v>
      </c>
      <c r="G1714" s="1" t="str">
        <f>LOOKUP(B1714, Maps!A:A, Maps!B:B)</f>
        <v>Punchys Playhouse</v>
      </c>
    </row>
    <row r="1715" ht="15.75" customHeight="1">
      <c r="A1715" s="1">
        <v>57.0</v>
      </c>
      <c r="B1715" s="1">
        <v>9.0</v>
      </c>
      <c r="C1715" s="1">
        <v>77.0</v>
      </c>
      <c r="D1715" s="1">
        <v>33.0</v>
      </c>
      <c r="F1715" s="1" t="str">
        <f>LOOKUP(A1715, NPCs!A:A, NPCs!C:C)</f>
        <v>Ghast</v>
      </c>
      <c r="G1715" s="1" t="str">
        <f>LOOKUP(B1715, Maps!A:A, Maps!B:B)</f>
        <v>Punchys Playhouse</v>
      </c>
    </row>
    <row r="1716" ht="15.75" customHeight="1">
      <c r="A1716" s="1">
        <v>57.0</v>
      </c>
      <c r="B1716" s="1">
        <v>9.0</v>
      </c>
      <c r="C1716" s="1">
        <v>78.0</v>
      </c>
      <c r="D1716" s="1">
        <v>32.0</v>
      </c>
      <c r="F1716" s="1" t="str">
        <f>LOOKUP(A1716, NPCs!A:A, NPCs!C:C)</f>
        <v>Ghast</v>
      </c>
      <c r="G1716" s="1" t="str">
        <f>LOOKUP(B1716, Maps!A:A, Maps!B:B)</f>
        <v>Punchys Playhouse</v>
      </c>
    </row>
    <row r="1717" ht="15.75" customHeight="1">
      <c r="A1717" s="1">
        <v>57.0</v>
      </c>
      <c r="B1717" s="1">
        <v>9.0</v>
      </c>
      <c r="C1717" s="1">
        <v>94.0</v>
      </c>
      <c r="D1717" s="1">
        <v>43.0</v>
      </c>
      <c r="F1717" s="1" t="str">
        <f>LOOKUP(A1717, NPCs!A:A, NPCs!C:C)</f>
        <v>Ghast</v>
      </c>
      <c r="G1717" s="1" t="str">
        <f>LOOKUP(B1717, Maps!A:A, Maps!B:B)</f>
        <v>Punchys Playhouse</v>
      </c>
    </row>
    <row r="1718" ht="15.75" customHeight="1">
      <c r="A1718" s="1">
        <v>57.0</v>
      </c>
      <c r="B1718" s="1">
        <v>9.0</v>
      </c>
      <c r="C1718" s="1">
        <v>96.0</v>
      </c>
      <c r="D1718" s="1">
        <v>43.0</v>
      </c>
      <c r="F1718" s="1" t="str">
        <f>LOOKUP(A1718, NPCs!A:A, NPCs!C:C)</f>
        <v>Ghast</v>
      </c>
      <c r="G1718" s="1" t="str">
        <f>LOOKUP(B1718, Maps!A:A, Maps!B:B)</f>
        <v>Punchys Playhouse</v>
      </c>
    </row>
    <row r="1719" ht="15.75" customHeight="1">
      <c r="A1719" s="1">
        <v>57.0</v>
      </c>
      <c r="B1719" s="1">
        <v>9.0</v>
      </c>
      <c r="C1719" s="1">
        <v>95.0</v>
      </c>
      <c r="D1719" s="1">
        <v>42.0</v>
      </c>
      <c r="F1719" s="1" t="str">
        <f>LOOKUP(A1719, NPCs!A:A, NPCs!C:C)</f>
        <v>Ghast</v>
      </c>
      <c r="G1719" s="1" t="str">
        <f>LOOKUP(B1719, Maps!A:A, Maps!B:B)</f>
        <v>Punchys Playhouse</v>
      </c>
    </row>
    <row r="1720" ht="15.75" customHeight="1">
      <c r="A1720" s="1">
        <v>57.0</v>
      </c>
      <c r="B1720" s="1">
        <v>9.0</v>
      </c>
      <c r="C1720" s="1">
        <v>82.0</v>
      </c>
      <c r="D1720" s="1">
        <v>39.0</v>
      </c>
      <c r="F1720" s="1" t="str">
        <f>LOOKUP(A1720, NPCs!A:A, NPCs!C:C)</f>
        <v>Ghast</v>
      </c>
      <c r="G1720" s="1" t="str">
        <f>LOOKUP(B1720, Maps!A:A, Maps!B:B)</f>
        <v>Punchys Playhouse</v>
      </c>
    </row>
    <row r="1721" ht="15.75" customHeight="1">
      <c r="A1721" s="1">
        <v>57.0</v>
      </c>
      <c r="B1721" s="1">
        <v>9.0</v>
      </c>
      <c r="C1721" s="1">
        <v>83.0</v>
      </c>
      <c r="D1721" s="1">
        <v>39.0</v>
      </c>
      <c r="F1721" s="1" t="str">
        <f>LOOKUP(A1721, NPCs!A:A, NPCs!C:C)</f>
        <v>Ghast</v>
      </c>
      <c r="G1721" s="1" t="str">
        <f>LOOKUP(B1721, Maps!A:A, Maps!B:B)</f>
        <v>Punchys Playhouse</v>
      </c>
    </row>
    <row r="1722" ht="15.75" customHeight="1">
      <c r="A1722" s="1">
        <v>57.0</v>
      </c>
      <c r="B1722" s="1">
        <v>9.0</v>
      </c>
      <c r="C1722" s="1">
        <v>83.0</v>
      </c>
      <c r="D1722" s="1">
        <v>40.0</v>
      </c>
      <c r="F1722" s="1" t="str">
        <f>LOOKUP(A1722, NPCs!A:A, NPCs!C:C)</f>
        <v>Ghast</v>
      </c>
      <c r="G1722" s="1" t="str">
        <f>LOOKUP(B1722, Maps!A:A, Maps!B:B)</f>
        <v>Punchys Playhouse</v>
      </c>
    </row>
    <row r="1723" ht="15.75" customHeight="1">
      <c r="A1723" s="1">
        <v>57.0</v>
      </c>
      <c r="B1723" s="1">
        <v>9.0</v>
      </c>
      <c r="C1723" s="1">
        <v>97.0</v>
      </c>
      <c r="D1723" s="1">
        <v>36.0</v>
      </c>
      <c r="F1723" s="1" t="str">
        <f>LOOKUP(A1723, NPCs!A:A, NPCs!C:C)</f>
        <v>Ghast</v>
      </c>
      <c r="G1723" s="1" t="str">
        <f>LOOKUP(B1723, Maps!A:A, Maps!B:B)</f>
        <v>Punchys Playhouse</v>
      </c>
    </row>
    <row r="1724" ht="15.75" customHeight="1">
      <c r="A1724" s="1">
        <v>57.0</v>
      </c>
      <c r="B1724" s="1">
        <v>9.0</v>
      </c>
      <c r="C1724" s="1">
        <v>98.0</v>
      </c>
      <c r="D1724" s="1">
        <v>34.0</v>
      </c>
      <c r="F1724" s="1" t="str">
        <f>LOOKUP(A1724, NPCs!A:A, NPCs!C:C)</f>
        <v>Ghast</v>
      </c>
      <c r="G1724" s="1" t="str">
        <f>LOOKUP(B1724, Maps!A:A, Maps!B:B)</f>
        <v>Punchys Playhouse</v>
      </c>
    </row>
    <row r="1725" ht="15.75" customHeight="1">
      <c r="A1725" s="1">
        <v>57.0</v>
      </c>
      <c r="B1725" s="1">
        <v>9.0</v>
      </c>
      <c r="C1725" s="1">
        <v>94.0</v>
      </c>
      <c r="D1725" s="1">
        <v>34.0</v>
      </c>
      <c r="F1725" s="1" t="str">
        <f>LOOKUP(A1725, NPCs!A:A, NPCs!C:C)</f>
        <v>Ghast</v>
      </c>
      <c r="G1725" s="1" t="str">
        <f>LOOKUP(B1725, Maps!A:A, Maps!B:B)</f>
        <v>Punchys Playhouse</v>
      </c>
    </row>
    <row r="1726" ht="15.75" customHeight="1">
      <c r="A1726" s="1">
        <v>57.0</v>
      </c>
      <c r="B1726" s="1">
        <v>9.0</v>
      </c>
      <c r="C1726" s="1">
        <v>88.0</v>
      </c>
      <c r="D1726" s="1">
        <v>34.0</v>
      </c>
      <c r="F1726" s="1" t="str">
        <f>LOOKUP(A1726, NPCs!A:A, NPCs!C:C)</f>
        <v>Ghast</v>
      </c>
      <c r="G1726" s="1" t="str">
        <f>LOOKUP(B1726, Maps!A:A, Maps!B:B)</f>
        <v>Punchys Playhouse</v>
      </c>
    </row>
    <row r="1727" ht="15.75" customHeight="1">
      <c r="A1727" s="1">
        <v>57.0</v>
      </c>
      <c r="B1727" s="1">
        <v>9.0</v>
      </c>
      <c r="C1727" s="1">
        <v>89.0</v>
      </c>
      <c r="D1727" s="1">
        <v>36.0</v>
      </c>
      <c r="F1727" s="1" t="str">
        <f>LOOKUP(A1727, NPCs!A:A, NPCs!C:C)</f>
        <v>Ghast</v>
      </c>
      <c r="G1727" s="1" t="str">
        <f>LOOKUP(B1727, Maps!A:A, Maps!B:B)</f>
        <v>Punchys Playhouse</v>
      </c>
    </row>
    <row r="1728" ht="15.75" customHeight="1">
      <c r="A1728" s="1">
        <v>57.0</v>
      </c>
      <c r="B1728" s="1">
        <v>9.0</v>
      </c>
      <c r="C1728" s="1">
        <v>61.0</v>
      </c>
      <c r="D1728" s="1">
        <v>36.0</v>
      </c>
      <c r="F1728" s="1" t="str">
        <f>LOOKUP(A1728, NPCs!A:A, NPCs!C:C)</f>
        <v>Ghast</v>
      </c>
      <c r="G1728" s="1" t="str">
        <f>LOOKUP(B1728, Maps!A:A, Maps!B:B)</f>
        <v>Punchys Playhouse</v>
      </c>
    </row>
    <row r="1729" ht="15.75" customHeight="1">
      <c r="A1729" s="1">
        <v>57.0</v>
      </c>
      <c r="B1729" s="1">
        <v>9.0</v>
      </c>
      <c r="C1729" s="1">
        <v>61.0</v>
      </c>
      <c r="D1729" s="1">
        <v>35.0</v>
      </c>
      <c r="F1729" s="1" t="str">
        <f>LOOKUP(A1729, NPCs!A:A, NPCs!C:C)</f>
        <v>Ghast</v>
      </c>
      <c r="G1729" s="1" t="str">
        <f>LOOKUP(B1729, Maps!A:A, Maps!B:B)</f>
        <v>Punchys Playhouse</v>
      </c>
    </row>
    <row r="1730" ht="15.75" customHeight="1">
      <c r="A1730" s="1">
        <v>57.0</v>
      </c>
      <c r="B1730" s="1">
        <v>9.0</v>
      </c>
      <c r="C1730" s="1">
        <v>61.0</v>
      </c>
      <c r="D1730" s="1">
        <v>33.0</v>
      </c>
      <c r="F1730" s="1" t="str">
        <f>LOOKUP(A1730, NPCs!A:A, NPCs!C:C)</f>
        <v>Ghast</v>
      </c>
      <c r="G1730" s="1" t="str">
        <f>LOOKUP(B1730, Maps!A:A, Maps!B:B)</f>
        <v>Punchys Playhouse</v>
      </c>
    </row>
    <row r="1731" ht="15.75" customHeight="1">
      <c r="A1731" s="1">
        <v>57.0</v>
      </c>
      <c r="B1731" s="1">
        <v>9.0</v>
      </c>
      <c r="C1731" s="1">
        <v>61.0</v>
      </c>
      <c r="D1731" s="1">
        <v>32.0</v>
      </c>
      <c r="F1731" s="1" t="str">
        <f>LOOKUP(A1731, NPCs!A:A, NPCs!C:C)</f>
        <v>Ghast</v>
      </c>
      <c r="G1731" s="1" t="str">
        <f>LOOKUP(B1731, Maps!A:A, Maps!B:B)</f>
        <v>Punchys Playhouse</v>
      </c>
    </row>
    <row r="1732" ht="15.75" customHeight="1">
      <c r="A1732" s="1">
        <v>57.0</v>
      </c>
      <c r="B1732" s="1">
        <v>9.0</v>
      </c>
      <c r="C1732" s="1">
        <v>61.0</v>
      </c>
      <c r="D1732" s="1">
        <v>30.0</v>
      </c>
      <c r="F1732" s="1" t="str">
        <f>LOOKUP(A1732, NPCs!A:A, NPCs!C:C)</f>
        <v>Ghast</v>
      </c>
      <c r="G1732" s="1" t="str">
        <f>LOOKUP(B1732, Maps!A:A, Maps!B:B)</f>
        <v>Punchys Playhouse</v>
      </c>
    </row>
    <row r="1733" ht="15.75" customHeight="1">
      <c r="A1733" s="1">
        <v>57.0</v>
      </c>
      <c r="B1733" s="1">
        <v>9.0</v>
      </c>
      <c r="C1733" s="1">
        <v>61.0</v>
      </c>
      <c r="D1733" s="1">
        <v>29.0</v>
      </c>
      <c r="F1733" s="1" t="str">
        <f>LOOKUP(A1733, NPCs!A:A, NPCs!C:C)</f>
        <v>Ghast</v>
      </c>
      <c r="G1733" s="1" t="str">
        <f>LOOKUP(B1733, Maps!A:A, Maps!B:B)</f>
        <v>Punchys Playhouse</v>
      </c>
    </row>
    <row r="1734" ht="15.75" customHeight="1">
      <c r="A1734" s="1">
        <v>57.0</v>
      </c>
      <c r="B1734" s="1">
        <v>9.0</v>
      </c>
      <c r="C1734" s="1">
        <v>63.0</v>
      </c>
      <c r="D1734" s="1">
        <v>22.0</v>
      </c>
      <c r="F1734" s="1" t="str">
        <f>LOOKUP(A1734, NPCs!A:A, NPCs!C:C)</f>
        <v>Ghast</v>
      </c>
      <c r="G1734" s="1" t="str">
        <f>LOOKUP(B1734, Maps!A:A, Maps!B:B)</f>
        <v>Punchys Playhouse</v>
      </c>
    </row>
    <row r="1735" ht="15.75" customHeight="1">
      <c r="A1735" s="1">
        <v>57.0</v>
      </c>
      <c r="B1735" s="1">
        <v>9.0</v>
      </c>
      <c r="C1735" s="1">
        <v>97.0</v>
      </c>
      <c r="D1735" s="1">
        <v>22.0</v>
      </c>
      <c r="F1735" s="1" t="str">
        <f>LOOKUP(A1735, NPCs!A:A, NPCs!C:C)</f>
        <v>Ghast</v>
      </c>
      <c r="G1735" s="1" t="str">
        <f>LOOKUP(B1735, Maps!A:A, Maps!B:B)</f>
        <v>Punchys Playhouse</v>
      </c>
    </row>
    <row r="1736" ht="15.75" customHeight="1">
      <c r="A1736" s="1">
        <v>57.0</v>
      </c>
      <c r="B1736" s="1">
        <v>9.0</v>
      </c>
      <c r="C1736" s="1">
        <v>98.0</v>
      </c>
      <c r="D1736" s="1">
        <v>22.0</v>
      </c>
      <c r="F1736" s="1" t="str">
        <f>LOOKUP(A1736, NPCs!A:A, NPCs!C:C)</f>
        <v>Ghast</v>
      </c>
      <c r="G1736" s="1" t="str">
        <f>LOOKUP(B1736, Maps!A:A, Maps!B:B)</f>
        <v>Punchys Playhouse</v>
      </c>
    </row>
    <row r="1737" ht="15.75" customHeight="1">
      <c r="A1737" s="1">
        <v>57.0</v>
      </c>
      <c r="B1737" s="1">
        <v>9.0</v>
      </c>
      <c r="C1737" s="1">
        <v>98.0</v>
      </c>
      <c r="D1737" s="1">
        <v>28.0</v>
      </c>
      <c r="F1737" s="1" t="str">
        <f>LOOKUP(A1737, NPCs!A:A, NPCs!C:C)</f>
        <v>Ghast</v>
      </c>
      <c r="G1737" s="1" t="str">
        <f>LOOKUP(B1737, Maps!A:A, Maps!B:B)</f>
        <v>Punchys Playhouse</v>
      </c>
    </row>
    <row r="1738" ht="15.75" customHeight="1">
      <c r="A1738" s="1">
        <v>57.0</v>
      </c>
      <c r="B1738" s="1">
        <v>9.0</v>
      </c>
      <c r="C1738" s="1">
        <v>97.0</v>
      </c>
      <c r="D1738" s="1">
        <v>28.0</v>
      </c>
      <c r="F1738" s="1" t="str">
        <f>LOOKUP(A1738, NPCs!A:A, NPCs!C:C)</f>
        <v>Ghast</v>
      </c>
      <c r="G1738" s="1" t="str">
        <f>LOOKUP(B1738, Maps!A:A, Maps!B:B)</f>
        <v>Punchys Playhouse</v>
      </c>
    </row>
    <row r="1739" ht="15.75" customHeight="1">
      <c r="A1739" s="1">
        <v>57.0</v>
      </c>
      <c r="B1739" s="1">
        <v>9.0</v>
      </c>
      <c r="C1739" s="1">
        <v>91.0</v>
      </c>
      <c r="D1739" s="1">
        <v>28.0</v>
      </c>
      <c r="F1739" s="1" t="str">
        <f>LOOKUP(A1739, NPCs!A:A, NPCs!C:C)</f>
        <v>Ghast</v>
      </c>
      <c r="G1739" s="1" t="str">
        <f>LOOKUP(B1739, Maps!A:A, Maps!B:B)</f>
        <v>Punchys Playhouse</v>
      </c>
    </row>
    <row r="1740" ht="15.75" customHeight="1">
      <c r="A1740" s="1">
        <v>57.0</v>
      </c>
      <c r="B1740" s="1">
        <v>9.0</v>
      </c>
      <c r="C1740" s="1">
        <v>86.0</v>
      </c>
      <c r="D1740" s="1">
        <v>28.0</v>
      </c>
      <c r="F1740" s="1" t="str">
        <f>LOOKUP(A1740, NPCs!A:A, NPCs!C:C)</f>
        <v>Ghast</v>
      </c>
      <c r="G1740" s="1" t="str">
        <f>LOOKUP(B1740, Maps!A:A, Maps!B:B)</f>
        <v>Punchys Playhouse</v>
      </c>
    </row>
    <row r="1741" ht="15.75" customHeight="1">
      <c r="A1741" s="1">
        <v>57.0</v>
      </c>
      <c r="B1741" s="1">
        <v>9.0</v>
      </c>
      <c r="C1741" s="1">
        <v>92.0</v>
      </c>
      <c r="D1741" s="1">
        <v>24.0</v>
      </c>
      <c r="F1741" s="1" t="str">
        <f>LOOKUP(A1741, NPCs!A:A, NPCs!C:C)</f>
        <v>Ghast</v>
      </c>
      <c r="G1741" s="1" t="str">
        <f>LOOKUP(B1741, Maps!A:A, Maps!B:B)</f>
        <v>Punchys Playhouse</v>
      </c>
    </row>
    <row r="1742" ht="15.75" customHeight="1">
      <c r="A1742" s="1">
        <v>57.0</v>
      </c>
      <c r="B1742" s="1">
        <v>9.0</v>
      </c>
      <c r="C1742" s="1">
        <v>87.0</v>
      </c>
      <c r="D1742" s="1">
        <v>24.0</v>
      </c>
      <c r="F1742" s="1" t="str">
        <f>LOOKUP(A1742, NPCs!A:A, NPCs!C:C)</f>
        <v>Ghast</v>
      </c>
      <c r="G1742" s="1" t="str">
        <f>LOOKUP(B1742, Maps!A:A, Maps!B:B)</f>
        <v>Punchys Playhouse</v>
      </c>
    </row>
    <row r="1743" ht="15.75" customHeight="1">
      <c r="A1743" s="1">
        <v>57.0</v>
      </c>
      <c r="B1743" s="1">
        <v>9.0</v>
      </c>
      <c r="C1743" s="1">
        <v>81.0</v>
      </c>
      <c r="D1743" s="1">
        <v>24.0</v>
      </c>
      <c r="F1743" s="1" t="str">
        <f>LOOKUP(A1743, NPCs!A:A, NPCs!C:C)</f>
        <v>Ghast</v>
      </c>
      <c r="G1743" s="1" t="str">
        <f>LOOKUP(B1743, Maps!A:A, Maps!B:B)</f>
        <v>Punchys Playhouse</v>
      </c>
    </row>
    <row r="1744" ht="15.75" customHeight="1">
      <c r="A1744" s="1">
        <v>57.0</v>
      </c>
      <c r="B1744" s="1">
        <v>9.0</v>
      </c>
      <c r="C1744" s="1">
        <v>68.0</v>
      </c>
      <c r="D1744" s="1">
        <v>28.0</v>
      </c>
      <c r="F1744" s="1" t="str">
        <f>LOOKUP(A1744, NPCs!A:A, NPCs!C:C)</f>
        <v>Ghast</v>
      </c>
      <c r="G1744" s="1" t="str">
        <f>LOOKUP(B1744, Maps!A:A, Maps!B:B)</f>
        <v>Punchys Playhouse</v>
      </c>
    </row>
    <row r="1745" ht="15.75" customHeight="1">
      <c r="A1745" s="1">
        <v>57.0</v>
      </c>
      <c r="B1745" s="1">
        <v>9.0</v>
      </c>
      <c r="C1745" s="1">
        <v>72.0</v>
      </c>
      <c r="D1745" s="1">
        <v>28.0</v>
      </c>
      <c r="F1745" s="1" t="str">
        <f>LOOKUP(A1745, NPCs!A:A, NPCs!C:C)</f>
        <v>Ghast</v>
      </c>
      <c r="G1745" s="1" t="str">
        <f>LOOKUP(B1745, Maps!A:A, Maps!B:B)</f>
        <v>Punchys Playhouse</v>
      </c>
    </row>
    <row r="1746" ht="15.75" customHeight="1">
      <c r="A1746" s="1">
        <v>57.0</v>
      </c>
      <c r="B1746" s="1">
        <v>9.0</v>
      </c>
      <c r="C1746" s="1">
        <v>71.0</v>
      </c>
      <c r="D1746" s="1">
        <v>29.0</v>
      </c>
      <c r="F1746" s="1" t="str">
        <f>LOOKUP(A1746, NPCs!A:A, NPCs!C:C)</f>
        <v>Ghast</v>
      </c>
      <c r="G1746" s="1" t="str">
        <f>LOOKUP(B1746, Maps!A:A, Maps!B:B)</f>
        <v>Punchys Playhouse</v>
      </c>
    </row>
    <row r="1747" ht="15.75" customHeight="1">
      <c r="A1747" s="1">
        <v>57.0</v>
      </c>
      <c r="B1747" s="1">
        <v>9.0</v>
      </c>
      <c r="C1747" s="1">
        <v>80.0</v>
      </c>
      <c r="D1747" s="1">
        <v>7.0</v>
      </c>
      <c r="F1747" s="1" t="str">
        <f>LOOKUP(A1747, NPCs!A:A, NPCs!C:C)</f>
        <v>Ghast</v>
      </c>
      <c r="G1747" s="1" t="str">
        <f>LOOKUP(B1747, Maps!A:A, Maps!B:B)</f>
        <v>Punchys Playhouse</v>
      </c>
    </row>
    <row r="1748" ht="15.75" customHeight="1">
      <c r="A1748" s="1">
        <v>57.0</v>
      </c>
      <c r="B1748" s="1">
        <v>9.0</v>
      </c>
      <c r="C1748" s="1">
        <v>84.0</v>
      </c>
      <c r="D1748" s="1">
        <v>7.0</v>
      </c>
      <c r="F1748" s="1" t="str">
        <f>LOOKUP(A1748, NPCs!A:A, NPCs!C:C)</f>
        <v>Ghast</v>
      </c>
      <c r="G1748" s="1" t="str">
        <f>LOOKUP(B1748, Maps!A:A, Maps!B:B)</f>
        <v>Punchys Playhouse</v>
      </c>
    </row>
    <row r="1749" ht="15.75" customHeight="1">
      <c r="A1749" s="1">
        <v>57.0</v>
      </c>
      <c r="B1749" s="1">
        <v>9.0</v>
      </c>
      <c r="C1749" s="1">
        <v>77.0</v>
      </c>
      <c r="D1749" s="1">
        <v>9.0</v>
      </c>
      <c r="F1749" s="1" t="str">
        <f>LOOKUP(A1749, NPCs!A:A, NPCs!C:C)</f>
        <v>Ghast</v>
      </c>
      <c r="G1749" s="1" t="str">
        <f>LOOKUP(B1749, Maps!A:A, Maps!B:B)</f>
        <v>Punchys Playhouse</v>
      </c>
    </row>
    <row r="1750" ht="15.75" customHeight="1">
      <c r="A1750" s="1">
        <v>57.0</v>
      </c>
      <c r="B1750" s="1">
        <v>9.0</v>
      </c>
      <c r="C1750" s="1">
        <v>87.0</v>
      </c>
      <c r="D1750" s="1">
        <v>9.0</v>
      </c>
      <c r="F1750" s="1" t="str">
        <f>LOOKUP(A1750, NPCs!A:A, NPCs!C:C)</f>
        <v>Ghast</v>
      </c>
      <c r="G1750" s="1" t="str">
        <f>LOOKUP(B1750, Maps!A:A, Maps!B:B)</f>
        <v>Punchys Playhouse</v>
      </c>
    </row>
    <row r="1751" ht="15.75" customHeight="1">
      <c r="A1751" s="1">
        <v>57.0</v>
      </c>
      <c r="B1751" s="1">
        <v>9.0</v>
      </c>
      <c r="C1751" s="1">
        <v>75.0</v>
      </c>
      <c r="D1751" s="1">
        <v>12.0</v>
      </c>
      <c r="F1751" s="1" t="str">
        <f>LOOKUP(A1751, NPCs!A:A, NPCs!C:C)</f>
        <v>Ghast</v>
      </c>
      <c r="G1751" s="1" t="str">
        <f>LOOKUP(B1751, Maps!A:A, Maps!B:B)</f>
        <v>Punchys Playhouse</v>
      </c>
    </row>
    <row r="1752" ht="15.75" customHeight="1">
      <c r="A1752" s="1">
        <v>57.0</v>
      </c>
      <c r="B1752" s="1">
        <v>9.0</v>
      </c>
      <c r="C1752" s="1">
        <v>89.0</v>
      </c>
      <c r="D1752" s="1">
        <v>12.0</v>
      </c>
      <c r="F1752" s="1" t="str">
        <f>LOOKUP(A1752, NPCs!A:A, NPCs!C:C)</f>
        <v>Ghast</v>
      </c>
      <c r="G1752" s="1" t="str">
        <f>LOOKUP(B1752, Maps!A:A, Maps!B:B)</f>
        <v>Punchys Playhouse</v>
      </c>
    </row>
    <row r="1753" ht="15.75" customHeight="1">
      <c r="A1753" s="1">
        <v>57.0</v>
      </c>
      <c r="B1753" s="1">
        <v>9.0</v>
      </c>
      <c r="C1753" s="1">
        <v>77.0</v>
      </c>
      <c r="D1753" s="1">
        <v>15.0</v>
      </c>
      <c r="F1753" s="1" t="str">
        <f>LOOKUP(A1753, NPCs!A:A, NPCs!C:C)</f>
        <v>Ghast</v>
      </c>
      <c r="G1753" s="1" t="str">
        <f>LOOKUP(B1753, Maps!A:A, Maps!B:B)</f>
        <v>Punchys Playhouse</v>
      </c>
    </row>
    <row r="1754" ht="15.75" customHeight="1">
      <c r="A1754" s="1">
        <v>57.0</v>
      </c>
      <c r="B1754" s="1">
        <v>9.0</v>
      </c>
      <c r="C1754" s="1">
        <v>87.0</v>
      </c>
      <c r="D1754" s="1">
        <v>15.0</v>
      </c>
      <c r="F1754" s="1" t="str">
        <f>LOOKUP(A1754, NPCs!A:A, NPCs!C:C)</f>
        <v>Ghast</v>
      </c>
      <c r="G1754" s="1" t="str">
        <f>LOOKUP(B1754, Maps!A:A, Maps!B:B)</f>
        <v>Punchys Playhouse</v>
      </c>
    </row>
    <row r="1755" ht="15.75" customHeight="1">
      <c r="A1755" s="1">
        <v>57.0</v>
      </c>
      <c r="B1755" s="1">
        <v>9.0</v>
      </c>
      <c r="C1755" s="1">
        <v>84.0</v>
      </c>
      <c r="D1755" s="1">
        <v>17.0</v>
      </c>
      <c r="F1755" s="1" t="str">
        <f>LOOKUP(A1755, NPCs!A:A, NPCs!C:C)</f>
        <v>Ghast</v>
      </c>
      <c r="G1755" s="1" t="str">
        <f>LOOKUP(B1755, Maps!A:A, Maps!B:B)</f>
        <v>Punchys Playhouse</v>
      </c>
    </row>
    <row r="1756" ht="15.75" customHeight="1">
      <c r="A1756" s="1">
        <v>57.0</v>
      </c>
      <c r="B1756" s="1">
        <v>9.0</v>
      </c>
      <c r="C1756" s="1">
        <v>80.0</v>
      </c>
      <c r="D1756" s="1">
        <v>17.0</v>
      </c>
      <c r="F1756" s="1" t="str">
        <f>LOOKUP(A1756, NPCs!A:A, NPCs!C:C)</f>
        <v>Ghast</v>
      </c>
      <c r="G1756" s="1" t="str">
        <f>LOOKUP(B1756, Maps!A:A, Maps!B:B)</f>
        <v>Punchys Playhouse</v>
      </c>
    </row>
    <row r="1757" ht="15.75" customHeight="1">
      <c r="A1757" s="1">
        <v>58.0</v>
      </c>
      <c r="B1757" s="1">
        <v>9.0</v>
      </c>
      <c r="C1757" s="1">
        <v>41.0</v>
      </c>
      <c r="D1757" s="1">
        <v>5.0</v>
      </c>
      <c r="F1757" s="1" t="str">
        <f>LOOKUP(A1757, NPCs!A:A, NPCs!C:C)</f>
        <v>ImaBitStale</v>
      </c>
      <c r="G1757" s="1" t="str">
        <f>LOOKUP(B1757, Maps!A:A, Maps!B:B)</f>
        <v>Punchys Playhouse</v>
      </c>
    </row>
    <row r="1758" ht="15.75" customHeight="1">
      <c r="A1758" s="1">
        <v>59.0</v>
      </c>
      <c r="B1758" s="1">
        <v>9.0</v>
      </c>
      <c r="C1758" s="1">
        <v>92.0</v>
      </c>
      <c r="D1758" s="1">
        <v>93.0</v>
      </c>
      <c r="F1758" s="1" t="str">
        <f>LOOKUP(A1758, NPCs!A:A, NPCs!C:C)</f>
        <v>Ecto</v>
      </c>
      <c r="G1758" s="1" t="str">
        <f>LOOKUP(B1758, Maps!A:A, Maps!B:B)</f>
        <v>Punchys Playhouse</v>
      </c>
    </row>
    <row r="1759" ht="15.75" customHeight="1">
      <c r="A1759" s="1">
        <v>60.0</v>
      </c>
      <c r="B1759" s="1">
        <v>9.0</v>
      </c>
      <c r="C1759" s="1">
        <v>82.0</v>
      </c>
      <c r="D1759" s="1">
        <v>12.0</v>
      </c>
      <c r="F1759" s="1" t="str">
        <f>LOOKUP(A1759, NPCs!A:A, NPCs!C:C)</f>
        <v>Punchy</v>
      </c>
      <c r="G1759" s="1" t="str">
        <f>LOOKUP(B1759, Maps!A:A, Maps!B:B)</f>
        <v>Punchys Playhouse</v>
      </c>
    </row>
    <row r="1760" ht="15.75" customHeight="1">
      <c r="A1760" s="1">
        <v>74.0</v>
      </c>
      <c r="B1760" s="1">
        <v>13.0</v>
      </c>
      <c r="C1760" s="1">
        <v>91.0</v>
      </c>
      <c r="D1760" s="1">
        <v>91.0</v>
      </c>
      <c r="F1760" s="1" t="str">
        <f>LOOKUP(A1760, NPCs!A:A, NPCs!C:C)</f>
        <v>One with Head Thingy</v>
      </c>
      <c r="G1760" s="1" t="str">
        <f>LOOKUP(B1760, Maps!A:A, Maps!B:B)</f>
        <v>Hay and Frays Stronghold</v>
      </c>
    </row>
    <row r="1761" ht="15.75" customHeight="1">
      <c r="A1761" s="1">
        <v>74.0</v>
      </c>
      <c r="B1761" s="1">
        <v>13.0</v>
      </c>
      <c r="C1761" s="1">
        <v>91.0</v>
      </c>
      <c r="D1761" s="1">
        <v>89.0</v>
      </c>
      <c r="F1761" s="1" t="str">
        <f>LOOKUP(A1761, NPCs!A:A, NPCs!C:C)</f>
        <v>One with Head Thingy</v>
      </c>
      <c r="G1761" s="1" t="str">
        <f>LOOKUP(B1761, Maps!A:A, Maps!B:B)</f>
        <v>Hay and Frays Stronghold</v>
      </c>
    </row>
    <row r="1762" ht="15.75" customHeight="1">
      <c r="A1762" s="1">
        <v>74.0</v>
      </c>
      <c r="B1762" s="1">
        <v>13.0</v>
      </c>
      <c r="C1762" s="1">
        <v>91.0</v>
      </c>
      <c r="D1762" s="1">
        <v>87.0</v>
      </c>
      <c r="F1762" s="1" t="str">
        <f>LOOKUP(A1762, NPCs!A:A, NPCs!C:C)</f>
        <v>One with Head Thingy</v>
      </c>
      <c r="G1762" s="1" t="str">
        <f>LOOKUP(B1762, Maps!A:A, Maps!B:B)</f>
        <v>Hay and Frays Stronghold</v>
      </c>
    </row>
    <row r="1763" ht="15.75" customHeight="1">
      <c r="A1763" s="1">
        <v>74.0</v>
      </c>
      <c r="B1763" s="1">
        <v>13.0</v>
      </c>
      <c r="C1763" s="1">
        <v>96.0</v>
      </c>
      <c r="D1763" s="1">
        <v>87.0</v>
      </c>
      <c r="F1763" s="1" t="str">
        <f>LOOKUP(A1763, NPCs!A:A, NPCs!C:C)</f>
        <v>One with Head Thingy</v>
      </c>
      <c r="G1763" s="1" t="str">
        <f>LOOKUP(B1763, Maps!A:A, Maps!B:B)</f>
        <v>Hay and Frays Stronghold</v>
      </c>
    </row>
    <row r="1764" ht="15.75" customHeight="1">
      <c r="A1764" s="1">
        <v>74.0</v>
      </c>
      <c r="B1764" s="1">
        <v>13.0</v>
      </c>
      <c r="C1764" s="1">
        <v>96.0</v>
      </c>
      <c r="D1764" s="1">
        <v>89.0</v>
      </c>
      <c r="F1764" s="1" t="str">
        <f>LOOKUP(A1764, NPCs!A:A, NPCs!C:C)</f>
        <v>One with Head Thingy</v>
      </c>
      <c r="G1764" s="1" t="str">
        <f>LOOKUP(B1764, Maps!A:A, Maps!B:B)</f>
        <v>Hay and Frays Stronghold</v>
      </c>
    </row>
    <row r="1765" ht="15.75" customHeight="1">
      <c r="A1765" s="1">
        <v>74.0</v>
      </c>
      <c r="B1765" s="1">
        <v>13.0</v>
      </c>
      <c r="C1765" s="1">
        <v>96.0</v>
      </c>
      <c r="D1765" s="1">
        <v>91.0</v>
      </c>
      <c r="F1765" s="1" t="str">
        <f>LOOKUP(A1765, NPCs!A:A, NPCs!C:C)</f>
        <v>One with Head Thingy</v>
      </c>
      <c r="G1765" s="1" t="str">
        <f>LOOKUP(B1765, Maps!A:A, Maps!B:B)</f>
        <v>Hay and Frays Stronghold</v>
      </c>
    </row>
    <row r="1766" ht="15.75" customHeight="1">
      <c r="A1766" s="1">
        <v>74.0</v>
      </c>
      <c r="B1766" s="1">
        <v>13.0</v>
      </c>
      <c r="C1766" s="1">
        <v>92.0</v>
      </c>
      <c r="D1766" s="1">
        <v>83.0</v>
      </c>
      <c r="F1766" s="1" t="str">
        <f>LOOKUP(A1766, NPCs!A:A, NPCs!C:C)</f>
        <v>One with Head Thingy</v>
      </c>
      <c r="G1766" s="1" t="str">
        <f>LOOKUP(B1766, Maps!A:A, Maps!B:B)</f>
        <v>Hay and Frays Stronghold</v>
      </c>
    </row>
    <row r="1767" ht="15.75" customHeight="1">
      <c r="A1767" s="1">
        <v>74.0</v>
      </c>
      <c r="B1767" s="1">
        <v>13.0</v>
      </c>
      <c r="C1767" s="1">
        <v>95.0</v>
      </c>
      <c r="D1767" s="1">
        <v>83.0</v>
      </c>
      <c r="F1767" s="1" t="str">
        <f>LOOKUP(A1767, NPCs!A:A, NPCs!C:C)</f>
        <v>One with Head Thingy</v>
      </c>
      <c r="G1767" s="1" t="str">
        <f>LOOKUP(B1767, Maps!A:A, Maps!B:B)</f>
        <v>Hay and Frays Stronghold</v>
      </c>
    </row>
    <row r="1768" ht="15.75" customHeight="1">
      <c r="A1768" s="1">
        <v>74.0</v>
      </c>
      <c r="B1768" s="1">
        <v>13.0</v>
      </c>
      <c r="C1768" s="1">
        <v>95.0</v>
      </c>
      <c r="D1768" s="1">
        <v>80.0</v>
      </c>
      <c r="F1768" s="1" t="str">
        <f>LOOKUP(A1768, NPCs!A:A, NPCs!C:C)</f>
        <v>One with Head Thingy</v>
      </c>
      <c r="G1768" s="1" t="str">
        <f>LOOKUP(B1768, Maps!A:A, Maps!B:B)</f>
        <v>Hay and Frays Stronghold</v>
      </c>
    </row>
    <row r="1769" ht="15.75" customHeight="1">
      <c r="A1769" s="1">
        <v>74.0</v>
      </c>
      <c r="B1769" s="1">
        <v>13.0</v>
      </c>
      <c r="C1769" s="1">
        <v>92.0</v>
      </c>
      <c r="D1769" s="1">
        <v>80.0</v>
      </c>
      <c r="F1769" s="1" t="str">
        <f>LOOKUP(A1769, NPCs!A:A, NPCs!C:C)</f>
        <v>One with Head Thingy</v>
      </c>
      <c r="G1769" s="1" t="str">
        <f>LOOKUP(B1769, Maps!A:A, Maps!B:B)</f>
        <v>Hay and Frays Stronghold</v>
      </c>
    </row>
    <row r="1770" ht="15.75" customHeight="1">
      <c r="A1770" s="1">
        <v>74.0</v>
      </c>
      <c r="B1770" s="1">
        <v>13.0</v>
      </c>
      <c r="C1770" s="1">
        <v>93.0</v>
      </c>
      <c r="D1770" s="1">
        <v>76.0</v>
      </c>
      <c r="F1770" s="1" t="str">
        <f>LOOKUP(A1770, NPCs!A:A, NPCs!C:C)</f>
        <v>One with Head Thingy</v>
      </c>
      <c r="G1770" s="1" t="str">
        <f>LOOKUP(B1770, Maps!A:A, Maps!B:B)</f>
        <v>Hay and Frays Stronghold</v>
      </c>
    </row>
    <row r="1771" ht="15.75" customHeight="1">
      <c r="A1771" s="1">
        <v>74.0</v>
      </c>
      <c r="B1771" s="1">
        <v>13.0</v>
      </c>
      <c r="C1771" s="1">
        <v>92.0</v>
      </c>
      <c r="D1771" s="1">
        <v>75.0</v>
      </c>
      <c r="F1771" s="1" t="str">
        <f>LOOKUP(A1771, NPCs!A:A, NPCs!C:C)</f>
        <v>One with Head Thingy</v>
      </c>
      <c r="G1771" s="1" t="str">
        <f>LOOKUP(B1771, Maps!A:A, Maps!B:B)</f>
        <v>Hay and Frays Stronghold</v>
      </c>
    </row>
    <row r="1772" ht="15.75" customHeight="1">
      <c r="A1772" s="1">
        <v>74.0</v>
      </c>
      <c r="B1772" s="1">
        <v>13.0</v>
      </c>
      <c r="C1772" s="1">
        <v>94.0</v>
      </c>
      <c r="D1772" s="1">
        <v>75.0</v>
      </c>
      <c r="F1772" s="1" t="str">
        <f>LOOKUP(A1772, NPCs!A:A, NPCs!C:C)</f>
        <v>One with Head Thingy</v>
      </c>
      <c r="G1772" s="1" t="str">
        <f>LOOKUP(B1772, Maps!A:A, Maps!B:B)</f>
        <v>Hay and Frays Stronghold</v>
      </c>
    </row>
    <row r="1773" ht="15.75" customHeight="1">
      <c r="A1773" s="1">
        <v>74.0</v>
      </c>
      <c r="B1773" s="1">
        <v>13.0</v>
      </c>
      <c r="C1773" s="1">
        <v>85.0</v>
      </c>
      <c r="D1773" s="1">
        <v>77.0</v>
      </c>
      <c r="F1773" s="1" t="str">
        <f>LOOKUP(A1773, NPCs!A:A, NPCs!C:C)</f>
        <v>One with Head Thingy</v>
      </c>
      <c r="G1773" s="1" t="str">
        <f>LOOKUP(B1773, Maps!A:A, Maps!B:B)</f>
        <v>Hay and Frays Stronghold</v>
      </c>
    </row>
    <row r="1774" ht="15.75" customHeight="1">
      <c r="A1774" s="1">
        <v>74.0</v>
      </c>
      <c r="B1774" s="1">
        <v>13.0</v>
      </c>
      <c r="C1774" s="1">
        <v>82.0</v>
      </c>
      <c r="D1774" s="1">
        <v>76.0</v>
      </c>
      <c r="F1774" s="1" t="str">
        <f>LOOKUP(A1774, NPCs!A:A, NPCs!C:C)</f>
        <v>One with Head Thingy</v>
      </c>
      <c r="G1774" s="1" t="str">
        <f>LOOKUP(B1774, Maps!A:A, Maps!B:B)</f>
        <v>Hay and Frays Stronghold</v>
      </c>
    </row>
    <row r="1775" ht="15.75" customHeight="1">
      <c r="A1775" s="1">
        <v>74.0</v>
      </c>
      <c r="B1775" s="1">
        <v>13.0</v>
      </c>
      <c r="C1775" s="1">
        <v>81.0</v>
      </c>
      <c r="D1775" s="1">
        <v>83.0</v>
      </c>
      <c r="F1775" s="1" t="str">
        <f>LOOKUP(A1775, NPCs!A:A, NPCs!C:C)</f>
        <v>One with Head Thingy</v>
      </c>
      <c r="G1775" s="1" t="str">
        <f>LOOKUP(B1775, Maps!A:A, Maps!B:B)</f>
        <v>Hay and Frays Stronghold</v>
      </c>
    </row>
    <row r="1776" ht="15.75" customHeight="1">
      <c r="A1776" s="1">
        <v>74.0</v>
      </c>
      <c r="B1776" s="1">
        <v>13.0</v>
      </c>
      <c r="C1776" s="1">
        <v>81.0</v>
      </c>
      <c r="D1776" s="1">
        <v>85.0</v>
      </c>
      <c r="F1776" s="1" t="str">
        <f>LOOKUP(A1776, NPCs!A:A, NPCs!C:C)</f>
        <v>One with Head Thingy</v>
      </c>
      <c r="G1776" s="1" t="str">
        <f>LOOKUP(B1776, Maps!A:A, Maps!B:B)</f>
        <v>Hay and Frays Stronghold</v>
      </c>
    </row>
    <row r="1777" ht="15.75" customHeight="1">
      <c r="A1777" s="1">
        <v>74.0</v>
      </c>
      <c r="B1777" s="1">
        <v>13.0</v>
      </c>
      <c r="C1777" s="1">
        <v>85.0</v>
      </c>
      <c r="D1777" s="1">
        <v>87.0</v>
      </c>
      <c r="F1777" s="1" t="str">
        <f>LOOKUP(A1777, NPCs!A:A, NPCs!C:C)</f>
        <v>One with Head Thingy</v>
      </c>
      <c r="G1777" s="1" t="str">
        <f>LOOKUP(B1777, Maps!A:A, Maps!B:B)</f>
        <v>Hay and Frays Stronghold</v>
      </c>
    </row>
    <row r="1778" ht="15.75" customHeight="1">
      <c r="A1778" s="1">
        <v>74.0</v>
      </c>
      <c r="B1778" s="1">
        <v>13.0</v>
      </c>
      <c r="C1778" s="1">
        <v>71.0</v>
      </c>
      <c r="D1778" s="1">
        <v>86.0</v>
      </c>
      <c r="F1778" s="1" t="str">
        <f>LOOKUP(A1778, NPCs!A:A, NPCs!C:C)</f>
        <v>One with Head Thingy</v>
      </c>
      <c r="G1778" s="1" t="str">
        <f>LOOKUP(B1778, Maps!A:A, Maps!B:B)</f>
        <v>Hay and Frays Stronghold</v>
      </c>
    </row>
    <row r="1779" ht="15.75" customHeight="1">
      <c r="A1779" s="1">
        <v>74.0</v>
      </c>
      <c r="B1779" s="1">
        <v>13.0</v>
      </c>
      <c r="C1779" s="1">
        <v>72.0</v>
      </c>
      <c r="D1779" s="1">
        <v>86.0</v>
      </c>
      <c r="F1779" s="1" t="str">
        <f>LOOKUP(A1779, NPCs!A:A, NPCs!C:C)</f>
        <v>One with Head Thingy</v>
      </c>
      <c r="G1779" s="1" t="str">
        <f>LOOKUP(B1779, Maps!A:A, Maps!B:B)</f>
        <v>Hay and Frays Stronghold</v>
      </c>
    </row>
    <row r="1780" ht="15.75" customHeight="1">
      <c r="A1780" s="1">
        <v>74.0</v>
      </c>
      <c r="B1780" s="1">
        <v>13.0</v>
      </c>
      <c r="C1780" s="1">
        <v>72.0</v>
      </c>
      <c r="D1780" s="1">
        <v>85.0</v>
      </c>
      <c r="F1780" s="1" t="str">
        <f>LOOKUP(A1780, NPCs!A:A, NPCs!C:C)</f>
        <v>One with Head Thingy</v>
      </c>
      <c r="G1780" s="1" t="str">
        <f>LOOKUP(B1780, Maps!A:A, Maps!B:B)</f>
        <v>Hay and Frays Stronghold</v>
      </c>
    </row>
    <row r="1781" ht="15.75" customHeight="1">
      <c r="A1781" s="1">
        <v>74.0</v>
      </c>
      <c r="B1781" s="1">
        <v>13.0</v>
      </c>
      <c r="C1781" s="1">
        <v>67.0</v>
      </c>
      <c r="D1781" s="1">
        <v>78.0</v>
      </c>
      <c r="F1781" s="1" t="str">
        <f>LOOKUP(A1781, NPCs!A:A, NPCs!C:C)</f>
        <v>One with Head Thingy</v>
      </c>
      <c r="G1781" s="1" t="str">
        <f>LOOKUP(B1781, Maps!A:A, Maps!B:B)</f>
        <v>Hay and Frays Stronghold</v>
      </c>
    </row>
    <row r="1782" ht="15.75" customHeight="1">
      <c r="A1782" s="1">
        <v>74.0</v>
      </c>
      <c r="B1782" s="1">
        <v>13.0</v>
      </c>
      <c r="C1782" s="1">
        <v>66.0</v>
      </c>
      <c r="D1782" s="1">
        <v>77.0</v>
      </c>
      <c r="F1782" s="1" t="str">
        <f>LOOKUP(A1782, NPCs!A:A, NPCs!C:C)</f>
        <v>One with Head Thingy</v>
      </c>
      <c r="G1782" s="1" t="str">
        <f>LOOKUP(B1782, Maps!A:A, Maps!B:B)</f>
        <v>Hay and Frays Stronghold</v>
      </c>
    </row>
    <row r="1783" ht="15.75" customHeight="1">
      <c r="A1783" s="1">
        <v>74.0</v>
      </c>
      <c r="B1783" s="1">
        <v>13.0</v>
      </c>
      <c r="C1783" s="1">
        <v>67.0</v>
      </c>
      <c r="D1783" s="1">
        <v>76.0</v>
      </c>
      <c r="F1783" s="1" t="str">
        <f>LOOKUP(A1783, NPCs!A:A, NPCs!C:C)</f>
        <v>One with Head Thingy</v>
      </c>
      <c r="G1783" s="1" t="str">
        <f>LOOKUP(B1783, Maps!A:A, Maps!B:B)</f>
        <v>Hay and Frays Stronghold</v>
      </c>
    </row>
    <row r="1784" ht="15.75" customHeight="1">
      <c r="A1784" s="1">
        <v>74.0</v>
      </c>
      <c r="B1784" s="1">
        <v>13.0</v>
      </c>
      <c r="C1784" s="1">
        <v>58.0</v>
      </c>
      <c r="D1784" s="1">
        <v>79.0</v>
      </c>
      <c r="F1784" s="1" t="str">
        <f>LOOKUP(A1784, NPCs!A:A, NPCs!C:C)</f>
        <v>One with Head Thingy</v>
      </c>
      <c r="G1784" s="1" t="str">
        <f>LOOKUP(B1784, Maps!A:A, Maps!B:B)</f>
        <v>Hay and Frays Stronghold</v>
      </c>
    </row>
    <row r="1785" ht="15.75" customHeight="1">
      <c r="A1785" s="1">
        <v>74.0</v>
      </c>
      <c r="B1785" s="1">
        <v>13.0</v>
      </c>
      <c r="C1785" s="1">
        <v>57.0</v>
      </c>
      <c r="D1785" s="1">
        <v>80.0</v>
      </c>
      <c r="F1785" s="1" t="str">
        <f>LOOKUP(A1785, NPCs!A:A, NPCs!C:C)</f>
        <v>One with Head Thingy</v>
      </c>
      <c r="G1785" s="1" t="str">
        <f>LOOKUP(B1785, Maps!A:A, Maps!B:B)</f>
        <v>Hay and Frays Stronghold</v>
      </c>
    </row>
    <row r="1786" ht="15.75" customHeight="1">
      <c r="A1786" s="1">
        <v>74.0</v>
      </c>
      <c r="B1786" s="1">
        <v>13.0</v>
      </c>
      <c r="C1786" s="1">
        <v>59.0</v>
      </c>
      <c r="D1786" s="1">
        <v>80.0</v>
      </c>
      <c r="F1786" s="1" t="str">
        <f>LOOKUP(A1786, NPCs!A:A, NPCs!C:C)</f>
        <v>One with Head Thingy</v>
      </c>
      <c r="G1786" s="1" t="str">
        <f>LOOKUP(B1786, Maps!A:A, Maps!B:B)</f>
        <v>Hay and Frays Stronghold</v>
      </c>
    </row>
    <row r="1787" ht="15.75" customHeight="1">
      <c r="A1787" s="1">
        <v>74.0</v>
      </c>
      <c r="B1787" s="1">
        <v>13.0</v>
      </c>
      <c r="C1787" s="1">
        <v>50.0</v>
      </c>
      <c r="D1787" s="1">
        <v>87.0</v>
      </c>
      <c r="F1787" s="1" t="str">
        <f>LOOKUP(A1787, NPCs!A:A, NPCs!C:C)</f>
        <v>One with Head Thingy</v>
      </c>
      <c r="G1787" s="1" t="str">
        <f>LOOKUP(B1787, Maps!A:A, Maps!B:B)</f>
        <v>Hay and Frays Stronghold</v>
      </c>
    </row>
    <row r="1788" ht="15.75" customHeight="1">
      <c r="A1788" s="1">
        <v>74.0</v>
      </c>
      <c r="B1788" s="1">
        <v>13.0</v>
      </c>
      <c r="C1788" s="1">
        <v>50.0</v>
      </c>
      <c r="D1788" s="1">
        <v>89.0</v>
      </c>
      <c r="F1788" s="1" t="str">
        <f>LOOKUP(A1788, NPCs!A:A, NPCs!C:C)</f>
        <v>One with Head Thingy</v>
      </c>
      <c r="G1788" s="1" t="str">
        <f>LOOKUP(B1788, Maps!A:A, Maps!B:B)</f>
        <v>Hay and Frays Stronghold</v>
      </c>
    </row>
    <row r="1789" ht="15.75" customHeight="1">
      <c r="A1789" s="1">
        <v>74.0</v>
      </c>
      <c r="B1789" s="1">
        <v>13.0</v>
      </c>
      <c r="C1789" s="1">
        <v>49.0</v>
      </c>
      <c r="D1789" s="1">
        <v>88.0</v>
      </c>
      <c r="F1789" s="1" t="str">
        <f>LOOKUP(A1789, NPCs!A:A, NPCs!C:C)</f>
        <v>One with Head Thingy</v>
      </c>
      <c r="G1789" s="1" t="str">
        <f>LOOKUP(B1789, Maps!A:A, Maps!B:B)</f>
        <v>Hay and Frays Stronghold</v>
      </c>
    </row>
    <row r="1790" ht="15.75" customHeight="1">
      <c r="A1790" s="1">
        <v>74.0</v>
      </c>
      <c r="B1790" s="1">
        <v>13.0</v>
      </c>
      <c r="C1790" s="1">
        <v>31.0</v>
      </c>
      <c r="D1790" s="1">
        <v>89.0</v>
      </c>
      <c r="F1790" s="1" t="str">
        <f>LOOKUP(A1790, NPCs!A:A, NPCs!C:C)</f>
        <v>One with Head Thingy</v>
      </c>
      <c r="G1790" s="1" t="str">
        <f>LOOKUP(B1790, Maps!A:A, Maps!B:B)</f>
        <v>Hay and Frays Stronghold</v>
      </c>
    </row>
    <row r="1791" ht="15.75" customHeight="1">
      <c r="A1791" s="1">
        <v>74.0</v>
      </c>
      <c r="B1791" s="1">
        <v>13.0</v>
      </c>
      <c r="C1791" s="1">
        <v>38.0</v>
      </c>
      <c r="D1791" s="1">
        <v>89.0</v>
      </c>
      <c r="F1791" s="1" t="str">
        <f>LOOKUP(A1791, NPCs!A:A, NPCs!C:C)</f>
        <v>One with Head Thingy</v>
      </c>
      <c r="G1791" s="1" t="str">
        <f>LOOKUP(B1791, Maps!A:A, Maps!B:B)</f>
        <v>Hay and Frays Stronghold</v>
      </c>
    </row>
    <row r="1792" ht="15.75" customHeight="1">
      <c r="A1792" s="1">
        <v>74.0</v>
      </c>
      <c r="B1792" s="1">
        <v>13.0</v>
      </c>
      <c r="C1792" s="1">
        <v>31.0</v>
      </c>
      <c r="D1792" s="1">
        <v>87.0</v>
      </c>
      <c r="F1792" s="1" t="str">
        <f>LOOKUP(A1792, NPCs!A:A, NPCs!C:C)</f>
        <v>One with Head Thingy</v>
      </c>
      <c r="G1792" s="1" t="str">
        <f>LOOKUP(B1792, Maps!A:A, Maps!B:B)</f>
        <v>Hay and Frays Stronghold</v>
      </c>
    </row>
    <row r="1793" ht="15.75" customHeight="1">
      <c r="A1793" s="1">
        <v>74.0</v>
      </c>
      <c r="B1793" s="1">
        <v>13.0</v>
      </c>
      <c r="C1793" s="1">
        <v>38.0</v>
      </c>
      <c r="D1793" s="1">
        <v>87.0</v>
      </c>
      <c r="F1793" s="1" t="str">
        <f>LOOKUP(A1793, NPCs!A:A, NPCs!C:C)</f>
        <v>One with Head Thingy</v>
      </c>
      <c r="G1793" s="1" t="str">
        <f>LOOKUP(B1793, Maps!A:A, Maps!B:B)</f>
        <v>Hay and Frays Stronghold</v>
      </c>
    </row>
    <row r="1794" ht="15.75" customHeight="1">
      <c r="A1794" s="1">
        <v>74.0</v>
      </c>
      <c r="B1794" s="1">
        <v>13.0</v>
      </c>
      <c r="C1794" s="1">
        <v>18.0</v>
      </c>
      <c r="D1794" s="1">
        <v>89.0</v>
      </c>
      <c r="F1794" s="1" t="str">
        <f>LOOKUP(A1794, NPCs!A:A, NPCs!C:C)</f>
        <v>One with Head Thingy</v>
      </c>
      <c r="G1794" s="1" t="str">
        <f>LOOKUP(B1794, Maps!A:A, Maps!B:B)</f>
        <v>Hay and Frays Stronghold</v>
      </c>
    </row>
    <row r="1795" ht="15.75" customHeight="1">
      <c r="A1795" s="1">
        <v>74.0</v>
      </c>
      <c r="B1795" s="1">
        <v>13.0</v>
      </c>
      <c r="C1795" s="1">
        <v>18.0</v>
      </c>
      <c r="D1795" s="1">
        <v>87.0</v>
      </c>
      <c r="F1795" s="1" t="str">
        <f>LOOKUP(A1795, NPCs!A:A, NPCs!C:C)</f>
        <v>One with Head Thingy</v>
      </c>
      <c r="G1795" s="1" t="str">
        <f>LOOKUP(B1795, Maps!A:A, Maps!B:B)</f>
        <v>Hay and Frays Stronghold</v>
      </c>
    </row>
    <row r="1796" ht="15.75" customHeight="1">
      <c r="A1796" s="1">
        <v>74.0</v>
      </c>
      <c r="B1796" s="1">
        <v>13.0</v>
      </c>
      <c r="C1796" s="1">
        <v>16.0</v>
      </c>
      <c r="D1796" s="1">
        <v>88.0</v>
      </c>
      <c r="F1796" s="1" t="str">
        <f>LOOKUP(A1796, NPCs!A:A, NPCs!C:C)</f>
        <v>One with Head Thingy</v>
      </c>
      <c r="G1796" s="1" t="str">
        <f>LOOKUP(B1796, Maps!A:A, Maps!B:B)</f>
        <v>Hay and Frays Stronghold</v>
      </c>
    </row>
    <row r="1797" ht="15.75" customHeight="1">
      <c r="A1797" s="1">
        <v>74.0</v>
      </c>
      <c r="B1797" s="1">
        <v>13.0</v>
      </c>
      <c r="C1797" s="1">
        <v>9.0</v>
      </c>
      <c r="D1797" s="1">
        <v>89.0</v>
      </c>
      <c r="F1797" s="1" t="str">
        <f>LOOKUP(A1797, NPCs!A:A, NPCs!C:C)</f>
        <v>One with Head Thingy</v>
      </c>
      <c r="G1797" s="1" t="str">
        <f>LOOKUP(B1797, Maps!A:A, Maps!B:B)</f>
        <v>Hay and Frays Stronghold</v>
      </c>
    </row>
    <row r="1798" ht="15.75" customHeight="1">
      <c r="A1798" s="1">
        <v>74.0</v>
      </c>
      <c r="B1798" s="1">
        <v>13.0</v>
      </c>
      <c r="C1798" s="1">
        <v>7.0</v>
      </c>
      <c r="D1798" s="1">
        <v>88.0</v>
      </c>
      <c r="F1798" s="1" t="str">
        <f>LOOKUP(A1798, NPCs!A:A, NPCs!C:C)</f>
        <v>One with Head Thingy</v>
      </c>
      <c r="G1798" s="1" t="str">
        <f>LOOKUP(B1798, Maps!A:A, Maps!B:B)</f>
        <v>Hay and Frays Stronghold</v>
      </c>
    </row>
    <row r="1799" ht="15.75" customHeight="1">
      <c r="A1799" s="1">
        <v>74.0</v>
      </c>
      <c r="B1799" s="1">
        <v>13.0</v>
      </c>
      <c r="C1799" s="1">
        <v>5.0</v>
      </c>
      <c r="D1799" s="1">
        <v>87.0</v>
      </c>
      <c r="F1799" s="1" t="str">
        <f>LOOKUP(A1799, NPCs!A:A, NPCs!C:C)</f>
        <v>One with Head Thingy</v>
      </c>
      <c r="G1799" s="1" t="str">
        <f>LOOKUP(B1799, Maps!A:A, Maps!B:B)</f>
        <v>Hay and Frays Stronghold</v>
      </c>
    </row>
    <row r="1800" ht="15.75" customHeight="1">
      <c r="A1800" s="1">
        <v>74.0</v>
      </c>
      <c r="B1800" s="1">
        <v>13.0</v>
      </c>
      <c r="C1800" s="1">
        <v>4.0</v>
      </c>
      <c r="D1800" s="1">
        <v>85.0</v>
      </c>
      <c r="F1800" s="1" t="str">
        <f>LOOKUP(A1800, NPCs!A:A, NPCs!C:C)</f>
        <v>One with Head Thingy</v>
      </c>
      <c r="G1800" s="1" t="str">
        <f>LOOKUP(B1800, Maps!A:A, Maps!B:B)</f>
        <v>Hay and Frays Stronghold</v>
      </c>
    </row>
    <row r="1801" ht="15.75" customHeight="1">
      <c r="A1801" s="1">
        <v>74.0</v>
      </c>
      <c r="B1801" s="1">
        <v>13.0</v>
      </c>
      <c r="C1801" s="1">
        <v>9.0</v>
      </c>
      <c r="D1801" s="1">
        <v>84.0</v>
      </c>
      <c r="F1801" s="1" t="str">
        <f>LOOKUP(A1801, NPCs!A:A, NPCs!C:C)</f>
        <v>One with Head Thingy</v>
      </c>
      <c r="G1801" s="1" t="str">
        <f>LOOKUP(B1801, Maps!A:A, Maps!B:B)</f>
        <v>Hay and Frays Stronghold</v>
      </c>
    </row>
    <row r="1802" ht="15.75" customHeight="1">
      <c r="A1802" s="1">
        <v>74.0</v>
      </c>
      <c r="B1802" s="1">
        <v>13.0</v>
      </c>
      <c r="C1802" s="1">
        <v>13.0</v>
      </c>
      <c r="D1802" s="1">
        <v>80.0</v>
      </c>
      <c r="F1802" s="1" t="str">
        <f>LOOKUP(A1802, NPCs!A:A, NPCs!C:C)</f>
        <v>One with Head Thingy</v>
      </c>
      <c r="G1802" s="1" t="str">
        <f>LOOKUP(B1802, Maps!A:A, Maps!B:B)</f>
        <v>Hay and Frays Stronghold</v>
      </c>
    </row>
    <row r="1803" ht="15.75" customHeight="1">
      <c r="A1803" s="1">
        <v>74.0</v>
      </c>
      <c r="B1803" s="1">
        <v>13.0</v>
      </c>
      <c r="C1803" s="1">
        <v>15.0</v>
      </c>
      <c r="D1803" s="1">
        <v>80.0</v>
      </c>
      <c r="F1803" s="1" t="str">
        <f>LOOKUP(A1803, NPCs!A:A, NPCs!C:C)</f>
        <v>One with Head Thingy</v>
      </c>
      <c r="G1803" s="1" t="str">
        <f>LOOKUP(B1803, Maps!A:A, Maps!B:B)</f>
        <v>Hay and Frays Stronghold</v>
      </c>
    </row>
    <row r="1804" ht="15.75" customHeight="1">
      <c r="A1804" s="1">
        <v>74.0</v>
      </c>
      <c r="B1804" s="1">
        <v>13.0</v>
      </c>
      <c r="C1804" s="1">
        <v>21.0</v>
      </c>
      <c r="D1804" s="1">
        <v>82.0</v>
      </c>
      <c r="F1804" s="1" t="str">
        <f>LOOKUP(A1804, NPCs!A:A, NPCs!C:C)</f>
        <v>One with Head Thingy</v>
      </c>
      <c r="G1804" s="1" t="str">
        <f>LOOKUP(B1804, Maps!A:A, Maps!B:B)</f>
        <v>Hay and Frays Stronghold</v>
      </c>
    </row>
    <row r="1805" ht="15.75" customHeight="1">
      <c r="A1805" s="1">
        <v>74.0</v>
      </c>
      <c r="B1805" s="1">
        <v>13.0</v>
      </c>
      <c r="C1805" s="1">
        <v>5.0</v>
      </c>
      <c r="D1805" s="1">
        <v>79.0</v>
      </c>
      <c r="F1805" s="1" t="str">
        <f>LOOKUP(A1805, NPCs!A:A, NPCs!C:C)</f>
        <v>One with Head Thingy</v>
      </c>
      <c r="G1805" s="1" t="str">
        <f>LOOKUP(B1805, Maps!A:A, Maps!B:B)</f>
        <v>Hay and Frays Stronghold</v>
      </c>
    </row>
    <row r="1806" ht="15.75" customHeight="1">
      <c r="A1806" s="1">
        <v>74.0</v>
      </c>
      <c r="B1806" s="1">
        <v>13.0</v>
      </c>
      <c r="C1806" s="1">
        <v>7.0</v>
      </c>
      <c r="D1806" s="1">
        <v>79.0</v>
      </c>
      <c r="F1806" s="1" t="str">
        <f>LOOKUP(A1806, NPCs!A:A, NPCs!C:C)</f>
        <v>One with Head Thingy</v>
      </c>
      <c r="G1806" s="1" t="str">
        <f>LOOKUP(B1806, Maps!A:A, Maps!B:B)</f>
        <v>Hay and Frays Stronghold</v>
      </c>
    </row>
    <row r="1807" ht="15.75" customHeight="1">
      <c r="A1807" s="1">
        <v>74.0</v>
      </c>
      <c r="B1807" s="1">
        <v>13.0</v>
      </c>
      <c r="C1807" s="1">
        <v>6.0</v>
      </c>
      <c r="D1807" s="1">
        <v>78.0</v>
      </c>
      <c r="F1807" s="1" t="str">
        <f>LOOKUP(A1807, NPCs!A:A, NPCs!C:C)</f>
        <v>One with Head Thingy</v>
      </c>
      <c r="G1807" s="1" t="str">
        <f>LOOKUP(B1807, Maps!A:A, Maps!B:B)</f>
        <v>Hay and Frays Stronghold</v>
      </c>
    </row>
    <row r="1808" ht="15.75" customHeight="1">
      <c r="A1808" s="1">
        <v>74.0</v>
      </c>
      <c r="B1808" s="1">
        <v>13.0</v>
      </c>
      <c r="C1808" s="1">
        <v>13.0</v>
      </c>
      <c r="D1808" s="1">
        <v>75.0</v>
      </c>
      <c r="F1808" s="1" t="str">
        <f>LOOKUP(A1808, NPCs!A:A, NPCs!C:C)</f>
        <v>One with Head Thingy</v>
      </c>
      <c r="G1808" s="1" t="str">
        <f>LOOKUP(B1808, Maps!A:A, Maps!B:B)</f>
        <v>Hay and Frays Stronghold</v>
      </c>
    </row>
    <row r="1809" ht="15.75" customHeight="1">
      <c r="A1809" s="1">
        <v>74.0</v>
      </c>
      <c r="B1809" s="1">
        <v>13.0</v>
      </c>
      <c r="C1809" s="1">
        <v>13.0</v>
      </c>
      <c r="D1809" s="1">
        <v>73.0</v>
      </c>
      <c r="F1809" s="1" t="str">
        <f>LOOKUP(A1809, NPCs!A:A, NPCs!C:C)</f>
        <v>One with Head Thingy</v>
      </c>
      <c r="G1809" s="1" t="str">
        <f>LOOKUP(B1809, Maps!A:A, Maps!B:B)</f>
        <v>Hay and Frays Stronghold</v>
      </c>
    </row>
    <row r="1810" ht="15.75" customHeight="1">
      <c r="A1810" s="1">
        <v>74.0</v>
      </c>
      <c r="B1810" s="1">
        <v>13.0</v>
      </c>
      <c r="C1810" s="1">
        <v>12.0</v>
      </c>
      <c r="D1810" s="1">
        <v>74.0</v>
      </c>
      <c r="F1810" s="1" t="str">
        <f>LOOKUP(A1810, NPCs!A:A, NPCs!C:C)</f>
        <v>One with Head Thingy</v>
      </c>
      <c r="G1810" s="1" t="str">
        <f>LOOKUP(B1810, Maps!A:A, Maps!B:B)</f>
        <v>Hay and Frays Stronghold</v>
      </c>
    </row>
    <row r="1811" ht="15.75" customHeight="1">
      <c r="A1811" s="1">
        <v>74.0</v>
      </c>
      <c r="B1811" s="1">
        <v>13.0</v>
      </c>
      <c r="C1811" s="1">
        <v>23.0</v>
      </c>
      <c r="D1811" s="1">
        <v>72.0</v>
      </c>
      <c r="F1811" s="1" t="str">
        <f>LOOKUP(A1811, NPCs!A:A, NPCs!C:C)</f>
        <v>One with Head Thingy</v>
      </c>
      <c r="G1811" s="1" t="str">
        <f>LOOKUP(B1811, Maps!A:A, Maps!B:B)</f>
        <v>Hay and Frays Stronghold</v>
      </c>
    </row>
    <row r="1812" ht="15.75" customHeight="1">
      <c r="A1812" s="1">
        <v>74.0</v>
      </c>
      <c r="B1812" s="1">
        <v>13.0</v>
      </c>
      <c r="C1812" s="1">
        <v>25.0</v>
      </c>
      <c r="D1812" s="1">
        <v>74.0</v>
      </c>
      <c r="F1812" s="1" t="str">
        <f>LOOKUP(A1812, NPCs!A:A, NPCs!C:C)</f>
        <v>One with Head Thingy</v>
      </c>
      <c r="G1812" s="1" t="str">
        <f>LOOKUP(B1812, Maps!A:A, Maps!B:B)</f>
        <v>Hay and Frays Stronghold</v>
      </c>
    </row>
    <row r="1813" ht="15.75" customHeight="1">
      <c r="A1813" s="1">
        <v>74.0</v>
      </c>
      <c r="B1813" s="1">
        <v>13.0</v>
      </c>
      <c r="C1813" s="1">
        <v>25.0</v>
      </c>
      <c r="D1813" s="1">
        <v>75.0</v>
      </c>
      <c r="F1813" s="1" t="str">
        <f>LOOKUP(A1813, NPCs!A:A, NPCs!C:C)</f>
        <v>One with Head Thingy</v>
      </c>
      <c r="G1813" s="1" t="str">
        <f>LOOKUP(B1813, Maps!A:A, Maps!B:B)</f>
        <v>Hay and Frays Stronghold</v>
      </c>
    </row>
    <row r="1814" ht="15.75" customHeight="1">
      <c r="A1814" s="1">
        <v>74.0</v>
      </c>
      <c r="B1814" s="1">
        <v>13.0</v>
      </c>
      <c r="C1814" s="1">
        <v>30.0</v>
      </c>
      <c r="D1814" s="1">
        <v>77.0</v>
      </c>
      <c r="F1814" s="1" t="str">
        <f>LOOKUP(A1814, NPCs!A:A, NPCs!C:C)</f>
        <v>One with Head Thingy</v>
      </c>
      <c r="G1814" s="1" t="str">
        <f>LOOKUP(B1814, Maps!A:A, Maps!B:B)</f>
        <v>Hay and Frays Stronghold</v>
      </c>
    </row>
    <row r="1815" ht="15.75" customHeight="1">
      <c r="A1815" s="1">
        <v>74.0</v>
      </c>
      <c r="B1815" s="1">
        <v>13.0</v>
      </c>
      <c r="C1815" s="1">
        <v>28.0</v>
      </c>
      <c r="D1815" s="1">
        <v>80.0</v>
      </c>
      <c r="F1815" s="1" t="str">
        <f>LOOKUP(A1815, NPCs!A:A, NPCs!C:C)</f>
        <v>One with Head Thingy</v>
      </c>
      <c r="G1815" s="1" t="str">
        <f>LOOKUP(B1815, Maps!A:A, Maps!B:B)</f>
        <v>Hay and Frays Stronghold</v>
      </c>
    </row>
    <row r="1816" ht="15.75" customHeight="1">
      <c r="A1816" s="1">
        <v>74.0</v>
      </c>
      <c r="B1816" s="1">
        <v>13.0</v>
      </c>
      <c r="C1816" s="1">
        <v>36.0</v>
      </c>
      <c r="D1816" s="1">
        <v>81.0</v>
      </c>
      <c r="F1816" s="1" t="str">
        <f>LOOKUP(A1816, NPCs!A:A, NPCs!C:C)</f>
        <v>One with Head Thingy</v>
      </c>
      <c r="G1816" s="1" t="str">
        <f>LOOKUP(B1816, Maps!A:A, Maps!B:B)</f>
        <v>Hay and Frays Stronghold</v>
      </c>
    </row>
    <row r="1817" ht="15.75" customHeight="1">
      <c r="A1817" s="1">
        <v>74.0</v>
      </c>
      <c r="B1817" s="1">
        <v>13.0</v>
      </c>
      <c r="C1817" s="1">
        <v>37.0</v>
      </c>
      <c r="D1817" s="1">
        <v>82.0</v>
      </c>
      <c r="F1817" s="1" t="str">
        <f>LOOKUP(A1817, NPCs!A:A, NPCs!C:C)</f>
        <v>One with Head Thingy</v>
      </c>
      <c r="G1817" s="1" t="str">
        <f>LOOKUP(B1817, Maps!A:A, Maps!B:B)</f>
        <v>Hay and Frays Stronghold</v>
      </c>
    </row>
    <row r="1818" ht="15.75" customHeight="1">
      <c r="A1818" s="1">
        <v>74.0</v>
      </c>
      <c r="B1818" s="1">
        <v>13.0</v>
      </c>
      <c r="C1818" s="1">
        <v>43.0</v>
      </c>
      <c r="D1818" s="1">
        <v>82.0</v>
      </c>
      <c r="F1818" s="1" t="str">
        <f>LOOKUP(A1818, NPCs!A:A, NPCs!C:C)</f>
        <v>One with Head Thingy</v>
      </c>
      <c r="G1818" s="1" t="str">
        <f>LOOKUP(B1818, Maps!A:A, Maps!B:B)</f>
        <v>Hay and Frays Stronghold</v>
      </c>
    </row>
    <row r="1819" ht="15.75" customHeight="1">
      <c r="A1819" s="1">
        <v>74.0</v>
      </c>
      <c r="B1819" s="1">
        <v>13.0</v>
      </c>
      <c r="C1819" s="1">
        <v>43.0</v>
      </c>
      <c r="D1819" s="1">
        <v>83.0</v>
      </c>
      <c r="F1819" s="1" t="str">
        <f>LOOKUP(A1819, NPCs!A:A, NPCs!C:C)</f>
        <v>One with Head Thingy</v>
      </c>
      <c r="G1819" s="1" t="str">
        <f>LOOKUP(B1819, Maps!A:A, Maps!B:B)</f>
        <v>Hay and Frays Stronghold</v>
      </c>
    </row>
    <row r="1820" ht="15.75" customHeight="1">
      <c r="A1820" s="1">
        <v>74.0</v>
      </c>
      <c r="B1820" s="1">
        <v>13.0</v>
      </c>
      <c r="C1820" s="1">
        <v>45.0</v>
      </c>
      <c r="D1820" s="1">
        <v>78.0</v>
      </c>
      <c r="F1820" s="1" t="str">
        <f>LOOKUP(A1820, NPCs!A:A, NPCs!C:C)</f>
        <v>One with Head Thingy</v>
      </c>
      <c r="G1820" s="1" t="str">
        <f>LOOKUP(B1820, Maps!A:A, Maps!B:B)</f>
        <v>Hay and Frays Stronghold</v>
      </c>
    </row>
    <row r="1821" ht="15.75" customHeight="1">
      <c r="A1821" s="1">
        <v>74.0</v>
      </c>
      <c r="B1821" s="1">
        <v>13.0</v>
      </c>
      <c r="C1821" s="1">
        <v>44.0</v>
      </c>
      <c r="D1821" s="1">
        <v>77.0</v>
      </c>
      <c r="F1821" s="1" t="str">
        <f>LOOKUP(A1821, NPCs!A:A, NPCs!C:C)</f>
        <v>One with Head Thingy</v>
      </c>
      <c r="G1821" s="1" t="str">
        <f>LOOKUP(B1821, Maps!A:A, Maps!B:B)</f>
        <v>Hay and Frays Stronghold</v>
      </c>
    </row>
    <row r="1822" ht="15.75" customHeight="1">
      <c r="A1822" s="1">
        <v>74.0</v>
      </c>
      <c r="B1822" s="1">
        <v>13.0</v>
      </c>
      <c r="C1822" s="1">
        <v>47.0</v>
      </c>
      <c r="D1822" s="1">
        <v>74.0</v>
      </c>
      <c r="F1822" s="1" t="str">
        <f>LOOKUP(A1822, NPCs!A:A, NPCs!C:C)</f>
        <v>One with Head Thingy</v>
      </c>
      <c r="G1822" s="1" t="str">
        <f>LOOKUP(B1822, Maps!A:A, Maps!B:B)</f>
        <v>Hay and Frays Stronghold</v>
      </c>
    </row>
    <row r="1823" ht="15.75" customHeight="1">
      <c r="A1823" s="1">
        <v>74.0</v>
      </c>
      <c r="B1823" s="1">
        <v>13.0</v>
      </c>
      <c r="C1823" s="1">
        <v>49.0</v>
      </c>
      <c r="D1823" s="1">
        <v>74.0</v>
      </c>
      <c r="F1823" s="1" t="str">
        <f>LOOKUP(A1823, NPCs!A:A, NPCs!C:C)</f>
        <v>One with Head Thingy</v>
      </c>
      <c r="G1823" s="1" t="str">
        <f>LOOKUP(B1823, Maps!A:A, Maps!B:B)</f>
        <v>Hay and Frays Stronghold</v>
      </c>
    </row>
    <row r="1824" ht="15.75" customHeight="1">
      <c r="A1824" s="1">
        <v>74.0</v>
      </c>
      <c r="B1824" s="1">
        <v>13.0</v>
      </c>
      <c r="C1824" s="1">
        <v>50.0</v>
      </c>
      <c r="D1824" s="1">
        <v>74.0</v>
      </c>
      <c r="F1824" s="1" t="str">
        <f>LOOKUP(A1824, NPCs!A:A, NPCs!C:C)</f>
        <v>One with Head Thingy</v>
      </c>
      <c r="G1824" s="1" t="str">
        <f>LOOKUP(B1824, Maps!A:A, Maps!B:B)</f>
        <v>Hay and Frays Stronghold</v>
      </c>
    </row>
    <row r="1825" ht="15.75" customHeight="1">
      <c r="A1825" s="1">
        <v>74.0</v>
      </c>
      <c r="B1825" s="1">
        <v>13.0</v>
      </c>
      <c r="C1825" s="1">
        <v>45.0</v>
      </c>
      <c r="D1825" s="1">
        <v>68.0</v>
      </c>
      <c r="F1825" s="1" t="str">
        <f>LOOKUP(A1825, NPCs!A:A, NPCs!C:C)</f>
        <v>One with Head Thingy</v>
      </c>
      <c r="G1825" s="1" t="str">
        <f>LOOKUP(B1825, Maps!A:A, Maps!B:B)</f>
        <v>Hay and Frays Stronghold</v>
      </c>
    </row>
    <row r="1826" ht="15.75" customHeight="1">
      <c r="A1826" s="1">
        <v>74.0</v>
      </c>
      <c r="B1826" s="1">
        <v>13.0</v>
      </c>
      <c r="C1826" s="1">
        <v>47.0</v>
      </c>
      <c r="D1826" s="1">
        <v>68.0</v>
      </c>
      <c r="F1826" s="1" t="str">
        <f>LOOKUP(A1826, NPCs!A:A, NPCs!C:C)</f>
        <v>One with Head Thingy</v>
      </c>
      <c r="G1826" s="1" t="str">
        <f>LOOKUP(B1826, Maps!A:A, Maps!B:B)</f>
        <v>Hay and Frays Stronghold</v>
      </c>
    </row>
    <row r="1827" ht="15.75" customHeight="1">
      <c r="A1827" s="1">
        <v>74.0</v>
      </c>
      <c r="B1827" s="1">
        <v>13.0</v>
      </c>
      <c r="C1827" s="1">
        <v>46.0</v>
      </c>
      <c r="D1827" s="1">
        <v>67.0</v>
      </c>
      <c r="F1827" s="1" t="str">
        <f>LOOKUP(A1827, NPCs!A:A, NPCs!C:C)</f>
        <v>One with Head Thingy</v>
      </c>
      <c r="G1827" s="1" t="str">
        <f>LOOKUP(B1827, Maps!A:A, Maps!B:B)</f>
        <v>Hay and Frays Stronghold</v>
      </c>
    </row>
    <row r="1828" ht="15.75" customHeight="1">
      <c r="A1828" s="1">
        <v>74.0</v>
      </c>
      <c r="B1828" s="1">
        <v>13.0</v>
      </c>
      <c r="C1828" s="1">
        <v>48.0</v>
      </c>
      <c r="D1828" s="1">
        <v>59.0</v>
      </c>
      <c r="F1828" s="1" t="str">
        <f>LOOKUP(A1828, NPCs!A:A, NPCs!C:C)</f>
        <v>One with Head Thingy</v>
      </c>
      <c r="G1828" s="1" t="str">
        <f>LOOKUP(B1828, Maps!A:A, Maps!B:B)</f>
        <v>Hay and Frays Stronghold</v>
      </c>
    </row>
    <row r="1829" ht="15.75" customHeight="1">
      <c r="A1829" s="1">
        <v>74.0</v>
      </c>
      <c r="B1829" s="1">
        <v>13.0</v>
      </c>
      <c r="C1829" s="1">
        <v>47.0</v>
      </c>
      <c r="D1829" s="1">
        <v>58.0</v>
      </c>
      <c r="F1829" s="1" t="str">
        <f>LOOKUP(A1829, NPCs!A:A, NPCs!C:C)</f>
        <v>One with Head Thingy</v>
      </c>
      <c r="G1829" s="1" t="str">
        <f>LOOKUP(B1829, Maps!A:A, Maps!B:B)</f>
        <v>Hay and Frays Stronghold</v>
      </c>
    </row>
    <row r="1830" ht="15.75" customHeight="1">
      <c r="A1830" s="1">
        <v>74.0</v>
      </c>
      <c r="B1830" s="1">
        <v>13.0</v>
      </c>
      <c r="C1830" s="1">
        <v>54.0</v>
      </c>
      <c r="D1830" s="1">
        <v>59.0</v>
      </c>
      <c r="F1830" s="1" t="str">
        <f>LOOKUP(A1830, NPCs!A:A, NPCs!C:C)</f>
        <v>One with Head Thingy</v>
      </c>
      <c r="G1830" s="1" t="str">
        <f>LOOKUP(B1830, Maps!A:A, Maps!B:B)</f>
        <v>Hay and Frays Stronghold</v>
      </c>
    </row>
    <row r="1831" ht="15.75" customHeight="1">
      <c r="A1831" s="1">
        <v>74.0</v>
      </c>
      <c r="B1831" s="1">
        <v>13.0</v>
      </c>
      <c r="C1831" s="1">
        <v>51.0</v>
      </c>
      <c r="D1831" s="1">
        <v>54.0</v>
      </c>
      <c r="F1831" s="1" t="str">
        <f>LOOKUP(A1831, NPCs!A:A, NPCs!C:C)</f>
        <v>One with Head Thingy</v>
      </c>
      <c r="G1831" s="1" t="str">
        <f>LOOKUP(B1831, Maps!A:A, Maps!B:B)</f>
        <v>Hay and Frays Stronghold</v>
      </c>
    </row>
    <row r="1832" ht="15.75" customHeight="1">
      <c r="A1832" s="1">
        <v>74.0</v>
      </c>
      <c r="B1832" s="1">
        <v>13.0</v>
      </c>
      <c r="C1832" s="1">
        <v>59.0</v>
      </c>
      <c r="D1832" s="1">
        <v>60.0</v>
      </c>
      <c r="F1832" s="1" t="str">
        <f>LOOKUP(A1832, NPCs!A:A, NPCs!C:C)</f>
        <v>One with Head Thingy</v>
      </c>
      <c r="G1832" s="1" t="str">
        <f>LOOKUP(B1832, Maps!A:A, Maps!B:B)</f>
        <v>Hay and Frays Stronghold</v>
      </c>
    </row>
    <row r="1833" ht="15.75" customHeight="1">
      <c r="A1833" s="1">
        <v>74.0</v>
      </c>
      <c r="B1833" s="1">
        <v>13.0</v>
      </c>
      <c r="C1833" s="1">
        <v>61.0</v>
      </c>
      <c r="D1833" s="1">
        <v>59.0</v>
      </c>
      <c r="F1833" s="1" t="str">
        <f>LOOKUP(A1833, NPCs!A:A, NPCs!C:C)</f>
        <v>One with Head Thingy</v>
      </c>
      <c r="G1833" s="1" t="str">
        <f>LOOKUP(B1833, Maps!A:A, Maps!B:B)</f>
        <v>Hay and Frays Stronghold</v>
      </c>
    </row>
    <row r="1834" ht="15.75" customHeight="1">
      <c r="A1834" s="1">
        <v>74.0</v>
      </c>
      <c r="B1834" s="1">
        <v>13.0</v>
      </c>
      <c r="C1834" s="1">
        <v>67.0</v>
      </c>
      <c r="D1834" s="1">
        <v>63.0</v>
      </c>
      <c r="F1834" s="1" t="str">
        <f>LOOKUP(A1834, NPCs!A:A, NPCs!C:C)</f>
        <v>One with Head Thingy</v>
      </c>
      <c r="G1834" s="1" t="str">
        <f>LOOKUP(B1834, Maps!A:A, Maps!B:B)</f>
        <v>Hay and Frays Stronghold</v>
      </c>
    </row>
    <row r="1835" ht="15.75" customHeight="1">
      <c r="A1835" s="1">
        <v>74.0</v>
      </c>
      <c r="B1835" s="1">
        <v>13.0</v>
      </c>
      <c r="C1835" s="1">
        <v>64.0</v>
      </c>
      <c r="D1835" s="1">
        <v>63.0</v>
      </c>
      <c r="F1835" s="1" t="str">
        <f>LOOKUP(A1835, NPCs!A:A, NPCs!C:C)</f>
        <v>One with Head Thingy</v>
      </c>
      <c r="G1835" s="1" t="str">
        <f>LOOKUP(B1835, Maps!A:A, Maps!B:B)</f>
        <v>Hay and Frays Stronghold</v>
      </c>
    </row>
    <row r="1836" ht="15.75" customHeight="1">
      <c r="A1836" s="1">
        <v>74.0</v>
      </c>
      <c r="B1836" s="1">
        <v>13.0</v>
      </c>
      <c r="C1836" s="1">
        <v>60.0</v>
      </c>
      <c r="D1836" s="1">
        <v>51.0</v>
      </c>
      <c r="F1836" s="1" t="str">
        <f>LOOKUP(A1836, NPCs!A:A, NPCs!C:C)</f>
        <v>One with Head Thingy</v>
      </c>
      <c r="G1836" s="1" t="str">
        <f>LOOKUP(B1836, Maps!A:A, Maps!B:B)</f>
        <v>Hay and Frays Stronghold</v>
      </c>
    </row>
    <row r="1837" ht="15.75" customHeight="1">
      <c r="A1837" s="1">
        <v>74.0</v>
      </c>
      <c r="B1837" s="1">
        <v>13.0</v>
      </c>
      <c r="C1837" s="1">
        <v>56.0</v>
      </c>
      <c r="D1837" s="1">
        <v>51.0</v>
      </c>
      <c r="F1837" s="1" t="str">
        <f>LOOKUP(A1837, NPCs!A:A, NPCs!C:C)</f>
        <v>One with Head Thingy</v>
      </c>
      <c r="G1837" s="1" t="str">
        <f>LOOKUP(B1837, Maps!A:A, Maps!B:B)</f>
        <v>Hay and Frays Stronghold</v>
      </c>
    </row>
    <row r="1838" ht="15.75" customHeight="1">
      <c r="A1838" s="1">
        <v>74.0</v>
      </c>
      <c r="B1838" s="1">
        <v>13.0</v>
      </c>
      <c r="C1838" s="1">
        <v>56.0</v>
      </c>
      <c r="D1838" s="1">
        <v>47.0</v>
      </c>
      <c r="F1838" s="1" t="str">
        <f>LOOKUP(A1838, NPCs!A:A, NPCs!C:C)</f>
        <v>One with Head Thingy</v>
      </c>
      <c r="G1838" s="1" t="str">
        <f>LOOKUP(B1838, Maps!A:A, Maps!B:B)</f>
        <v>Hay and Frays Stronghold</v>
      </c>
    </row>
    <row r="1839" ht="15.75" customHeight="1">
      <c r="A1839" s="1">
        <v>74.0</v>
      </c>
      <c r="B1839" s="1">
        <v>13.0</v>
      </c>
      <c r="C1839" s="1">
        <v>60.0</v>
      </c>
      <c r="D1839" s="1">
        <v>47.0</v>
      </c>
      <c r="F1839" s="1" t="str">
        <f>LOOKUP(A1839, NPCs!A:A, NPCs!C:C)</f>
        <v>One with Head Thingy</v>
      </c>
      <c r="G1839" s="1" t="str">
        <f>LOOKUP(B1839, Maps!A:A, Maps!B:B)</f>
        <v>Hay and Frays Stronghold</v>
      </c>
    </row>
    <row r="1840" ht="15.75" customHeight="1">
      <c r="A1840" s="1">
        <v>74.0</v>
      </c>
      <c r="B1840" s="1">
        <v>13.0</v>
      </c>
      <c r="C1840" s="1">
        <v>61.0</v>
      </c>
      <c r="D1840" s="1">
        <v>41.0</v>
      </c>
      <c r="F1840" s="1" t="str">
        <f>LOOKUP(A1840, NPCs!A:A, NPCs!C:C)</f>
        <v>One with Head Thingy</v>
      </c>
      <c r="G1840" s="1" t="str">
        <f>LOOKUP(B1840, Maps!A:A, Maps!B:B)</f>
        <v>Hay and Frays Stronghold</v>
      </c>
    </row>
    <row r="1841" ht="15.75" customHeight="1">
      <c r="A1841" s="1">
        <v>74.0</v>
      </c>
      <c r="B1841" s="1">
        <v>13.0</v>
      </c>
      <c r="C1841" s="1">
        <v>62.0</v>
      </c>
      <c r="D1841" s="1">
        <v>42.0</v>
      </c>
      <c r="F1841" s="1" t="str">
        <f>LOOKUP(A1841, NPCs!A:A, NPCs!C:C)</f>
        <v>One with Head Thingy</v>
      </c>
      <c r="G1841" s="1" t="str">
        <f>LOOKUP(B1841, Maps!A:A, Maps!B:B)</f>
        <v>Hay and Frays Stronghold</v>
      </c>
    </row>
    <row r="1842" ht="15.75" customHeight="1">
      <c r="A1842" s="1">
        <v>74.0</v>
      </c>
      <c r="B1842" s="1">
        <v>13.0</v>
      </c>
      <c r="C1842" s="1">
        <v>62.0</v>
      </c>
      <c r="D1842" s="1">
        <v>40.0</v>
      </c>
      <c r="F1842" s="1" t="str">
        <f>LOOKUP(A1842, NPCs!A:A, NPCs!C:C)</f>
        <v>One with Head Thingy</v>
      </c>
      <c r="G1842" s="1" t="str">
        <f>LOOKUP(B1842, Maps!A:A, Maps!B:B)</f>
        <v>Hay and Frays Stronghold</v>
      </c>
    </row>
    <row r="1843" ht="15.75" customHeight="1">
      <c r="A1843" s="1">
        <v>74.0</v>
      </c>
      <c r="B1843" s="1">
        <v>13.0</v>
      </c>
      <c r="C1843" s="1">
        <v>70.0</v>
      </c>
      <c r="D1843" s="1">
        <v>43.0</v>
      </c>
      <c r="F1843" s="1" t="str">
        <f>LOOKUP(A1843, NPCs!A:A, NPCs!C:C)</f>
        <v>One with Head Thingy</v>
      </c>
      <c r="G1843" s="1" t="str">
        <f>LOOKUP(B1843, Maps!A:A, Maps!B:B)</f>
        <v>Hay and Frays Stronghold</v>
      </c>
    </row>
    <row r="1844" ht="15.75" customHeight="1">
      <c r="A1844" s="1">
        <v>74.0</v>
      </c>
      <c r="B1844" s="1">
        <v>13.0</v>
      </c>
      <c r="C1844" s="1">
        <v>72.0</v>
      </c>
      <c r="D1844" s="1">
        <v>43.0</v>
      </c>
      <c r="F1844" s="1" t="str">
        <f>LOOKUP(A1844, NPCs!A:A, NPCs!C:C)</f>
        <v>One with Head Thingy</v>
      </c>
      <c r="G1844" s="1" t="str">
        <f>LOOKUP(B1844, Maps!A:A, Maps!B:B)</f>
        <v>Hay and Frays Stronghold</v>
      </c>
    </row>
    <row r="1845" ht="15.75" customHeight="1">
      <c r="A1845" s="1">
        <v>74.0</v>
      </c>
      <c r="B1845" s="1">
        <v>13.0</v>
      </c>
      <c r="C1845" s="1">
        <v>81.0</v>
      </c>
      <c r="D1845" s="1">
        <v>43.0</v>
      </c>
      <c r="F1845" s="1" t="str">
        <f>LOOKUP(A1845, NPCs!A:A, NPCs!C:C)</f>
        <v>One with Head Thingy</v>
      </c>
      <c r="G1845" s="1" t="str">
        <f>LOOKUP(B1845, Maps!A:A, Maps!B:B)</f>
        <v>Hay and Frays Stronghold</v>
      </c>
    </row>
    <row r="1846" ht="15.75" customHeight="1">
      <c r="A1846" s="1">
        <v>74.0</v>
      </c>
      <c r="B1846" s="1">
        <v>13.0</v>
      </c>
      <c r="C1846" s="1">
        <v>89.0</v>
      </c>
      <c r="D1846" s="1">
        <v>43.0</v>
      </c>
      <c r="F1846" s="1" t="str">
        <f>LOOKUP(A1846, NPCs!A:A, NPCs!C:C)</f>
        <v>One with Head Thingy</v>
      </c>
      <c r="G1846" s="1" t="str">
        <f>LOOKUP(B1846, Maps!A:A, Maps!B:B)</f>
        <v>Hay and Frays Stronghold</v>
      </c>
    </row>
    <row r="1847" ht="15.75" customHeight="1">
      <c r="A1847" s="1">
        <v>74.0</v>
      </c>
      <c r="B1847" s="1">
        <v>13.0</v>
      </c>
      <c r="C1847" s="1">
        <v>97.0</v>
      </c>
      <c r="D1847" s="1">
        <v>43.0</v>
      </c>
      <c r="F1847" s="1" t="str">
        <f>LOOKUP(A1847, NPCs!A:A, NPCs!C:C)</f>
        <v>One with Head Thingy</v>
      </c>
      <c r="G1847" s="1" t="str">
        <f>LOOKUP(B1847, Maps!A:A, Maps!B:B)</f>
        <v>Hay and Frays Stronghold</v>
      </c>
    </row>
    <row r="1848" ht="15.75" customHeight="1">
      <c r="A1848" s="1">
        <v>74.0</v>
      </c>
      <c r="B1848" s="1">
        <v>13.0</v>
      </c>
      <c r="C1848" s="1">
        <v>71.0</v>
      </c>
      <c r="D1848" s="1">
        <v>42.0</v>
      </c>
      <c r="F1848" s="1" t="str">
        <f>LOOKUP(A1848, NPCs!A:A, NPCs!C:C)</f>
        <v>One with Head Thingy</v>
      </c>
      <c r="G1848" s="1" t="str">
        <f>LOOKUP(B1848, Maps!A:A, Maps!B:B)</f>
        <v>Hay and Frays Stronghold</v>
      </c>
    </row>
    <row r="1849" ht="15.75" customHeight="1">
      <c r="A1849" s="1">
        <v>74.0</v>
      </c>
      <c r="B1849" s="1">
        <v>13.0</v>
      </c>
      <c r="C1849" s="1">
        <v>80.0</v>
      </c>
      <c r="D1849" s="1">
        <v>42.0</v>
      </c>
      <c r="F1849" s="1" t="str">
        <f>LOOKUP(A1849, NPCs!A:A, NPCs!C:C)</f>
        <v>One with Head Thingy</v>
      </c>
      <c r="G1849" s="1" t="str">
        <f>LOOKUP(B1849, Maps!A:A, Maps!B:B)</f>
        <v>Hay and Frays Stronghold</v>
      </c>
    </row>
    <row r="1850" ht="15.75" customHeight="1">
      <c r="A1850" s="1">
        <v>74.0</v>
      </c>
      <c r="B1850" s="1">
        <v>13.0</v>
      </c>
      <c r="C1850" s="1">
        <v>90.0</v>
      </c>
      <c r="D1850" s="1">
        <v>42.0</v>
      </c>
      <c r="F1850" s="1" t="str">
        <f>LOOKUP(A1850, NPCs!A:A, NPCs!C:C)</f>
        <v>One with Head Thingy</v>
      </c>
      <c r="G1850" s="1" t="str">
        <f>LOOKUP(B1850, Maps!A:A, Maps!B:B)</f>
        <v>Hay and Frays Stronghold</v>
      </c>
    </row>
    <row r="1851" ht="15.75" customHeight="1">
      <c r="A1851" s="1">
        <v>74.0</v>
      </c>
      <c r="B1851" s="1">
        <v>13.0</v>
      </c>
      <c r="C1851" s="1">
        <v>97.0</v>
      </c>
      <c r="D1851" s="1">
        <v>42.0</v>
      </c>
      <c r="F1851" s="1" t="str">
        <f>LOOKUP(A1851, NPCs!A:A, NPCs!C:C)</f>
        <v>One with Head Thingy</v>
      </c>
      <c r="G1851" s="1" t="str">
        <f>LOOKUP(B1851, Maps!A:A, Maps!B:B)</f>
        <v>Hay and Frays Stronghold</v>
      </c>
    </row>
    <row r="1852" ht="15.75" customHeight="1">
      <c r="A1852" s="1">
        <v>74.0</v>
      </c>
      <c r="B1852" s="1">
        <v>13.0</v>
      </c>
      <c r="C1852" s="1">
        <v>82.0</v>
      </c>
      <c r="D1852" s="1">
        <v>44.0</v>
      </c>
      <c r="F1852" s="1" t="str">
        <f>LOOKUP(A1852, NPCs!A:A, NPCs!C:C)</f>
        <v>One with Head Thingy</v>
      </c>
      <c r="G1852" s="1" t="str">
        <f>LOOKUP(B1852, Maps!A:A, Maps!B:B)</f>
        <v>Hay and Frays Stronghold</v>
      </c>
    </row>
    <row r="1853" ht="15.75" customHeight="1">
      <c r="A1853" s="1">
        <v>74.0</v>
      </c>
      <c r="B1853" s="1">
        <v>13.0</v>
      </c>
      <c r="C1853" s="1">
        <v>90.0</v>
      </c>
      <c r="D1853" s="1">
        <v>44.0</v>
      </c>
      <c r="F1853" s="1" t="str">
        <f>LOOKUP(A1853, NPCs!A:A, NPCs!C:C)</f>
        <v>One with Head Thingy</v>
      </c>
      <c r="G1853" s="1" t="str">
        <f>LOOKUP(B1853, Maps!A:A, Maps!B:B)</f>
        <v>Hay and Frays Stronghold</v>
      </c>
    </row>
    <row r="1854" ht="15.75" customHeight="1">
      <c r="A1854" s="1">
        <v>74.0</v>
      </c>
      <c r="B1854" s="1">
        <v>13.0</v>
      </c>
      <c r="C1854" s="1">
        <v>96.0</v>
      </c>
      <c r="D1854" s="1">
        <v>45.0</v>
      </c>
      <c r="F1854" s="1" t="str">
        <f>LOOKUP(A1854, NPCs!A:A, NPCs!C:C)</f>
        <v>One with Head Thingy</v>
      </c>
      <c r="G1854" s="1" t="str">
        <f>LOOKUP(B1854, Maps!A:A, Maps!B:B)</f>
        <v>Hay and Frays Stronghold</v>
      </c>
    </row>
    <row r="1855" ht="15.75" customHeight="1">
      <c r="A1855" s="1">
        <v>74.0</v>
      </c>
      <c r="B1855" s="1">
        <v>13.0</v>
      </c>
      <c r="C1855" s="1">
        <v>95.0</v>
      </c>
      <c r="D1855" s="1">
        <v>69.0</v>
      </c>
      <c r="F1855" s="1" t="str">
        <f>LOOKUP(A1855, NPCs!A:A, NPCs!C:C)</f>
        <v>One with Head Thingy</v>
      </c>
      <c r="G1855" s="1" t="str">
        <f>LOOKUP(B1855, Maps!A:A, Maps!B:B)</f>
        <v>Hay and Frays Stronghold</v>
      </c>
    </row>
    <row r="1856" ht="15.75" customHeight="1">
      <c r="A1856" s="1">
        <v>74.0</v>
      </c>
      <c r="B1856" s="1">
        <v>13.0</v>
      </c>
      <c r="C1856" s="1">
        <v>96.0</v>
      </c>
      <c r="D1856" s="1">
        <v>68.0</v>
      </c>
      <c r="F1856" s="1" t="str">
        <f>LOOKUP(A1856, NPCs!A:A, NPCs!C:C)</f>
        <v>One with Head Thingy</v>
      </c>
      <c r="G1856" s="1" t="str">
        <f>LOOKUP(B1856, Maps!A:A, Maps!B:B)</f>
        <v>Hay and Frays Stronghold</v>
      </c>
    </row>
    <row r="1857" ht="15.75" customHeight="1">
      <c r="A1857" s="1">
        <v>74.0</v>
      </c>
      <c r="B1857" s="1">
        <v>13.0</v>
      </c>
      <c r="C1857" s="1">
        <v>97.0</v>
      </c>
      <c r="D1857" s="1">
        <v>67.0</v>
      </c>
      <c r="F1857" s="1" t="str">
        <f>LOOKUP(A1857, NPCs!A:A, NPCs!C:C)</f>
        <v>One with Head Thingy</v>
      </c>
      <c r="G1857" s="1" t="str">
        <f>LOOKUP(B1857, Maps!A:A, Maps!B:B)</f>
        <v>Hay and Frays Stronghold</v>
      </c>
    </row>
    <row r="1858" ht="15.75" customHeight="1">
      <c r="A1858" s="1">
        <v>74.0</v>
      </c>
      <c r="B1858" s="1">
        <v>13.0</v>
      </c>
      <c r="C1858" s="1">
        <v>95.0</v>
      </c>
      <c r="D1858" s="1">
        <v>62.0</v>
      </c>
      <c r="F1858" s="1" t="str">
        <f>LOOKUP(A1858, NPCs!A:A, NPCs!C:C)</f>
        <v>One with Head Thingy</v>
      </c>
      <c r="G1858" s="1" t="str">
        <f>LOOKUP(B1858, Maps!A:A, Maps!B:B)</f>
        <v>Hay and Frays Stronghold</v>
      </c>
    </row>
    <row r="1859" ht="15.75" customHeight="1">
      <c r="A1859" s="1">
        <v>74.0</v>
      </c>
      <c r="B1859" s="1">
        <v>13.0</v>
      </c>
      <c r="C1859" s="1">
        <v>98.0</v>
      </c>
      <c r="D1859" s="1">
        <v>62.0</v>
      </c>
      <c r="F1859" s="1" t="str">
        <f>LOOKUP(A1859, NPCs!A:A, NPCs!C:C)</f>
        <v>One with Head Thingy</v>
      </c>
      <c r="G1859" s="1" t="str">
        <f>LOOKUP(B1859, Maps!A:A, Maps!B:B)</f>
        <v>Hay and Frays Stronghold</v>
      </c>
    </row>
    <row r="1860" ht="15.75" customHeight="1">
      <c r="A1860" s="1">
        <v>74.0</v>
      </c>
      <c r="B1860" s="1">
        <v>13.0</v>
      </c>
      <c r="C1860" s="1">
        <v>97.0</v>
      </c>
      <c r="D1860" s="1">
        <v>55.0</v>
      </c>
      <c r="F1860" s="1" t="str">
        <f>LOOKUP(A1860, NPCs!A:A, NPCs!C:C)</f>
        <v>One with Head Thingy</v>
      </c>
      <c r="G1860" s="1" t="str">
        <f>LOOKUP(B1860, Maps!A:A, Maps!B:B)</f>
        <v>Hay and Frays Stronghold</v>
      </c>
    </row>
    <row r="1861" ht="15.75" customHeight="1">
      <c r="A1861" s="1">
        <v>74.0</v>
      </c>
      <c r="B1861" s="1">
        <v>13.0</v>
      </c>
      <c r="C1861" s="1">
        <v>98.0</v>
      </c>
      <c r="D1861" s="1">
        <v>56.0</v>
      </c>
      <c r="F1861" s="1" t="str">
        <f>LOOKUP(A1861, NPCs!A:A, NPCs!C:C)</f>
        <v>One with Head Thingy</v>
      </c>
      <c r="G1861" s="1" t="str">
        <f>LOOKUP(B1861, Maps!A:A, Maps!B:B)</f>
        <v>Hay and Frays Stronghold</v>
      </c>
    </row>
    <row r="1862" ht="15.75" customHeight="1">
      <c r="A1862" s="1">
        <v>74.0</v>
      </c>
      <c r="B1862" s="1">
        <v>13.0</v>
      </c>
      <c r="C1862" s="1">
        <v>96.0</v>
      </c>
      <c r="D1862" s="1">
        <v>50.0</v>
      </c>
      <c r="F1862" s="1" t="str">
        <f>LOOKUP(A1862, NPCs!A:A, NPCs!C:C)</f>
        <v>One with Head Thingy</v>
      </c>
      <c r="G1862" s="1" t="str">
        <f>LOOKUP(B1862, Maps!A:A, Maps!B:B)</f>
        <v>Hay and Frays Stronghold</v>
      </c>
    </row>
    <row r="1863" ht="15.75" customHeight="1">
      <c r="A1863" s="1">
        <v>74.0</v>
      </c>
      <c r="B1863" s="1">
        <v>13.0</v>
      </c>
      <c r="C1863" s="1">
        <v>97.0</v>
      </c>
      <c r="D1863" s="1">
        <v>50.0</v>
      </c>
      <c r="F1863" s="1" t="str">
        <f>LOOKUP(A1863, NPCs!A:A, NPCs!C:C)</f>
        <v>One with Head Thingy</v>
      </c>
      <c r="G1863" s="1" t="str">
        <f>LOOKUP(B1863, Maps!A:A, Maps!B:B)</f>
        <v>Hay and Frays Stronghold</v>
      </c>
    </row>
    <row r="1864" ht="15.75" customHeight="1">
      <c r="A1864" s="1">
        <v>74.0</v>
      </c>
      <c r="B1864" s="1">
        <v>13.0</v>
      </c>
      <c r="C1864" s="1">
        <v>95.0</v>
      </c>
      <c r="D1864" s="1">
        <v>37.0</v>
      </c>
      <c r="F1864" s="1" t="str">
        <f>LOOKUP(A1864, NPCs!A:A, NPCs!C:C)</f>
        <v>One with Head Thingy</v>
      </c>
      <c r="G1864" s="1" t="str">
        <f>LOOKUP(B1864, Maps!A:A, Maps!B:B)</f>
        <v>Hay and Frays Stronghold</v>
      </c>
    </row>
    <row r="1865" ht="15.75" customHeight="1">
      <c r="A1865" s="1">
        <v>74.0</v>
      </c>
      <c r="B1865" s="1">
        <v>13.0</v>
      </c>
      <c r="C1865" s="1">
        <v>98.0</v>
      </c>
      <c r="D1865" s="1">
        <v>37.0</v>
      </c>
      <c r="F1865" s="1" t="str">
        <f>LOOKUP(A1865, NPCs!A:A, NPCs!C:C)</f>
        <v>One with Head Thingy</v>
      </c>
      <c r="G1865" s="1" t="str">
        <f>LOOKUP(B1865, Maps!A:A, Maps!B:B)</f>
        <v>Hay and Frays Stronghold</v>
      </c>
    </row>
    <row r="1866" ht="15.75" customHeight="1">
      <c r="A1866" s="1">
        <v>74.0</v>
      </c>
      <c r="B1866" s="1">
        <v>13.0</v>
      </c>
      <c r="C1866" s="1">
        <v>96.0</v>
      </c>
      <c r="D1866" s="1">
        <v>32.0</v>
      </c>
      <c r="F1866" s="1" t="str">
        <f>LOOKUP(A1866, NPCs!A:A, NPCs!C:C)</f>
        <v>One with Head Thingy</v>
      </c>
      <c r="G1866" s="1" t="str">
        <f>LOOKUP(B1866, Maps!A:A, Maps!B:B)</f>
        <v>Hay and Frays Stronghold</v>
      </c>
    </row>
    <row r="1867" ht="15.75" customHeight="1">
      <c r="A1867" s="1">
        <v>74.0</v>
      </c>
      <c r="B1867" s="1">
        <v>13.0</v>
      </c>
      <c r="C1867" s="1">
        <v>95.0</v>
      </c>
      <c r="D1867" s="1">
        <v>31.0</v>
      </c>
      <c r="F1867" s="1" t="str">
        <f>LOOKUP(A1867, NPCs!A:A, NPCs!C:C)</f>
        <v>One with Head Thingy</v>
      </c>
      <c r="G1867" s="1" t="str">
        <f>LOOKUP(B1867, Maps!A:A, Maps!B:B)</f>
        <v>Hay and Frays Stronghold</v>
      </c>
    </row>
    <row r="1868" ht="15.75" customHeight="1">
      <c r="A1868" s="1">
        <v>74.0</v>
      </c>
      <c r="B1868" s="1">
        <v>13.0</v>
      </c>
      <c r="C1868" s="1">
        <v>97.0</v>
      </c>
      <c r="D1868" s="1">
        <v>31.0</v>
      </c>
      <c r="F1868" s="1" t="str">
        <f>LOOKUP(A1868, NPCs!A:A, NPCs!C:C)</f>
        <v>One with Head Thingy</v>
      </c>
      <c r="G1868" s="1" t="str">
        <f>LOOKUP(B1868, Maps!A:A, Maps!B:B)</f>
        <v>Hay and Frays Stronghold</v>
      </c>
    </row>
    <row r="1869" ht="15.75" customHeight="1">
      <c r="A1869" s="1">
        <v>74.0</v>
      </c>
      <c r="B1869" s="1">
        <v>13.0</v>
      </c>
      <c r="C1869" s="1">
        <v>94.0</v>
      </c>
      <c r="D1869" s="1">
        <v>26.0</v>
      </c>
      <c r="F1869" s="1" t="str">
        <f>LOOKUP(A1869, NPCs!A:A, NPCs!C:C)</f>
        <v>One with Head Thingy</v>
      </c>
      <c r="G1869" s="1" t="str">
        <f>LOOKUP(B1869, Maps!A:A, Maps!B:B)</f>
        <v>Hay and Frays Stronghold</v>
      </c>
    </row>
    <row r="1870" ht="15.75" customHeight="1">
      <c r="A1870" s="1">
        <v>74.0</v>
      </c>
      <c r="B1870" s="1">
        <v>13.0</v>
      </c>
      <c r="C1870" s="1">
        <v>99.0</v>
      </c>
      <c r="D1870" s="1">
        <v>26.0</v>
      </c>
      <c r="F1870" s="1" t="str">
        <f>LOOKUP(A1870, NPCs!A:A, NPCs!C:C)</f>
        <v>One with Head Thingy</v>
      </c>
      <c r="G1870" s="1" t="str">
        <f>LOOKUP(B1870, Maps!A:A, Maps!B:B)</f>
        <v>Hay and Frays Stronghold</v>
      </c>
    </row>
    <row r="1871" ht="15.75" customHeight="1">
      <c r="A1871" s="1">
        <v>74.0</v>
      </c>
      <c r="B1871" s="1">
        <v>13.0</v>
      </c>
      <c r="C1871" s="1">
        <v>98.0</v>
      </c>
      <c r="D1871" s="1">
        <v>25.0</v>
      </c>
      <c r="F1871" s="1" t="str">
        <f>LOOKUP(A1871, NPCs!A:A, NPCs!C:C)</f>
        <v>One with Head Thingy</v>
      </c>
      <c r="G1871" s="1" t="str">
        <f>LOOKUP(B1871, Maps!A:A, Maps!B:B)</f>
        <v>Hay and Frays Stronghold</v>
      </c>
    </row>
    <row r="1872" ht="15.75" customHeight="1">
      <c r="A1872" s="1">
        <v>74.0</v>
      </c>
      <c r="B1872" s="1">
        <v>13.0</v>
      </c>
      <c r="C1872" s="1">
        <v>99.0</v>
      </c>
      <c r="D1872" s="1">
        <v>20.0</v>
      </c>
      <c r="F1872" s="1" t="str">
        <f>LOOKUP(A1872, NPCs!A:A, NPCs!C:C)</f>
        <v>One with Head Thingy</v>
      </c>
      <c r="G1872" s="1" t="str">
        <f>LOOKUP(B1872, Maps!A:A, Maps!B:B)</f>
        <v>Hay and Frays Stronghold</v>
      </c>
    </row>
    <row r="1873" ht="15.75" customHeight="1">
      <c r="A1873" s="1">
        <v>74.0</v>
      </c>
      <c r="B1873" s="1">
        <v>13.0</v>
      </c>
      <c r="C1873" s="1">
        <v>95.0</v>
      </c>
      <c r="D1873" s="1">
        <v>18.0</v>
      </c>
      <c r="F1873" s="1" t="str">
        <f>LOOKUP(A1873, NPCs!A:A, NPCs!C:C)</f>
        <v>One with Head Thingy</v>
      </c>
      <c r="G1873" s="1" t="str">
        <f>LOOKUP(B1873, Maps!A:A, Maps!B:B)</f>
        <v>Hay and Frays Stronghold</v>
      </c>
    </row>
    <row r="1874" ht="15.75" customHeight="1">
      <c r="A1874" s="1">
        <v>74.0</v>
      </c>
      <c r="B1874" s="1">
        <v>13.0</v>
      </c>
      <c r="C1874" s="1">
        <v>94.0</v>
      </c>
      <c r="D1874" s="1">
        <v>19.0</v>
      </c>
      <c r="F1874" s="1" t="str">
        <f>LOOKUP(A1874, NPCs!A:A, NPCs!C:C)</f>
        <v>One with Head Thingy</v>
      </c>
      <c r="G1874" s="1" t="str">
        <f>LOOKUP(B1874, Maps!A:A, Maps!B:B)</f>
        <v>Hay and Frays Stronghold</v>
      </c>
    </row>
    <row r="1875" ht="15.75" customHeight="1">
      <c r="A1875" s="1">
        <v>74.0</v>
      </c>
      <c r="B1875" s="1">
        <v>13.0</v>
      </c>
      <c r="C1875" s="1">
        <v>94.0</v>
      </c>
      <c r="D1875" s="1">
        <v>20.0</v>
      </c>
      <c r="F1875" s="1" t="str">
        <f>LOOKUP(A1875, NPCs!A:A, NPCs!C:C)</f>
        <v>One with Head Thingy</v>
      </c>
      <c r="G1875" s="1" t="str">
        <f>LOOKUP(B1875, Maps!A:A, Maps!B:B)</f>
        <v>Hay and Frays Stronghold</v>
      </c>
    </row>
    <row r="1876" ht="15.75" customHeight="1">
      <c r="A1876" s="1">
        <v>74.0</v>
      </c>
      <c r="B1876" s="1">
        <v>13.0</v>
      </c>
      <c r="C1876" s="1">
        <v>93.0</v>
      </c>
      <c r="D1876" s="1">
        <v>21.0</v>
      </c>
      <c r="F1876" s="1" t="str">
        <f>LOOKUP(A1876, NPCs!A:A, NPCs!C:C)</f>
        <v>One with Head Thingy</v>
      </c>
      <c r="G1876" s="1" t="str">
        <f>LOOKUP(B1876, Maps!A:A, Maps!B:B)</f>
        <v>Hay and Frays Stronghold</v>
      </c>
    </row>
    <row r="1877" ht="15.75" customHeight="1">
      <c r="A1877" s="1">
        <v>74.0</v>
      </c>
      <c r="B1877" s="1">
        <v>13.0</v>
      </c>
      <c r="C1877" s="1">
        <v>82.0</v>
      </c>
      <c r="D1877" s="1">
        <v>22.0</v>
      </c>
      <c r="F1877" s="1" t="str">
        <f>LOOKUP(A1877, NPCs!A:A, NPCs!C:C)</f>
        <v>One with Head Thingy</v>
      </c>
      <c r="G1877" s="1" t="str">
        <f>LOOKUP(B1877, Maps!A:A, Maps!B:B)</f>
        <v>Hay and Frays Stronghold</v>
      </c>
    </row>
    <row r="1878" ht="15.75" customHeight="1">
      <c r="A1878" s="1">
        <v>74.0</v>
      </c>
      <c r="B1878" s="1">
        <v>13.0</v>
      </c>
      <c r="C1878" s="1">
        <v>82.0</v>
      </c>
      <c r="D1878" s="1">
        <v>19.0</v>
      </c>
      <c r="F1878" s="1" t="str">
        <f>LOOKUP(A1878, NPCs!A:A, NPCs!C:C)</f>
        <v>One with Head Thingy</v>
      </c>
      <c r="G1878" s="1" t="str">
        <f>LOOKUP(B1878, Maps!A:A, Maps!B:B)</f>
        <v>Hay and Frays Stronghold</v>
      </c>
    </row>
    <row r="1879" ht="15.75" customHeight="1">
      <c r="A1879" s="1">
        <v>74.0</v>
      </c>
      <c r="B1879" s="1">
        <v>13.0</v>
      </c>
      <c r="C1879" s="1">
        <v>86.0</v>
      </c>
      <c r="D1879" s="1">
        <v>21.0</v>
      </c>
      <c r="F1879" s="1" t="str">
        <f>LOOKUP(A1879, NPCs!A:A, NPCs!C:C)</f>
        <v>One with Head Thingy</v>
      </c>
      <c r="G1879" s="1" t="str">
        <f>LOOKUP(B1879, Maps!A:A, Maps!B:B)</f>
        <v>Hay and Frays Stronghold</v>
      </c>
    </row>
    <row r="1880" ht="15.75" customHeight="1">
      <c r="A1880" s="1">
        <v>74.0</v>
      </c>
      <c r="B1880" s="1">
        <v>13.0</v>
      </c>
      <c r="C1880" s="1">
        <v>87.0</v>
      </c>
      <c r="D1880" s="1">
        <v>18.0</v>
      </c>
      <c r="F1880" s="1" t="str">
        <f>LOOKUP(A1880, NPCs!A:A, NPCs!C:C)</f>
        <v>One with Head Thingy</v>
      </c>
      <c r="G1880" s="1" t="str">
        <f>LOOKUP(B1880, Maps!A:A, Maps!B:B)</f>
        <v>Hay and Frays Stronghold</v>
      </c>
    </row>
    <row r="1881" ht="15.75" customHeight="1">
      <c r="A1881" s="1">
        <v>74.0</v>
      </c>
      <c r="B1881" s="1">
        <v>13.0</v>
      </c>
      <c r="C1881" s="1">
        <v>85.0</v>
      </c>
      <c r="D1881" s="1">
        <v>17.0</v>
      </c>
      <c r="F1881" s="1" t="str">
        <f>LOOKUP(A1881, NPCs!A:A, NPCs!C:C)</f>
        <v>One with Head Thingy</v>
      </c>
      <c r="G1881" s="1" t="str">
        <f>LOOKUP(B1881, Maps!A:A, Maps!B:B)</f>
        <v>Hay and Frays Stronghold</v>
      </c>
    </row>
    <row r="1882" ht="15.75" customHeight="1">
      <c r="A1882" s="1">
        <v>74.0</v>
      </c>
      <c r="B1882" s="1">
        <v>13.0</v>
      </c>
      <c r="C1882" s="1">
        <v>55.0</v>
      </c>
      <c r="D1882" s="1">
        <v>34.0</v>
      </c>
      <c r="F1882" s="1" t="str">
        <f>LOOKUP(A1882, NPCs!A:A, NPCs!C:C)</f>
        <v>One with Head Thingy</v>
      </c>
      <c r="G1882" s="1" t="str">
        <f>LOOKUP(B1882, Maps!A:A, Maps!B:B)</f>
        <v>Hay and Frays Stronghold</v>
      </c>
    </row>
    <row r="1883" ht="15.75" customHeight="1">
      <c r="A1883" s="1">
        <v>74.0</v>
      </c>
      <c r="B1883" s="1">
        <v>13.0</v>
      </c>
      <c r="C1883" s="1">
        <v>56.0</v>
      </c>
      <c r="D1883" s="1">
        <v>33.0</v>
      </c>
      <c r="F1883" s="1" t="str">
        <f>LOOKUP(A1883, NPCs!A:A, NPCs!C:C)</f>
        <v>One with Head Thingy</v>
      </c>
      <c r="G1883" s="1" t="str">
        <f>LOOKUP(B1883, Maps!A:A, Maps!B:B)</f>
        <v>Hay and Frays Stronghold</v>
      </c>
    </row>
    <row r="1884" ht="15.75" customHeight="1">
      <c r="A1884" s="1">
        <v>74.0</v>
      </c>
      <c r="B1884" s="1">
        <v>13.0</v>
      </c>
      <c r="C1884" s="1">
        <v>56.0</v>
      </c>
      <c r="D1884" s="1">
        <v>32.0</v>
      </c>
      <c r="F1884" s="1" t="str">
        <f>LOOKUP(A1884, NPCs!A:A, NPCs!C:C)</f>
        <v>One with Head Thingy</v>
      </c>
      <c r="G1884" s="1" t="str">
        <f>LOOKUP(B1884, Maps!A:A, Maps!B:B)</f>
        <v>Hay and Frays Stronghold</v>
      </c>
    </row>
    <row r="1885" ht="15.75" customHeight="1">
      <c r="A1885" s="1">
        <v>74.0</v>
      </c>
      <c r="B1885" s="1">
        <v>13.0</v>
      </c>
      <c r="C1885" s="1">
        <v>61.0</v>
      </c>
      <c r="D1885" s="1">
        <v>35.0</v>
      </c>
      <c r="F1885" s="1" t="str">
        <f>LOOKUP(A1885, NPCs!A:A, NPCs!C:C)</f>
        <v>One with Head Thingy</v>
      </c>
      <c r="G1885" s="1" t="str">
        <f>LOOKUP(B1885, Maps!A:A, Maps!B:B)</f>
        <v>Hay and Frays Stronghold</v>
      </c>
    </row>
    <row r="1886" ht="15.75" customHeight="1">
      <c r="A1886" s="1">
        <v>74.0</v>
      </c>
      <c r="B1886" s="1">
        <v>13.0</v>
      </c>
      <c r="C1886" s="1">
        <v>65.0</v>
      </c>
      <c r="D1886" s="1">
        <v>35.0</v>
      </c>
      <c r="F1886" s="1" t="str">
        <f>LOOKUP(A1886, NPCs!A:A, NPCs!C:C)</f>
        <v>One with Head Thingy</v>
      </c>
      <c r="G1886" s="1" t="str">
        <f>LOOKUP(B1886, Maps!A:A, Maps!B:B)</f>
        <v>Hay and Frays Stronghold</v>
      </c>
    </row>
    <row r="1887" ht="15.75" customHeight="1">
      <c r="A1887" s="1">
        <v>74.0</v>
      </c>
      <c r="B1887" s="1">
        <v>13.0</v>
      </c>
      <c r="C1887" s="1">
        <v>63.0</v>
      </c>
      <c r="D1887" s="1">
        <v>33.0</v>
      </c>
      <c r="F1887" s="1" t="str">
        <f>LOOKUP(A1887, NPCs!A:A, NPCs!C:C)</f>
        <v>One with Head Thingy</v>
      </c>
      <c r="G1887" s="1" t="str">
        <f>LOOKUP(B1887, Maps!A:A, Maps!B:B)</f>
        <v>Hay and Frays Stronghold</v>
      </c>
    </row>
    <row r="1888" ht="15.75" customHeight="1">
      <c r="A1888" s="1">
        <v>74.0</v>
      </c>
      <c r="B1888" s="1">
        <v>13.0</v>
      </c>
      <c r="C1888" s="1">
        <v>64.0</v>
      </c>
      <c r="D1888" s="1">
        <v>33.0</v>
      </c>
      <c r="F1888" s="1" t="str">
        <f>LOOKUP(A1888, NPCs!A:A, NPCs!C:C)</f>
        <v>One with Head Thingy</v>
      </c>
      <c r="G1888" s="1" t="str">
        <f>LOOKUP(B1888, Maps!A:A, Maps!B:B)</f>
        <v>Hay and Frays Stronghold</v>
      </c>
    </row>
    <row r="1889" ht="15.75" customHeight="1">
      <c r="A1889" s="1">
        <v>74.0</v>
      </c>
      <c r="B1889" s="1">
        <v>13.0</v>
      </c>
      <c r="C1889" s="1">
        <v>64.0</v>
      </c>
      <c r="D1889" s="1">
        <v>27.0</v>
      </c>
      <c r="F1889" s="1" t="str">
        <f>LOOKUP(A1889, NPCs!A:A, NPCs!C:C)</f>
        <v>One with Head Thingy</v>
      </c>
      <c r="G1889" s="1" t="str">
        <f>LOOKUP(B1889, Maps!A:A, Maps!B:B)</f>
        <v>Hay and Frays Stronghold</v>
      </c>
    </row>
    <row r="1890" ht="15.75" customHeight="1">
      <c r="A1890" s="1">
        <v>74.0</v>
      </c>
      <c r="B1890" s="1">
        <v>13.0</v>
      </c>
      <c r="C1890" s="1">
        <v>64.0</v>
      </c>
      <c r="D1890" s="1">
        <v>26.0</v>
      </c>
      <c r="F1890" s="1" t="str">
        <f>LOOKUP(A1890, NPCs!A:A, NPCs!C:C)</f>
        <v>One with Head Thingy</v>
      </c>
      <c r="G1890" s="1" t="str">
        <f>LOOKUP(B1890, Maps!A:A, Maps!B:B)</f>
        <v>Hay and Frays Stronghold</v>
      </c>
    </row>
    <row r="1891" ht="15.75" customHeight="1">
      <c r="A1891" s="1">
        <v>74.0</v>
      </c>
      <c r="B1891" s="1">
        <v>13.0</v>
      </c>
      <c r="C1891" s="1">
        <v>64.0</v>
      </c>
      <c r="D1891" s="1">
        <v>25.0</v>
      </c>
      <c r="F1891" s="1" t="str">
        <f>LOOKUP(A1891, NPCs!A:A, NPCs!C:C)</f>
        <v>One with Head Thingy</v>
      </c>
      <c r="G1891" s="1" t="str">
        <f>LOOKUP(B1891, Maps!A:A, Maps!B:B)</f>
        <v>Hay and Frays Stronghold</v>
      </c>
    </row>
    <row r="1892" ht="15.75" customHeight="1">
      <c r="A1892" s="1">
        <v>74.0</v>
      </c>
      <c r="B1892" s="1">
        <v>13.0</v>
      </c>
      <c r="C1892" s="1">
        <v>56.0</v>
      </c>
      <c r="D1892" s="1">
        <v>27.0</v>
      </c>
      <c r="F1892" s="1" t="str">
        <f>LOOKUP(A1892, NPCs!A:A, NPCs!C:C)</f>
        <v>One with Head Thingy</v>
      </c>
      <c r="G1892" s="1" t="str">
        <f>LOOKUP(B1892, Maps!A:A, Maps!B:B)</f>
        <v>Hay and Frays Stronghold</v>
      </c>
    </row>
    <row r="1893" ht="15.75" customHeight="1">
      <c r="A1893" s="1">
        <v>74.0</v>
      </c>
      <c r="B1893" s="1">
        <v>13.0</v>
      </c>
      <c r="C1893" s="1">
        <v>59.0</v>
      </c>
      <c r="D1893" s="1">
        <v>27.0</v>
      </c>
      <c r="F1893" s="1" t="str">
        <f>LOOKUP(A1893, NPCs!A:A, NPCs!C:C)</f>
        <v>One with Head Thingy</v>
      </c>
      <c r="G1893" s="1" t="str">
        <f>LOOKUP(B1893, Maps!A:A, Maps!B:B)</f>
        <v>Hay and Frays Stronghold</v>
      </c>
    </row>
    <row r="1894" ht="15.75" customHeight="1">
      <c r="A1894" s="1">
        <v>74.0</v>
      </c>
      <c r="B1894" s="1">
        <v>13.0</v>
      </c>
      <c r="C1894" s="1">
        <v>58.0</v>
      </c>
      <c r="D1894" s="1">
        <v>26.0</v>
      </c>
      <c r="F1894" s="1" t="str">
        <f>LOOKUP(A1894, NPCs!A:A, NPCs!C:C)</f>
        <v>One with Head Thingy</v>
      </c>
      <c r="G1894" s="1" t="str">
        <f>LOOKUP(B1894, Maps!A:A, Maps!B:B)</f>
        <v>Hay and Frays Stronghold</v>
      </c>
    </row>
    <row r="1895" ht="15.75" customHeight="1">
      <c r="A1895" s="1">
        <v>74.0</v>
      </c>
      <c r="B1895" s="1">
        <v>13.0</v>
      </c>
      <c r="C1895" s="1">
        <v>57.0</v>
      </c>
      <c r="D1895" s="1">
        <v>25.0</v>
      </c>
      <c r="F1895" s="1" t="str">
        <f>LOOKUP(A1895, NPCs!A:A, NPCs!C:C)</f>
        <v>One with Head Thingy</v>
      </c>
      <c r="G1895" s="1" t="str">
        <f>LOOKUP(B1895, Maps!A:A, Maps!B:B)</f>
        <v>Hay and Frays Stronghold</v>
      </c>
    </row>
    <row r="1896" ht="15.75" customHeight="1">
      <c r="A1896" s="1">
        <v>74.0</v>
      </c>
      <c r="B1896" s="1">
        <v>13.0</v>
      </c>
      <c r="C1896" s="1">
        <v>60.0</v>
      </c>
      <c r="D1896" s="1">
        <v>18.0</v>
      </c>
      <c r="F1896" s="1" t="str">
        <f>LOOKUP(A1896, NPCs!A:A, NPCs!C:C)</f>
        <v>One with Head Thingy</v>
      </c>
      <c r="G1896" s="1" t="str">
        <f>LOOKUP(B1896, Maps!A:A, Maps!B:B)</f>
        <v>Hay and Frays Stronghold</v>
      </c>
    </row>
    <row r="1897" ht="15.75" customHeight="1">
      <c r="A1897" s="1">
        <v>74.0</v>
      </c>
      <c r="B1897" s="1">
        <v>13.0</v>
      </c>
      <c r="C1897" s="1">
        <v>61.0</v>
      </c>
      <c r="D1897" s="1">
        <v>17.0</v>
      </c>
      <c r="F1897" s="1" t="str">
        <f>LOOKUP(A1897, NPCs!A:A, NPCs!C:C)</f>
        <v>One with Head Thingy</v>
      </c>
      <c r="G1897" s="1" t="str">
        <f>LOOKUP(B1897, Maps!A:A, Maps!B:B)</f>
        <v>Hay and Frays Stronghold</v>
      </c>
    </row>
    <row r="1898" ht="15.75" customHeight="1">
      <c r="A1898" s="1">
        <v>74.0</v>
      </c>
      <c r="B1898" s="1">
        <v>13.0</v>
      </c>
      <c r="C1898" s="1">
        <v>62.0</v>
      </c>
      <c r="D1898" s="1">
        <v>16.0</v>
      </c>
      <c r="F1898" s="1" t="str">
        <f>LOOKUP(A1898, NPCs!A:A, NPCs!C:C)</f>
        <v>One with Head Thingy</v>
      </c>
      <c r="G1898" s="1" t="str">
        <f>LOOKUP(B1898, Maps!A:A, Maps!B:B)</f>
        <v>Hay and Frays Stronghold</v>
      </c>
    </row>
    <row r="1899" ht="15.75" customHeight="1">
      <c r="A1899" s="1">
        <v>74.0</v>
      </c>
      <c r="B1899" s="1">
        <v>13.0</v>
      </c>
      <c r="C1899" s="1">
        <v>64.0</v>
      </c>
      <c r="D1899" s="1">
        <v>14.0</v>
      </c>
      <c r="F1899" s="1" t="str">
        <f>LOOKUP(A1899, NPCs!A:A, NPCs!C:C)</f>
        <v>One with Head Thingy</v>
      </c>
      <c r="G1899" s="1" t="str">
        <f>LOOKUP(B1899, Maps!A:A, Maps!B:B)</f>
        <v>Hay and Frays Stronghold</v>
      </c>
    </row>
    <row r="1900" ht="15.75" customHeight="1">
      <c r="A1900" s="1">
        <v>74.0</v>
      </c>
      <c r="B1900" s="1">
        <v>13.0</v>
      </c>
      <c r="C1900" s="1">
        <v>64.0</v>
      </c>
      <c r="D1900" s="1">
        <v>6.0</v>
      </c>
      <c r="F1900" s="1" t="str">
        <f>LOOKUP(A1900, NPCs!A:A, NPCs!C:C)</f>
        <v>One with Head Thingy</v>
      </c>
      <c r="G1900" s="1" t="str">
        <f>LOOKUP(B1900, Maps!A:A, Maps!B:B)</f>
        <v>Hay and Frays Stronghold</v>
      </c>
    </row>
    <row r="1901" ht="15.75" customHeight="1">
      <c r="A1901" s="1">
        <v>74.0</v>
      </c>
      <c r="B1901" s="1">
        <v>13.0</v>
      </c>
      <c r="C1901" s="1">
        <v>66.0</v>
      </c>
      <c r="D1901" s="1">
        <v>6.0</v>
      </c>
      <c r="F1901" s="1" t="str">
        <f>LOOKUP(A1901, NPCs!A:A, NPCs!C:C)</f>
        <v>One with Head Thingy</v>
      </c>
      <c r="G1901" s="1" t="str">
        <f>LOOKUP(B1901, Maps!A:A, Maps!B:B)</f>
        <v>Hay and Frays Stronghold</v>
      </c>
    </row>
    <row r="1902" ht="15.75" customHeight="1">
      <c r="A1902" s="1">
        <v>74.0</v>
      </c>
      <c r="B1902" s="1">
        <v>13.0</v>
      </c>
      <c r="C1902" s="1">
        <v>65.0</v>
      </c>
      <c r="D1902" s="1">
        <v>7.0</v>
      </c>
      <c r="F1902" s="1" t="str">
        <f>LOOKUP(A1902, NPCs!A:A, NPCs!C:C)</f>
        <v>One with Head Thingy</v>
      </c>
      <c r="G1902" s="1" t="str">
        <f>LOOKUP(B1902, Maps!A:A, Maps!B:B)</f>
        <v>Hay and Frays Stronghold</v>
      </c>
    </row>
    <row r="1903" ht="15.75" customHeight="1">
      <c r="A1903" s="1">
        <v>74.0</v>
      </c>
      <c r="B1903" s="1">
        <v>13.0</v>
      </c>
      <c r="C1903" s="1">
        <v>59.0</v>
      </c>
      <c r="D1903" s="1">
        <v>11.0</v>
      </c>
      <c r="F1903" s="1" t="str">
        <f>LOOKUP(A1903, NPCs!A:A, NPCs!C:C)</f>
        <v>One with Head Thingy</v>
      </c>
      <c r="G1903" s="1" t="str">
        <f>LOOKUP(B1903, Maps!A:A, Maps!B:B)</f>
        <v>Hay and Frays Stronghold</v>
      </c>
    </row>
    <row r="1904" ht="15.75" customHeight="1">
      <c r="A1904" s="1">
        <v>74.0</v>
      </c>
      <c r="B1904" s="1">
        <v>13.0</v>
      </c>
      <c r="C1904" s="1">
        <v>59.0</v>
      </c>
      <c r="D1904" s="1">
        <v>10.0</v>
      </c>
      <c r="F1904" s="1" t="str">
        <f>LOOKUP(A1904, NPCs!A:A, NPCs!C:C)</f>
        <v>One with Head Thingy</v>
      </c>
      <c r="G1904" s="1" t="str">
        <f>LOOKUP(B1904, Maps!A:A, Maps!B:B)</f>
        <v>Hay and Frays Stronghold</v>
      </c>
    </row>
    <row r="1905" ht="15.75" customHeight="1">
      <c r="A1905" s="1">
        <v>74.0</v>
      </c>
      <c r="B1905" s="1">
        <v>13.0</v>
      </c>
      <c r="C1905" s="1">
        <v>59.0</v>
      </c>
      <c r="D1905" s="1">
        <v>9.0</v>
      </c>
      <c r="F1905" s="1" t="str">
        <f>LOOKUP(A1905, NPCs!A:A, NPCs!C:C)</f>
        <v>One with Head Thingy</v>
      </c>
      <c r="G1905" s="1" t="str">
        <f>LOOKUP(B1905, Maps!A:A, Maps!B:B)</f>
        <v>Hay and Frays Stronghold</v>
      </c>
    </row>
    <row r="1906" ht="15.75" customHeight="1">
      <c r="A1906" s="1">
        <v>74.0</v>
      </c>
      <c r="B1906" s="1">
        <v>13.0</v>
      </c>
      <c r="C1906" s="1">
        <v>53.0</v>
      </c>
      <c r="D1906" s="1">
        <v>6.0</v>
      </c>
      <c r="F1906" s="1" t="str">
        <f>LOOKUP(A1906, NPCs!A:A, NPCs!C:C)</f>
        <v>One with Head Thingy</v>
      </c>
      <c r="G1906" s="1" t="str">
        <f>LOOKUP(B1906, Maps!A:A, Maps!B:B)</f>
        <v>Hay and Frays Stronghold</v>
      </c>
    </row>
    <row r="1907" ht="15.75" customHeight="1">
      <c r="A1907" s="1">
        <v>74.0</v>
      </c>
      <c r="B1907" s="1">
        <v>13.0</v>
      </c>
      <c r="C1907" s="1">
        <v>53.0</v>
      </c>
      <c r="D1907" s="1">
        <v>5.0</v>
      </c>
      <c r="F1907" s="1" t="str">
        <f>LOOKUP(A1907, NPCs!A:A, NPCs!C:C)</f>
        <v>One with Head Thingy</v>
      </c>
      <c r="G1907" s="1" t="str">
        <f>LOOKUP(B1907, Maps!A:A, Maps!B:B)</f>
        <v>Hay and Frays Stronghold</v>
      </c>
    </row>
    <row r="1908" ht="15.75" customHeight="1">
      <c r="A1908" s="1">
        <v>74.0</v>
      </c>
      <c r="B1908" s="1">
        <v>13.0</v>
      </c>
      <c r="C1908" s="1">
        <v>46.0</v>
      </c>
      <c r="D1908" s="1">
        <v>5.0</v>
      </c>
      <c r="F1908" s="1" t="str">
        <f>LOOKUP(A1908, NPCs!A:A, NPCs!C:C)</f>
        <v>One with Head Thingy</v>
      </c>
      <c r="G1908" s="1" t="str">
        <f>LOOKUP(B1908, Maps!A:A, Maps!B:B)</f>
        <v>Hay and Frays Stronghold</v>
      </c>
    </row>
    <row r="1909" ht="15.75" customHeight="1">
      <c r="A1909" s="1">
        <v>74.0</v>
      </c>
      <c r="B1909" s="1">
        <v>13.0</v>
      </c>
      <c r="C1909" s="1">
        <v>45.0</v>
      </c>
      <c r="D1909" s="1">
        <v>5.0</v>
      </c>
      <c r="F1909" s="1" t="str">
        <f>LOOKUP(A1909, NPCs!A:A, NPCs!C:C)</f>
        <v>One with Head Thingy</v>
      </c>
      <c r="G1909" s="1" t="str">
        <f>LOOKUP(B1909, Maps!A:A, Maps!B:B)</f>
        <v>Hay and Frays Stronghold</v>
      </c>
    </row>
    <row r="1910" ht="15.75" customHeight="1">
      <c r="A1910" s="1">
        <v>74.0</v>
      </c>
      <c r="B1910" s="1">
        <v>13.0</v>
      </c>
      <c r="C1910" s="1">
        <v>44.0</v>
      </c>
      <c r="D1910" s="1">
        <v>5.0</v>
      </c>
      <c r="F1910" s="1" t="str">
        <f>LOOKUP(A1910, NPCs!A:A, NPCs!C:C)</f>
        <v>One with Head Thingy</v>
      </c>
      <c r="G1910" s="1" t="str">
        <f>LOOKUP(B1910, Maps!A:A, Maps!B:B)</f>
        <v>Hay and Frays Stronghold</v>
      </c>
    </row>
    <row r="1911" ht="15.75" customHeight="1">
      <c r="A1911" s="1">
        <v>74.0</v>
      </c>
      <c r="B1911" s="1">
        <v>13.0</v>
      </c>
      <c r="C1911" s="1">
        <v>44.0</v>
      </c>
      <c r="D1911" s="1">
        <v>4.0</v>
      </c>
      <c r="F1911" s="1" t="str">
        <f>LOOKUP(A1911, NPCs!A:A, NPCs!C:C)</f>
        <v>One with Head Thingy</v>
      </c>
      <c r="G1911" s="1" t="str">
        <f>LOOKUP(B1911, Maps!A:A, Maps!B:B)</f>
        <v>Hay and Frays Stronghold</v>
      </c>
    </row>
    <row r="1912" ht="15.75" customHeight="1">
      <c r="A1912" s="1">
        <v>74.0</v>
      </c>
      <c r="B1912" s="1">
        <v>13.0</v>
      </c>
      <c r="C1912" s="1">
        <v>54.0</v>
      </c>
      <c r="D1912" s="1">
        <v>4.0</v>
      </c>
      <c r="F1912" s="1" t="str">
        <f>LOOKUP(A1912, NPCs!A:A, NPCs!C:C)</f>
        <v>One with Head Thingy</v>
      </c>
      <c r="G1912" s="1" t="str">
        <f>LOOKUP(B1912, Maps!A:A, Maps!B:B)</f>
        <v>Hay and Frays Stronghold</v>
      </c>
    </row>
    <row r="1913" ht="15.75" customHeight="1">
      <c r="A1913" s="1">
        <v>74.0</v>
      </c>
      <c r="B1913" s="1">
        <v>13.0</v>
      </c>
      <c r="C1913" s="1">
        <v>55.0</v>
      </c>
      <c r="D1913" s="1">
        <v>4.0</v>
      </c>
      <c r="F1913" s="1" t="str">
        <f>LOOKUP(A1913, NPCs!A:A, NPCs!C:C)</f>
        <v>One with Head Thingy</v>
      </c>
      <c r="G1913" s="1" t="str">
        <f>LOOKUP(B1913, Maps!A:A, Maps!B:B)</f>
        <v>Hay and Frays Stronghold</v>
      </c>
    </row>
    <row r="1914" ht="15.75" customHeight="1">
      <c r="A1914" s="1">
        <v>74.0</v>
      </c>
      <c r="B1914" s="1">
        <v>13.0</v>
      </c>
      <c r="C1914" s="1">
        <v>44.0</v>
      </c>
      <c r="D1914" s="1">
        <v>11.0</v>
      </c>
      <c r="F1914" s="1" t="str">
        <f>LOOKUP(A1914, NPCs!A:A, NPCs!C:C)</f>
        <v>One with Head Thingy</v>
      </c>
      <c r="G1914" s="1" t="str">
        <f>LOOKUP(B1914, Maps!A:A, Maps!B:B)</f>
        <v>Hay and Frays Stronghold</v>
      </c>
    </row>
    <row r="1915" ht="15.75" customHeight="1">
      <c r="A1915" s="1">
        <v>74.0</v>
      </c>
      <c r="B1915" s="1">
        <v>13.0</v>
      </c>
      <c r="C1915" s="1">
        <v>47.0</v>
      </c>
      <c r="D1915" s="1">
        <v>11.0</v>
      </c>
      <c r="F1915" s="1" t="str">
        <f>LOOKUP(A1915, NPCs!A:A, NPCs!C:C)</f>
        <v>One with Head Thingy</v>
      </c>
      <c r="G1915" s="1" t="str">
        <f>LOOKUP(B1915, Maps!A:A, Maps!B:B)</f>
        <v>Hay and Frays Stronghold</v>
      </c>
    </row>
    <row r="1916" ht="15.75" customHeight="1">
      <c r="A1916" s="1">
        <v>74.0</v>
      </c>
      <c r="B1916" s="1">
        <v>13.0</v>
      </c>
      <c r="C1916" s="1">
        <v>47.0</v>
      </c>
      <c r="D1916" s="1">
        <v>10.0</v>
      </c>
      <c r="F1916" s="1" t="str">
        <f>LOOKUP(A1916, NPCs!A:A, NPCs!C:C)</f>
        <v>One with Head Thingy</v>
      </c>
      <c r="G1916" s="1" t="str">
        <f>LOOKUP(B1916, Maps!A:A, Maps!B:B)</f>
        <v>Hay and Frays Stronghold</v>
      </c>
    </row>
    <row r="1917" ht="15.75" customHeight="1">
      <c r="A1917" s="1">
        <v>74.0</v>
      </c>
      <c r="B1917" s="1">
        <v>13.0</v>
      </c>
      <c r="C1917" s="1">
        <v>45.0</v>
      </c>
      <c r="D1917" s="1">
        <v>10.0</v>
      </c>
      <c r="F1917" s="1" t="str">
        <f>LOOKUP(A1917, NPCs!A:A, NPCs!C:C)</f>
        <v>One with Head Thingy</v>
      </c>
      <c r="G1917" s="1" t="str">
        <f>LOOKUP(B1917, Maps!A:A, Maps!B:B)</f>
        <v>Hay and Frays Stronghold</v>
      </c>
    </row>
    <row r="1918" ht="15.75" customHeight="1">
      <c r="A1918" s="1">
        <v>74.0</v>
      </c>
      <c r="B1918" s="1">
        <v>13.0</v>
      </c>
      <c r="C1918" s="1">
        <v>53.0</v>
      </c>
      <c r="D1918" s="1">
        <v>13.0</v>
      </c>
      <c r="F1918" s="1" t="str">
        <f>LOOKUP(A1918, NPCs!A:A, NPCs!C:C)</f>
        <v>One with Head Thingy</v>
      </c>
      <c r="G1918" s="1" t="str">
        <f>LOOKUP(B1918, Maps!A:A, Maps!B:B)</f>
        <v>Hay and Frays Stronghold</v>
      </c>
    </row>
    <row r="1919" ht="15.75" customHeight="1">
      <c r="A1919" s="1">
        <v>74.0</v>
      </c>
      <c r="B1919" s="1">
        <v>13.0</v>
      </c>
      <c r="C1919" s="1">
        <v>53.0</v>
      </c>
      <c r="D1919" s="1">
        <v>14.0</v>
      </c>
      <c r="F1919" s="1" t="str">
        <f>LOOKUP(A1919, NPCs!A:A, NPCs!C:C)</f>
        <v>One with Head Thingy</v>
      </c>
      <c r="G1919" s="1" t="str">
        <f>LOOKUP(B1919, Maps!A:A, Maps!B:B)</f>
        <v>Hay and Frays Stronghold</v>
      </c>
    </row>
    <row r="1920" ht="15.75" customHeight="1">
      <c r="A1920" s="1">
        <v>74.0</v>
      </c>
      <c r="B1920" s="1">
        <v>13.0</v>
      </c>
      <c r="C1920" s="1">
        <v>53.0</v>
      </c>
      <c r="D1920" s="1">
        <v>17.0</v>
      </c>
      <c r="F1920" s="1" t="str">
        <f>LOOKUP(A1920, NPCs!A:A, NPCs!C:C)</f>
        <v>One with Head Thingy</v>
      </c>
      <c r="G1920" s="1" t="str">
        <f>LOOKUP(B1920, Maps!A:A, Maps!B:B)</f>
        <v>Hay and Frays Stronghold</v>
      </c>
    </row>
    <row r="1921" ht="15.75" customHeight="1">
      <c r="A1921" s="1">
        <v>74.0</v>
      </c>
      <c r="B1921" s="1">
        <v>13.0</v>
      </c>
      <c r="C1921" s="1">
        <v>52.0</v>
      </c>
      <c r="D1921" s="1">
        <v>16.0</v>
      </c>
      <c r="F1921" s="1" t="str">
        <f>LOOKUP(A1921, NPCs!A:A, NPCs!C:C)</f>
        <v>One with Head Thingy</v>
      </c>
      <c r="G1921" s="1" t="str">
        <f>LOOKUP(B1921, Maps!A:A, Maps!B:B)</f>
        <v>Hay and Frays Stronghold</v>
      </c>
    </row>
    <row r="1922" ht="15.75" customHeight="1">
      <c r="A1922" s="1">
        <v>74.0</v>
      </c>
      <c r="B1922" s="1">
        <v>13.0</v>
      </c>
      <c r="C1922" s="1">
        <v>52.0</v>
      </c>
      <c r="D1922" s="1">
        <v>15.0</v>
      </c>
      <c r="F1922" s="1" t="str">
        <f>LOOKUP(A1922, NPCs!A:A, NPCs!C:C)</f>
        <v>One with Head Thingy</v>
      </c>
      <c r="G1922" s="1" t="str">
        <f>LOOKUP(B1922, Maps!A:A, Maps!B:B)</f>
        <v>Hay and Frays Stronghold</v>
      </c>
    </row>
    <row r="1923" ht="15.75" customHeight="1">
      <c r="A1923" s="1">
        <v>74.0</v>
      </c>
      <c r="B1923" s="1">
        <v>13.0</v>
      </c>
      <c r="C1923" s="1">
        <v>42.0</v>
      </c>
      <c r="D1923" s="1">
        <v>22.0</v>
      </c>
      <c r="F1923" s="1" t="str">
        <f>LOOKUP(A1923, NPCs!A:A, NPCs!C:C)</f>
        <v>One with Head Thingy</v>
      </c>
      <c r="G1923" s="1" t="str">
        <f>LOOKUP(B1923, Maps!A:A, Maps!B:B)</f>
        <v>Hay and Frays Stronghold</v>
      </c>
    </row>
    <row r="1924" ht="15.75" customHeight="1">
      <c r="A1924" s="1">
        <v>74.0</v>
      </c>
      <c r="B1924" s="1">
        <v>13.0</v>
      </c>
      <c r="C1924" s="1">
        <v>45.0</v>
      </c>
      <c r="D1924" s="1">
        <v>22.0</v>
      </c>
      <c r="F1924" s="1" t="str">
        <f>LOOKUP(A1924, NPCs!A:A, NPCs!C:C)</f>
        <v>One with Head Thingy</v>
      </c>
      <c r="G1924" s="1" t="str">
        <f>LOOKUP(B1924, Maps!A:A, Maps!B:B)</f>
        <v>Hay and Frays Stronghold</v>
      </c>
    </row>
    <row r="1925" ht="15.75" customHeight="1">
      <c r="A1925" s="1">
        <v>74.0</v>
      </c>
      <c r="B1925" s="1">
        <v>13.0</v>
      </c>
      <c r="C1925" s="1">
        <v>44.0</v>
      </c>
      <c r="D1925" s="1">
        <v>21.0</v>
      </c>
      <c r="F1925" s="1" t="str">
        <f>LOOKUP(A1925, NPCs!A:A, NPCs!C:C)</f>
        <v>One with Head Thingy</v>
      </c>
      <c r="G1925" s="1" t="str">
        <f>LOOKUP(B1925, Maps!A:A, Maps!B:B)</f>
        <v>Hay and Frays Stronghold</v>
      </c>
    </row>
    <row r="1926" ht="15.75" customHeight="1">
      <c r="A1926" s="1">
        <v>74.0</v>
      </c>
      <c r="B1926" s="1">
        <v>13.0</v>
      </c>
      <c r="C1926" s="1">
        <v>47.0</v>
      </c>
      <c r="D1926" s="1">
        <v>21.0</v>
      </c>
      <c r="F1926" s="1" t="str">
        <f>LOOKUP(A1926, NPCs!A:A, NPCs!C:C)</f>
        <v>One with Head Thingy</v>
      </c>
      <c r="G1926" s="1" t="str">
        <f>LOOKUP(B1926, Maps!A:A, Maps!B:B)</f>
        <v>Hay and Frays Stronghold</v>
      </c>
    </row>
    <row r="1927" ht="15.75" customHeight="1">
      <c r="A1927" s="1">
        <v>74.0</v>
      </c>
      <c r="B1927" s="1">
        <v>13.0</v>
      </c>
      <c r="C1927" s="1">
        <v>43.0</v>
      </c>
      <c r="D1927" s="1">
        <v>27.0</v>
      </c>
      <c r="F1927" s="1" t="str">
        <f>LOOKUP(A1927, NPCs!A:A, NPCs!C:C)</f>
        <v>One with Head Thingy</v>
      </c>
      <c r="G1927" s="1" t="str">
        <f>LOOKUP(B1927, Maps!A:A, Maps!B:B)</f>
        <v>Hay and Frays Stronghold</v>
      </c>
    </row>
    <row r="1928" ht="15.75" customHeight="1">
      <c r="A1928" s="1">
        <v>74.0</v>
      </c>
      <c r="B1928" s="1">
        <v>13.0</v>
      </c>
      <c r="C1928" s="1">
        <v>44.0</v>
      </c>
      <c r="D1928" s="1">
        <v>28.0</v>
      </c>
      <c r="F1928" s="1" t="str">
        <f>LOOKUP(A1928, NPCs!A:A, NPCs!C:C)</f>
        <v>One with Head Thingy</v>
      </c>
      <c r="G1928" s="1" t="str">
        <f>LOOKUP(B1928, Maps!A:A, Maps!B:B)</f>
        <v>Hay and Frays Stronghold</v>
      </c>
    </row>
    <row r="1929" ht="15.75" customHeight="1">
      <c r="A1929" s="1">
        <v>74.0</v>
      </c>
      <c r="B1929" s="1">
        <v>13.0</v>
      </c>
      <c r="C1929" s="1">
        <v>46.0</v>
      </c>
      <c r="D1929" s="1">
        <v>28.0</v>
      </c>
      <c r="F1929" s="1" t="str">
        <f>LOOKUP(A1929, NPCs!A:A, NPCs!C:C)</f>
        <v>One with Head Thingy</v>
      </c>
      <c r="G1929" s="1" t="str">
        <f>LOOKUP(B1929, Maps!A:A, Maps!B:B)</f>
        <v>Hay and Frays Stronghold</v>
      </c>
    </row>
    <row r="1930" ht="15.75" customHeight="1">
      <c r="A1930" s="1">
        <v>74.0</v>
      </c>
      <c r="B1930" s="1">
        <v>13.0</v>
      </c>
      <c r="C1930" s="1">
        <v>49.0</v>
      </c>
      <c r="D1930" s="1">
        <v>28.0</v>
      </c>
      <c r="F1930" s="1" t="str">
        <f>LOOKUP(A1930, NPCs!A:A, NPCs!C:C)</f>
        <v>One with Head Thingy</v>
      </c>
      <c r="G1930" s="1" t="str">
        <f>LOOKUP(B1930, Maps!A:A, Maps!B:B)</f>
        <v>Hay and Frays Stronghold</v>
      </c>
    </row>
    <row r="1931" ht="15.75" customHeight="1">
      <c r="A1931" s="1">
        <v>74.0</v>
      </c>
      <c r="B1931" s="1">
        <v>13.0</v>
      </c>
      <c r="C1931" s="1">
        <v>45.0</v>
      </c>
      <c r="D1931" s="1">
        <v>29.0</v>
      </c>
      <c r="F1931" s="1" t="str">
        <f>LOOKUP(A1931, NPCs!A:A, NPCs!C:C)</f>
        <v>One with Head Thingy</v>
      </c>
      <c r="G1931" s="1" t="str">
        <f>LOOKUP(B1931, Maps!A:A, Maps!B:B)</f>
        <v>Hay and Frays Stronghold</v>
      </c>
    </row>
    <row r="1932" ht="15.75" customHeight="1">
      <c r="A1932" s="1">
        <v>74.0</v>
      </c>
      <c r="B1932" s="1">
        <v>13.0</v>
      </c>
      <c r="C1932" s="1">
        <v>48.0</v>
      </c>
      <c r="D1932" s="1">
        <v>29.0</v>
      </c>
      <c r="F1932" s="1" t="str">
        <f>LOOKUP(A1932, NPCs!A:A, NPCs!C:C)</f>
        <v>One with Head Thingy</v>
      </c>
      <c r="G1932" s="1" t="str">
        <f>LOOKUP(B1932, Maps!A:A, Maps!B:B)</f>
        <v>Hay and Frays Stronghold</v>
      </c>
    </row>
    <row r="1933" ht="15.75" customHeight="1">
      <c r="A1933" s="1">
        <v>74.0</v>
      </c>
      <c r="B1933" s="1">
        <v>13.0</v>
      </c>
      <c r="C1933" s="1">
        <v>44.0</v>
      </c>
      <c r="D1933" s="1">
        <v>35.0</v>
      </c>
      <c r="F1933" s="1" t="str">
        <f>LOOKUP(A1933, NPCs!A:A, NPCs!C:C)</f>
        <v>One with Head Thingy</v>
      </c>
      <c r="G1933" s="1" t="str">
        <f>LOOKUP(B1933, Maps!A:A, Maps!B:B)</f>
        <v>Hay and Frays Stronghold</v>
      </c>
    </row>
    <row r="1934" ht="15.75" customHeight="1">
      <c r="A1934" s="1">
        <v>74.0</v>
      </c>
      <c r="B1934" s="1">
        <v>13.0</v>
      </c>
      <c r="C1934" s="1">
        <v>43.0</v>
      </c>
      <c r="D1934" s="1">
        <v>35.0</v>
      </c>
      <c r="F1934" s="1" t="str">
        <f>LOOKUP(A1934, NPCs!A:A, NPCs!C:C)</f>
        <v>One with Head Thingy</v>
      </c>
      <c r="G1934" s="1" t="str">
        <f>LOOKUP(B1934, Maps!A:A, Maps!B:B)</f>
        <v>Hay and Frays Stronghold</v>
      </c>
    </row>
    <row r="1935" ht="15.75" customHeight="1">
      <c r="A1935" s="1">
        <v>74.0</v>
      </c>
      <c r="B1935" s="1">
        <v>13.0</v>
      </c>
      <c r="C1935" s="1">
        <v>49.0</v>
      </c>
      <c r="D1935" s="1">
        <v>35.0</v>
      </c>
      <c r="F1935" s="1" t="str">
        <f>LOOKUP(A1935, NPCs!A:A, NPCs!C:C)</f>
        <v>One with Head Thingy</v>
      </c>
      <c r="G1935" s="1" t="str">
        <f>LOOKUP(B1935, Maps!A:A, Maps!B:B)</f>
        <v>Hay and Frays Stronghold</v>
      </c>
    </row>
    <row r="1936" ht="15.75" customHeight="1">
      <c r="A1936" s="1">
        <v>74.0</v>
      </c>
      <c r="B1936" s="1">
        <v>13.0</v>
      </c>
      <c r="C1936" s="1">
        <v>42.0</v>
      </c>
      <c r="D1936" s="1">
        <v>34.0</v>
      </c>
      <c r="F1936" s="1" t="str">
        <f>LOOKUP(A1936, NPCs!A:A, NPCs!C:C)</f>
        <v>One with Head Thingy</v>
      </c>
      <c r="G1936" s="1" t="str">
        <f>LOOKUP(B1936, Maps!A:A, Maps!B:B)</f>
        <v>Hay and Frays Stronghold</v>
      </c>
    </row>
    <row r="1937" ht="15.75" customHeight="1">
      <c r="A1937" s="1">
        <v>74.0</v>
      </c>
      <c r="B1937" s="1">
        <v>13.0</v>
      </c>
      <c r="C1937" s="1">
        <v>50.0</v>
      </c>
      <c r="D1937" s="1">
        <v>34.0</v>
      </c>
      <c r="F1937" s="1" t="str">
        <f>LOOKUP(A1937, NPCs!A:A, NPCs!C:C)</f>
        <v>One with Head Thingy</v>
      </c>
      <c r="G1937" s="1" t="str">
        <f>LOOKUP(B1937, Maps!A:A, Maps!B:B)</f>
        <v>Hay and Frays Stronghold</v>
      </c>
    </row>
    <row r="1938" ht="15.75" customHeight="1">
      <c r="A1938" s="1">
        <v>74.0</v>
      </c>
      <c r="B1938" s="1">
        <v>13.0</v>
      </c>
      <c r="C1938" s="1">
        <v>49.0</v>
      </c>
      <c r="D1938" s="1">
        <v>36.0</v>
      </c>
      <c r="F1938" s="1" t="str">
        <f>LOOKUP(A1938, NPCs!A:A, NPCs!C:C)</f>
        <v>One with Head Thingy</v>
      </c>
      <c r="G1938" s="1" t="str">
        <f>LOOKUP(B1938, Maps!A:A, Maps!B:B)</f>
        <v>Hay and Frays Stronghold</v>
      </c>
    </row>
    <row r="1939" ht="15.75" customHeight="1">
      <c r="A1939" s="1">
        <v>74.0</v>
      </c>
      <c r="B1939" s="1">
        <v>13.0</v>
      </c>
      <c r="C1939" s="1">
        <v>43.0</v>
      </c>
      <c r="D1939" s="1">
        <v>41.0</v>
      </c>
      <c r="F1939" s="1" t="str">
        <f>LOOKUP(A1939, NPCs!A:A, NPCs!C:C)</f>
        <v>One with Head Thingy</v>
      </c>
      <c r="G1939" s="1" t="str">
        <f>LOOKUP(B1939, Maps!A:A, Maps!B:B)</f>
        <v>Hay and Frays Stronghold</v>
      </c>
    </row>
    <row r="1940" ht="15.75" customHeight="1">
      <c r="A1940" s="1">
        <v>74.0</v>
      </c>
      <c r="B1940" s="1">
        <v>13.0</v>
      </c>
      <c r="C1940" s="1">
        <v>50.0</v>
      </c>
      <c r="D1940" s="1">
        <v>41.0</v>
      </c>
      <c r="F1940" s="1" t="str">
        <f>LOOKUP(A1940, NPCs!A:A, NPCs!C:C)</f>
        <v>One with Head Thingy</v>
      </c>
      <c r="G1940" s="1" t="str">
        <f>LOOKUP(B1940, Maps!A:A, Maps!B:B)</f>
        <v>Hay and Frays Stronghold</v>
      </c>
    </row>
    <row r="1941" ht="15.75" customHeight="1">
      <c r="A1941" s="1">
        <v>74.0</v>
      </c>
      <c r="B1941" s="1">
        <v>13.0</v>
      </c>
      <c r="C1941" s="1">
        <v>45.0</v>
      </c>
      <c r="D1941" s="1">
        <v>49.0</v>
      </c>
      <c r="F1941" s="1" t="str">
        <f>LOOKUP(A1941, NPCs!A:A, NPCs!C:C)</f>
        <v>One with Head Thingy</v>
      </c>
      <c r="G1941" s="1" t="str">
        <f>LOOKUP(B1941, Maps!A:A, Maps!B:B)</f>
        <v>Hay and Frays Stronghold</v>
      </c>
    </row>
    <row r="1942" ht="15.75" customHeight="1">
      <c r="A1942" s="1">
        <v>74.0</v>
      </c>
      <c r="B1942" s="1">
        <v>13.0</v>
      </c>
      <c r="C1942" s="1">
        <v>47.0</v>
      </c>
      <c r="D1942" s="1">
        <v>49.0</v>
      </c>
      <c r="F1942" s="1" t="str">
        <f>LOOKUP(A1942, NPCs!A:A, NPCs!C:C)</f>
        <v>One with Head Thingy</v>
      </c>
      <c r="G1942" s="1" t="str">
        <f>LOOKUP(B1942, Maps!A:A, Maps!B:B)</f>
        <v>Hay and Frays Stronghold</v>
      </c>
    </row>
    <row r="1943" ht="15.75" customHeight="1">
      <c r="A1943" s="1">
        <v>74.0</v>
      </c>
      <c r="B1943" s="1">
        <v>13.0</v>
      </c>
      <c r="C1943" s="1">
        <v>49.0</v>
      </c>
      <c r="D1943" s="1">
        <v>49.0</v>
      </c>
      <c r="F1943" s="1" t="str">
        <f>LOOKUP(A1943, NPCs!A:A, NPCs!C:C)</f>
        <v>One with Head Thingy</v>
      </c>
      <c r="G1943" s="1" t="str">
        <f>LOOKUP(B1943, Maps!A:A, Maps!B:B)</f>
        <v>Hay and Frays Stronghold</v>
      </c>
    </row>
    <row r="1944" ht="15.75" customHeight="1">
      <c r="A1944" s="1">
        <v>74.0</v>
      </c>
      <c r="B1944" s="1">
        <v>13.0</v>
      </c>
      <c r="C1944" s="1">
        <v>44.0</v>
      </c>
      <c r="D1944" s="1">
        <v>44.0</v>
      </c>
      <c r="F1944" s="1" t="str">
        <f>LOOKUP(A1944, NPCs!A:A, NPCs!C:C)</f>
        <v>One with Head Thingy</v>
      </c>
      <c r="G1944" s="1" t="str">
        <f>LOOKUP(B1944, Maps!A:A, Maps!B:B)</f>
        <v>Hay and Frays Stronghold</v>
      </c>
    </row>
    <row r="1945" ht="15.75" customHeight="1">
      <c r="A1945" s="1">
        <v>74.0</v>
      </c>
      <c r="B1945" s="1">
        <v>13.0</v>
      </c>
      <c r="C1945" s="1">
        <v>45.0</v>
      </c>
      <c r="D1945" s="1">
        <v>43.0</v>
      </c>
      <c r="F1945" s="1" t="str">
        <f>LOOKUP(A1945, NPCs!A:A, NPCs!C:C)</f>
        <v>One with Head Thingy</v>
      </c>
      <c r="G1945" s="1" t="str">
        <f>LOOKUP(B1945, Maps!A:A, Maps!B:B)</f>
        <v>Hay and Frays Stronghold</v>
      </c>
    </row>
    <row r="1946" ht="15.75" customHeight="1">
      <c r="A1946" s="1">
        <v>74.0</v>
      </c>
      <c r="B1946" s="1">
        <v>13.0</v>
      </c>
      <c r="C1946" s="1">
        <v>51.0</v>
      </c>
      <c r="D1946" s="1">
        <v>43.0</v>
      </c>
      <c r="F1946" s="1" t="str">
        <f>LOOKUP(A1946, NPCs!A:A, NPCs!C:C)</f>
        <v>One with Head Thingy</v>
      </c>
      <c r="G1946" s="1" t="str">
        <f>LOOKUP(B1946, Maps!A:A, Maps!B:B)</f>
        <v>Hay and Frays Stronghold</v>
      </c>
    </row>
    <row r="1947" ht="15.75" customHeight="1">
      <c r="A1947" s="1">
        <v>74.0</v>
      </c>
      <c r="B1947" s="1">
        <v>13.0</v>
      </c>
      <c r="C1947" s="1">
        <v>50.0</v>
      </c>
      <c r="D1947" s="1">
        <v>42.0</v>
      </c>
      <c r="F1947" s="1" t="str">
        <f>LOOKUP(A1947, NPCs!A:A, NPCs!C:C)</f>
        <v>One with Head Thingy</v>
      </c>
      <c r="G1947" s="1" t="str">
        <f>LOOKUP(B1947, Maps!A:A, Maps!B:B)</f>
        <v>Hay and Frays Stronghold</v>
      </c>
    </row>
    <row r="1948" ht="15.75" customHeight="1">
      <c r="A1948" s="1">
        <v>74.0</v>
      </c>
      <c r="B1948" s="1">
        <v>13.0</v>
      </c>
      <c r="C1948" s="1">
        <v>44.0</v>
      </c>
      <c r="D1948" s="1">
        <v>42.0</v>
      </c>
      <c r="F1948" s="1" t="str">
        <f>LOOKUP(A1948, NPCs!A:A, NPCs!C:C)</f>
        <v>One with Head Thingy</v>
      </c>
      <c r="G1948" s="1" t="str">
        <f>LOOKUP(B1948, Maps!A:A, Maps!B:B)</f>
        <v>Hay and Frays Stronghold</v>
      </c>
    </row>
    <row r="1949" ht="15.75" customHeight="1">
      <c r="A1949" s="1">
        <v>74.0</v>
      </c>
      <c r="B1949" s="1">
        <v>13.0</v>
      </c>
      <c r="C1949" s="1">
        <v>39.0</v>
      </c>
      <c r="D1949" s="1">
        <v>46.0</v>
      </c>
      <c r="F1949" s="1" t="str">
        <f>LOOKUP(A1949, NPCs!A:A, NPCs!C:C)</f>
        <v>One with Head Thingy</v>
      </c>
      <c r="G1949" s="1" t="str">
        <f>LOOKUP(B1949, Maps!A:A, Maps!B:B)</f>
        <v>Hay and Frays Stronghold</v>
      </c>
    </row>
    <row r="1950" ht="15.75" customHeight="1">
      <c r="A1950" s="1">
        <v>74.0</v>
      </c>
      <c r="B1950" s="1">
        <v>13.0</v>
      </c>
      <c r="C1950" s="1">
        <v>38.0</v>
      </c>
      <c r="D1950" s="1">
        <v>46.0</v>
      </c>
      <c r="F1950" s="1" t="str">
        <f>LOOKUP(A1950, NPCs!A:A, NPCs!C:C)</f>
        <v>One with Head Thingy</v>
      </c>
      <c r="G1950" s="1" t="str">
        <f>LOOKUP(B1950, Maps!A:A, Maps!B:B)</f>
        <v>Hay and Frays Stronghold</v>
      </c>
    </row>
    <row r="1951" ht="15.75" customHeight="1">
      <c r="A1951" s="1">
        <v>74.0</v>
      </c>
      <c r="B1951" s="1">
        <v>13.0</v>
      </c>
      <c r="C1951" s="1">
        <v>35.0</v>
      </c>
      <c r="D1951" s="1">
        <v>46.0</v>
      </c>
      <c r="F1951" s="1" t="str">
        <f>LOOKUP(A1951, NPCs!A:A, NPCs!C:C)</f>
        <v>One with Head Thingy</v>
      </c>
      <c r="G1951" s="1" t="str">
        <f>LOOKUP(B1951, Maps!A:A, Maps!B:B)</f>
        <v>Hay and Frays Stronghold</v>
      </c>
    </row>
    <row r="1952" ht="15.75" customHeight="1">
      <c r="A1952" s="1">
        <v>74.0</v>
      </c>
      <c r="B1952" s="1">
        <v>13.0</v>
      </c>
      <c r="C1952" s="1">
        <v>33.0</v>
      </c>
      <c r="D1952" s="1">
        <v>46.0</v>
      </c>
      <c r="F1952" s="1" t="str">
        <f>LOOKUP(A1952, NPCs!A:A, NPCs!C:C)</f>
        <v>One with Head Thingy</v>
      </c>
      <c r="G1952" s="1" t="str">
        <f>LOOKUP(B1952, Maps!A:A, Maps!B:B)</f>
        <v>Hay and Frays Stronghold</v>
      </c>
    </row>
    <row r="1953" ht="15.75" customHeight="1">
      <c r="A1953" s="1">
        <v>74.0</v>
      </c>
      <c r="B1953" s="1">
        <v>13.0</v>
      </c>
      <c r="C1953" s="1">
        <v>31.0</v>
      </c>
      <c r="D1953" s="1">
        <v>46.0</v>
      </c>
      <c r="F1953" s="1" t="str">
        <f>LOOKUP(A1953, NPCs!A:A, NPCs!C:C)</f>
        <v>One with Head Thingy</v>
      </c>
      <c r="G1953" s="1" t="str">
        <f>LOOKUP(B1953, Maps!A:A, Maps!B:B)</f>
        <v>Hay and Frays Stronghold</v>
      </c>
    </row>
    <row r="1954" ht="15.75" customHeight="1">
      <c r="A1954" s="1">
        <v>74.0</v>
      </c>
      <c r="B1954" s="1">
        <v>13.0</v>
      </c>
      <c r="C1954" s="1">
        <v>35.0</v>
      </c>
      <c r="D1954" s="1">
        <v>47.0</v>
      </c>
      <c r="F1954" s="1" t="str">
        <f>LOOKUP(A1954, NPCs!A:A, NPCs!C:C)</f>
        <v>One with Head Thingy</v>
      </c>
      <c r="G1954" s="1" t="str">
        <f>LOOKUP(B1954, Maps!A:A, Maps!B:B)</f>
        <v>Hay and Frays Stronghold</v>
      </c>
    </row>
    <row r="1955" ht="15.75" customHeight="1">
      <c r="A1955" s="1">
        <v>74.0</v>
      </c>
      <c r="B1955" s="1">
        <v>13.0</v>
      </c>
      <c r="C1955" s="1">
        <v>35.0</v>
      </c>
      <c r="D1955" s="1">
        <v>49.0</v>
      </c>
      <c r="F1955" s="1" t="str">
        <f>LOOKUP(A1955, NPCs!A:A, NPCs!C:C)</f>
        <v>One with Head Thingy</v>
      </c>
      <c r="G1955" s="1" t="str">
        <f>LOOKUP(B1955, Maps!A:A, Maps!B:B)</f>
        <v>Hay and Frays Stronghold</v>
      </c>
    </row>
    <row r="1956" ht="15.75" customHeight="1">
      <c r="A1956" s="1">
        <v>74.0</v>
      </c>
      <c r="B1956" s="1">
        <v>13.0</v>
      </c>
      <c r="C1956" s="1">
        <v>35.0</v>
      </c>
      <c r="D1956" s="1">
        <v>50.0</v>
      </c>
      <c r="F1956" s="1" t="str">
        <f>LOOKUP(A1956, NPCs!A:A, NPCs!C:C)</f>
        <v>One with Head Thingy</v>
      </c>
      <c r="G1956" s="1" t="str">
        <f>LOOKUP(B1956, Maps!A:A, Maps!B:B)</f>
        <v>Hay and Frays Stronghold</v>
      </c>
    </row>
    <row r="1957" ht="15.75" customHeight="1">
      <c r="A1957" s="1">
        <v>74.0</v>
      </c>
      <c r="B1957" s="1">
        <v>13.0</v>
      </c>
      <c r="C1957" s="1">
        <v>35.0</v>
      </c>
      <c r="D1957" s="1">
        <v>50.0</v>
      </c>
      <c r="F1957" s="1" t="str">
        <f>LOOKUP(A1957, NPCs!A:A, NPCs!C:C)</f>
        <v>One with Head Thingy</v>
      </c>
      <c r="G1957" s="1" t="str">
        <f>LOOKUP(B1957, Maps!A:A, Maps!B:B)</f>
        <v>Hay and Frays Stronghold</v>
      </c>
    </row>
    <row r="1958" ht="15.75" customHeight="1">
      <c r="A1958" s="1">
        <v>74.0</v>
      </c>
      <c r="B1958" s="1">
        <v>13.0</v>
      </c>
      <c r="C1958" s="1">
        <v>33.0</v>
      </c>
      <c r="D1958" s="1">
        <v>48.0</v>
      </c>
      <c r="F1958" s="1" t="str">
        <f>LOOKUP(A1958, NPCs!A:A, NPCs!C:C)</f>
        <v>One with Head Thingy</v>
      </c>
      <c r="G1958" s="1" t="str">
        <f>LOOKUP(B1958, Maps!A:A, Maps!B:B)</f>
        <v>Hay and Frays Stronghold</v>
      </c>
    </row>
    <row r="1959" ht="15.75" customHeight="1">
      <c r="A1959" s="1">
        <v>74.0</v>
      </c>
      <c r="B1959" s="1">
        <v>13.0</v>
      </c>
      <c r="C1959" s="1">
        <v>32.0</v>
      </c>
      <c r="D1959" s="1">
        <v>48.0</v>
      </c>
      <c r="F1959" s="1" t="str">
        <f>LOOKUP(A1959, NPCs!A:A, NPCs!C:C)</f>
        <v>One with Head Thingy</v>
      </c>
      <c r="G1959" s="1" t="str">
        <f>LOOKUP(B1959, Maps!A:A, Maps!B:B)</f>
        <v>Hay and Frays Stronghold</v>
      </c>
    </row>
    <row r="1960" ht="15.75" customHeight="1">
      <c r="A1960" s="1">
        <v>74.0</v>
      </c>
      <c r="B1960" s="1">
        <v>13.0</v>
      </c>
      <c r="C1960" s="1">
        <v>33.0</v>
      </c>
      <c r="D1960" s="1">
        <v>57.0</v>
      </c>
      <c r="F1960" s="1" t="str">
        <f>LOOKUP(A1960, NPCs!A:A, NPCs!C:C)</f>
        <v>One with Head Thingy</v>
      </c>
      <c r="G1960" s="1" t="str">
        <f>LOOKUP(B1960, Maps!A:A, Maps!B:B)</f>
        <v>Hay and Frays Stronghold</v>
      </c>
    </row>
    <row r="1961" ht="15.75" customHeight="1">
      <c r="A1961" s="1">
        <v>74.0</v>
      </c>
      <c r="B1961" s="1">
        <v>13.0</v>
      </c>
      <c r="C1961" s="1">
        <v>32.0</v>
      </c>
      <c r="D1961" s="1">
        <v>56.0</v>
      </c>
      <c r="F1961" s="1" t="str">
        <f>LOOKUP(A1961, NPCs!A:A, NPCs!C:C)</f>
        <v>One with Head Thingy</v>
      </c>
      <c r="G1961" s="1" t="str">
        <f>LOOKUP(B1961, Maps!A:A, Maps!B:B)</f>
        <v>Hay and Frays Stronghold</v>
      </c>
    </row>
    <row r="1962" ht="15.75" customHeight="1">
      <c r="A1962" s="1">
        <v>74.0</v>
      </c>
      <c r="B1962" s="1">
        <v>13.0</v>
      </c>
      <c r="C1962" s="1">
        <v>32.0</v>
      </c>
      <c r="D1962" s="1">
        <v>58.0</v>
      </c>
      <c r="F1962" s="1" t="str">
        <f>LOOKUP(A1962, NPCs!A:A, NPCs!C:C)</f>
        <v>One with Head Thingy</v>
      </c>
      <c r="G1962" s="1" t="str">
        <f>LOOKUP(B1962, Maps!A:A, Maps!B:B)</f>
        <v>Hay and Frays Stronghold</v>
      </c>
    </row>
    <row r="1963" ht="15.75" customHeight="1">
      <c r="A1963" s="1">
        <v>74.0</v>
      </c>
      <c r="B1963" s="1">
        <v>13.0</v>
      </c>
      <c r="C1963" s="1">
        <v>26.0</v>
      </c>
      <c r="D1963" s="1">
        <v>58.0</v>
      </c>
      <c r="F1963" s="1" t="str">
        <f>LOOKUP(A1963, NPCs!A:A, NPCs!C:C)</f>
        <v>One with Head Thingy</v>
      </c>
      <c r="G1963" s="1" t="str">
        <f>LOOKUP(B1963, Maps!A:A, Maps!B:B)</f>
        <v>Hay and Frays Stronghold</v>
      </c>
    </row>
    <row r="1964" ht="15.75" customHeight="1">
      <c r="A1964" s="1">
        <v>74.0</v>
      </c>
      <c r="B1964" s="1">
        <v>13.0</v>
      </c>
      <c r="C1964" s="1">
        <v>25.0</v>
      </c>
      <c r="D1964" s="1">
        <v>57.0</v>
      </c>
      <c r="F1964" s="1" t="str">
        <f>LOOKUP(A1964, NPCs!A:A, NPCs!C:C)</f>
        <v>One with Head Thingy</v>
      </c>
      <c r="G1964" s="1" t="str">
        <f>LOOKUP(B1964, Maps!A:A, Maps!B:B)</f>
        <v>Hay and Frays Stronghold</v>
      </c>
    </row>
    <row r="1965" ht="15.75" customHeight="1">
      <c r="A1965" s="1">
        <v>74.0</v>
      </c>
      <c r="B1965" s="1">
        <v>13.0</v>
      </c>
      <c r="C1965" s="1">
        <v>26.0</v>
      </c>
      <c r="D1965" s="1">
        <v>56.0</v>
      </c>
      <c r="F1965" s="1" t="str">
        <f>LOOKUP(A1965, NPCs!A:A, NPCs!C:C)</f>
        <v>One with Head Thingy</v>
      </c>
      <c r="G1965" s="1" t="str">
        <f>LOOKUP(B1965, Maps!A:A, Maps!B:B)</f>
        <v>Hay and Frays Stronghold</v>
      </c>
    </row>
    <row r="1966" ht="15.75" customHeight="1">
      <c r="A1966" s="1">
        <v>74.0</v>
      </c>
      <c r="B1966" s="1">
        <v>13.0</v>
      </c>
      <c r="C1966" s="1">
        <v>27.0</v>
      </c>
      <c r="D1966" s="1">
        <v>55.0</v>
      </c>
      <c r="F1966" s="1" t="str">
        <f>LOOKUP(A1966, NPCs!A:A, NPCs!C:C)</f>
        <v>One with Head Thingy</v>
      </c>
      <c r="G1966" s="1" t="str">
        <f>LOOKUP(B1966, Maps!A:A, Maps!B:B)</f>
        <v>Hay and Frays Stronghold</v>
      </c>
    </row>
    <row r="1967" ht="15.75" customHeight="1">
      <c r="A1967" s="1">
        <v>74.0</v>
      </c>
      <c r="B1967" s="1">
        <v>13.0</v>
      </c>
      <c r="C1967" s="1">
        <v>22.0</v>
      </c>
      <c r="D1967" s="1">
        <v>55.0</v>
      </c>
      <c r="F1967" s="1" t="str">
        <f>LOOKUP(A1967, NPCs!A:A, NPCs!C:C)</f>
        <v>One with Head Thingy</v>
      </c>
      <c r="G1967" s="1" t="str">
        <f>LOOKUP(B1967, Maps!A:A, Maps!B:B)</f>
        <v>Hay and Frays Stronghold</v>
      </c>
    </row>
    <row r="1968" ht="15.75" customHeight="1">
      <c r="A1968" s="1">
        <v>74.0</v>
      </c>
      <c r="B1968" s="1">
        <v>13.0</v>
      </c>
      <c r="C1968" s="1">
        <v>6.0</v>
      </c>
      <c r="D1968" s="1">
        <v>58.0</v>
      </c>
      <c r="F1968" s="1" t="str">
        <f>LOOKUP(A1968, NPCs!A:A, NPCs!C:C)</f>
        <v>One with Head Thingy</v>
      </c>
      <c r="G1968" s="1" t="str">
        <f>LOOKUP(B1968, Maps!A:A, Maps!B:B)</f>
        <v>Hay and Frays Stronghold</v>
      </c>
    </row>
    <row r="1969" ht="15.75" customHeight="1">
      <c r="A1969" s="1">
        <v>74.0</v>
      </c>
      <c r="B1969" s="1">
        <v>13.0</v>
      </c>
      <c r="C1969" s="1">
        <v>5.0</v>
      </c>
      <c r="D1969" s="1">
        <v>57.0</v>
      </c>
      <c r="F1969" s="1" t="str">
        <f>LOOKUP(A1969, NPCs!A:A, NPCs!C:C)</f>
        <v>One with Head Thingy</v>
      </c>
      <c r="G1969" s="1" t="str">
        <f>LOOKUP(B1969, Maps!A:A, Maps!B:B)</f>
        <v>Hay and Frays Stronghold</v>
      </c>
    </row>
    <row r="1970" ht="15.75" customHeight="1">
      <c r="A1970" s="1">
        <v>74.0</v>
      </c>
      <c r="B1970" s="1">
        <v>13.0</v>
      </c>
      <c r="C1970" s="1">
        <v>5.0</v>
      </c>
      <c r="D1970" s="1">
        <v>56.0</v>
      </c>
      <c r="F1970" s="1" t="str">
        <f>LOOKUP(A1970, NPCs!A:A, NPCs!C:C)</f>
        <v>One with Head Thingy</v>
      </c>
      <c r="G1970" s="1" t="str">
        <f>LOOKUP(B1970, Maps!A:A, Maps!B:B)</f>
        <v>Hay and Frays Stronghold</v>
      </c>
    </row>
    <row r="1971" ht="15.75" customHeight="1">
      <c r="A1971" s="1">
        <v>74.0</v>
      </c>
      <c r="B1971" s="1">
        <v>13.0</v>
      </c>
      <c r="C1971" s="1">
        <v>12.0</v>
      </c>
      <c r="D1971" s="1">
        <v>55.0</v>
      </c>
      <c r="F1971" s="1" t="str">
        <f>LOOKUP(A1971, NPCs!A:A, NPCs!C:C)</f>
        <v>One with Head Thingy</v>
      </c>
      <c r="G1971" s="1" t="str">
        <f>LOOKUP(B1971, Maps!A:A, Maps!B:B)</f>
        <v>Hay and Frays Stronghold</v>
      </c>
    </row>
    <row r="1972" ht="15.75" customHeight="1">
      <c r="A1972" s="1">
        <v>74.0</v>
      </c>
      <c r="B1972" s="1">
        <v>13.0</v>
      </c>
      <c r="C1972" s="1">
        <v>16.0</v>
      </c>
      <c r="D1972" s="1">
        <v>55.0</v>
      </c>
      <c r="F1972" s="1" t="str">
        <f>LOOKUP(A1972, NPCs!A:A, NPCs!C:C)</f>
        <v>One with Head Thingy</v>
      </c>
      <c r="G1972" s="1" t="str">
        <f>LOOKUP(B1972, Maps!A:A, Maps!B:B)</f>
        <v>Hay and Frays Stronghold</v>
      </c>
    </row>
    <row r="1973" ht="15.75" customHeight="1">
      <c r="A1973" s="1">
        <v>74.0</v>
      </c>
      <c r="B1973" s="1">
        <v>13.0</v>
      </c>
      <c r="C1973" s="1">
        <v>16.0</v>
      </c>
      <c r="D1973" s="1">
        <v>52.0</v>
      </c>
      <c r="F1973" s="1" t="str">
        <f>LOOKUP(A1973, NPCs!A:A, NPCs!C:C)</f>
        <v>One with Head Thingy</v>
      </c>
      <c r="G1973" s="1" t="str">
        <f>LOOKUP(B1973, Maps!A:A, Maps!B:B)</f>
        <v>Hay and Frays Stronghold</v>
      </c>
    </row>
    <row r="1974" ht="15.75" customHeight="1">
      <c r="A1974" s="1">
        <v>74.0</v>
      </c>
      <c r="B1974" s="1">
        <v>13.0</v>
      </c>
      <c r="C1974" s="1">
        <v>16.0</v>
      </c>
      <c r="D1974" s="1">
        <v>49.0</v>
      </c>
      <c r="F1974" s="1" t="str">
        <f>LOOKUP(A1974, NPCs!A:A, NPCs!C:C)</f>
        <v>One with Head Thingy</v>
      </c>
      <c r="G1974" s="1" t="str">
        <f>LOOKUP(B1974, Maps!A:A, Maps!B:B)</f>
        <v>Hay and Frays Stronghold</v>
      </c>
    </row>
    <row r="1975" ht="15.75" customHeight="1">
      <c r="A1975" s="1">
        <v>74.0</v>
      </c>
      <c r="B1975" s="1">
        <v>13.0</v>
      </c>
      <c r="C1975" s="1">
        <v>16.0</v>
      </c>
      <c r="D1975" s="1">
        <v>46.0</v>
      </c>
      <c r="F1975" s="1" t="str">
        <f>LOOKUP(A1975, NPCs!A:A, NPCs!C:C)</f>
        <v>One with Head Thingy</v>
      </c>
      <c r="G1975" s="1" t="str">
        <f>LOOKUP(B1975, Maps!A:A, Maps!B:B)</f>
        <v>Hay and Frays Stronghold</v>
      </c>
    </row>
    <row r="1976" ht="15.75" customHeight="1">
      <c r="A1976" s="1">
        <v>74.0</v>
      </c>
      <c r="B1976" s="1">
        <v>13.0</v>
      </c>
      <c r="C1976" s="1">
        <v>19.0</v>
      </c>
      <c r="D1976" s="1">
        <v>41.0</v>
      </c>
      <c r="F1976" s="1" t="str">
        <f>LOOKUP(A1976, NPCs!A:A, NPCs!C:C)</f>
        <v>One with Head Thingy</v>
      </c>
      <c r="G1976" s="1" t="str">
        <f>LOOKUP(B1976, Maps!A:A, Maps!B:B)</f>
        <v>Hay and Frays Stronghold</v>
      </c>
    </row>
    <row r="1977" ht="15.75" customHeight="1">
      <c r="A1977" s="1">
        <v>74.0</v>
      </c>
      <c r="B1977" s="1">
        <v>13.0</v>
      </c>
      <c r="C1977" s="1">
        <v>19.0</v>
      </c>
      <c r="D1977" s="1">
        <v>37.0</v>
      </c>
      <c r="F1977" s="1" t="str">
        <f>LOOKUP(A1977, NPCs!A:A, NPCs!C:C)</f>
        <v>One with Head Thingy</v>
      </c>
      <c r="G1977" s="1" t="str">
        <f>LOOKUP(B1977, Maps!A:A, Maps!B:B)</f>
        <v>Hay and Frays Stronghold</v>
      </c>
    </row>
    <row r="1978" ht="15.75" customHeight="1">
      <c r="A1978" s="1">
        <v>74.0</v>
      </c>
      <c r="B1978" s="1">
        <v>13.0</v>
      </c>
      <c r="C1978" s="1">
        <v>19.0</v>
      </c>
      <c r="D1978" s="1">
        <v>33.0</v>
      </c>
      <c r="F1978" s="1" t="str">
        <f>LOOKUP(A1978, NPCs!A:A, NPCs!C:C)</f>
        <v>One with Head Thingy</v>
      </c>
      <c r="G1978" s="1" t="str">
        <f>LOOKUP(B1978, Maps!A:A, Maps!B:B)</f>
        <v>Hay and Frays Stronghold</v>
      </c>
    </row>
    <row r="1979" ht="15.75" customHeight="1">
      <c r="A1979" s="1">
        <v>74.0</v>
      </c>
      <c r="B1979" s="1">
        <v>13.0</v>
      </c>
      <c r="C1979" s="1">
        <v>19.0</v>
      </c>
      <c r="D1979" s="1">
        <v>29.0</v>
      </c>
      <c r="F1979" s="1" t="str">
        <f>LOOKUP(A1979, NPCs!A:A, NPCs!C:C)</f>
        <v>One with Head Thingy</v>
      </c>
      <c r="G1979" s="1" t="str">
        <f>LOOKUP(B1979, Maps!A:A, Maps!B:B)</f>
        <v>Hay and Frays Stronghold</v>
      </c>
    </row>
    <row r="1980" ht="15.75" customHeight="1">
      <c r="A1980" s="1">
        <v>74.0</v>
      </c>
      <c r="B1980" s="1">
        <v>13.0</v>
      </c>
      <c r="C1980" s="1">
        <v>19.0</v>
      </c>
      <c r="D1980" s="1">
        <v>25.0</v>
      </c>
      <c r="F1980" s="1" t="str">
        <f>LOOKUP(A1980, NPCs!A:A, NPCs!C:C)</f>
        <v>One with Head Thingy</v>
      </c>
      <c r="G1980" s="1" t="str">
        <f>LOOKUP(B1980, Maps!A:A, Maps!B:B)</f>
        <v>Hay and Frays Stronghold</v>
      </c>
    </row>
    <row r="1981" ht="15.75" customHeight="1">
      <c r="A1981" s="1">
        <v>74.0</v>
      </c>
      <c r="B1981" s="1">
        <v>13.0</v>
      </c>
      <c r="C1981" s="1">
        <v>12.0</v>
      </c>
      <c r="D1981" s="1">
        <v>52.0</v>
      </c>
      <c r="F1981" s="1" t="str">
        <f>LOOKUP(A1981, NPCs!A:A, NPCs!C:C)</f>
        <v>One with Head Thingy</v>
      </c>
      <c r="G1981" s="1" t="str">
        <f>LOOKUP(B1981, Maps!A:A, Maps!B:B)</f>
        <v>Hay and Frays Stronghold</v>
      </c>
    </row>
    <row r="1982" ht="15.75" customHeight="1">
      <c r="A1982" s="1">
        <v>74.0</v>
      </c>
      <c r="B1982" s="1">
        <v>13.0</v>
      </c>
      <c r="C1982" s="1">
        <v>12.0</v>
      </c>
      <c r="D1982" s="1">
        <v>49.0</v>
      </c>
      <c r="F1982" s="1" t="str">
        <f>LOOKUP(A1982, NPCs!A:A, NPCs!C:C)</f>
        <v>One with Head Thingy</v>
      </c>
      <c r="G1982" s="1" t="str">
        <f>LOOKUP(B1982, Maps!A:A, Maps!B:B)</f>
        <v>Hay and Frays Stronghold</v>
      </c>
    </row>
    <row r="1983" ht="15.75" customHeight="1">
      <c r="A1983" s="1">
        <v>74.0</v>
      </c>
      <c r="B1983" s="1">
        <v>13.0</v>
      </c>
      <c r="C1983" s="1">
        <v>12.0</v>
      </c>
      <c r="D1983" s="1">
        <v>46.0</v>
      </c>
      <c r="F1983" s="1" t="str">
        <f>LOOKUP(A1983, NPCs!A:A, NPCs!C:C)</f>
        <v>One with Head Thingy</v>
      </c>
      <c r="G1983" s="1" t="str">
        <f>LOOKUP(B1983, Maps!A:A, Maps!B:B)</f>
        <v>Hay and Frays Stronghold</v>
      </c>
    </row>
    <row r="1984" ht="15.75" customHeight="1">
      <c r="A1984" s="1">
        <v>74.0</v>
      </c>
      <c r="B1984" s="1">
        <v>13.0</v>
      </c>
      <c r="C1984" s="1">
        <v>9.0</v>
      </c>
      <c r="D1984" s="1">
        <v>41.0</v>
      </c>
      <c r="F1984" s="1" t="str">
        <f>LOOKUP(A1984, NPCs!A:A, NPCs!C:C)</f>
        <v>One with Head Thingy</v>
      </c>
      <c r="G1984" s="1" t="str">
        <f>LOOKUP(B1984, Maps!A:A, Maps!B:B)</f>
        <v>Hay and Frays Stronghold</v>
      </c>
    </row>
    <row r="1985" ht="15.75" customHeight="1">
      <c r="A1985" s="1">
        <v>74.0</v>
      </c>
      <c r="B1985" s="1">
        <v>13.0</v>
      </c>
      <c r="C1985" s="1">
        <v>9.0</v>
      </c>
      <c r="D1985" s="1">
        <v>37.0</v>
      </c>
      <c r="F1985" s="1" t="str">
        <f>LOOKUP(A1985, NPCs!A:A, NPCs!C:C)</f>
        <v>One with Head Thingy</v>
      </c>
      <c r="G1985" s="1" t="str">
        <f>LOOKUP(B1985, Maps!A:A, Maps!B:B)</f>
        <v>Hay and Frays Stronghold</v>
      </c>
    </row>
    <row r="1986" ht="15.75" customHeight="1">
      <c r="A1986" s="1">
        <v>74.0</v>
      </c>
      <c r="B1986" s="1">
        <v>13.0</v>
      </c>
      <c r="C1986" s="1">
        <v>9.0</v>
      </c>
      <c r="D1986" s="1">
        <v>33.0</v>
      </c>
      <c r="F1986" s="1" t="str">
        <f>LOOKUP(A1986, NPCs!A:A, NPCs!C:C)</f>
        <v>One with Head Thingy</v>
      </c>
      <c r="G1986" s="1" t="str">
        <f>LOOKUP(B1986, Maps!A:A, Maps!B:B)</f>
        <v>Hay and Frays Stronghold</v>
      </c>
    </row>
    <row r="1987" ht="15.75" customHeight="1">
      <c r="A1987" s="1">
        <v>74.0</v>
      </c>
      <c r="B1987" s="1">
        <v>13.0</v>
      </c>
      <c r="C1987" s="1">
        <v>9.0</v>
      </c>
      <c r="D1987" s="1">
        <v>29.0</v>
      </c>
      <c r="F1987" s="1" t="str">
        <f>LOOKUP(A1987, NPCs!A:A, NPCs!C:C)</f>
        <v>One with Head Thingy</v>
      </c>
      <c r="G1987" s="1" t="str">
        <f>LOOKUP(B1987, Maps!A:A, Maps!B:B)</f>
        <v>Hay and Frays Stronghold</v>
      </c>
    </row>
    <row r="1988" ht="15.75" customHeight="1">
      <c r="A1988" s="1">
        <v>74.0</v>
      </c>
      <c r="B1988" s="1">
        <v>13.0</v>
      </c>
      <c r="C1988" s="1">
        <v>9.0</v>
      </c>
      <c r="D1988" s="1">
        <v>25.0</v>
      </c>
      <c r="F1988" s="1" t="str">
        <f>LOOKUP(A1988, NPCs!A:A, NPCs!C:C)</f>
        <v>One with Head Thingy</v>
      </c>
      <c r="G1988" s="1" t="str">
        <f>LOOKUP(B1988, Maps!A:A, Maps!B:B)</f>
        <v>Hay and Frays Stronghold</v>
      </c>
    </row>
    <row r="1989" ht="15.75" customHeight="1">
      <c r="A1989" s="1">
        <v>74.0</v>
      </c>
      <c r="B1989" s="1">
        <v>13.0</v>
      </c>
      <c r="C1989" s="1">
        <v>16.0</v>
      </c>
      <c r="D1989" s="1">
        <v>21.0</v>
      </c>
      <c r="F1989" s="1" t="str">
        <f>LOOKUP(A1989, NPCs!A:A, NPCs!C:C)</f>
        <v>One with Head Thingy</v>
      </c>
      <c r="G1989" s="1" t="str">
        <f>LOOKUP(B1989, Maps!A:A, Maps!B:B)</f>
        <v>Hay and Frays Stronghold</v>
      </c>
    </row>
    <row r="1990" ht="15.75" customHeight="1">
      <c r="A1990" s="1">
        <v>74.0</v>
      </c>
      <c r="B1990" s="1">
        <v>13.0</v>
      </c>
      <c r="C1990" s="1">
        <v>16.0</v>
      </c>
      <c r="D1990" s="1">
        <v>19.0</v>
      </c>
      <c r="F1990" s="1" t="str">
        <f>LOOKUP(A1990, NPCs!A:A, NPCs!C:C)</f>
        <v>One with Head Thingy</v>
      </c>
      <c r="G1990" s="1" t="str">
        <f>LOOKUP(B1990, Maps!A:A, Maps!B:B)</f>
        <v>Hay and Frays Stronghold</v>
      </c>
    </row>
    <row r="1991" ht="15.75" customHeight="1">
      <c r="A1991" s="1">
        <v>74.0</v>
      </c>
      <c r="B1991" s="1">
        <v>13.0</v>
      </c>
      <c r="C1991" s="1">
        <v>16.0</v>
      </c>
      <c r="D1991" s="1">
        <v>18.0</v>
      </c>
      <c r="F1991" s="1" t="str">
        <f>LOOKUP(A1991, NPCs!A:A, NPCs!C:C)</f>
        <v>One with Head Thingy</v>
      </c>
      <c r="G1991" s="1" t="str">
        <f>LOOKUP(B1991, Maps!A:A, Maps!B:B)</f>
        <v>Hay and Frays Stronghold</v>
      </c>
    </row>
    <row r="1992" ht="15.75" customHeight="1">
      <c r="A1992" s="1">
        <v>74.0</v>
      </c>
      <c r="B1992" s="1">
        <v>13.0</v>
      </c>
      <c r="C1992" s="1">
        <v>15.0</v>
      </c>
      <c r="D1992" s="1">
        <v>20.0</v>
      </c>
      <c r="F1992" s="1" t="str">
        <f>LOOKUP(A1992, NPCs!A:A, NPCs!C:C)</f>
        <v>One with Head Thingy</v>
      </c>
      <c r="G1992" s="1" t="str">
        <f>LOOKUP(B1992, Maps!A:A, Maps!B:B)</f>
        <v>Hay and Frays Stronghold</v>
      </c>
    </row>
    <row r="1993" ht="15.75" customHeight="1">
      <c r="A1993" s="1">
        <v>74.0</v>
      </c>
      <c r="B1993" s="1">
        <v>13.0</v>
      </c>
      <c r="C1993" s="1">
        <v>9.0</v>
      </c>
      <c r="D1993" s="1">
        <v>19.0</v>
      </c>
      <c r="F1993" s="1" t="str">
        <f>LOOKUP(A1993, NPCs!A:A, NPCs!C:C)</f>
        <v>One with Head Thingy</v>
      </c>
      <c r="G1993" s="1" t="str">
        <f>LOOKUP(B1993, Maps!A:A, Maps!B:B)</f>
        <v>Hay and Frays Stronghold</v>
      </c>
    </row>
    <row r="1994" ht="15.75" customHeight="1">
      <c r="A1994" s="1">
        <v>74.0</v>
      </c>
      <c r="B1994" s="1">
        <v>13.0</v>
      </c>
      <c r="C1994" s="1">
        <v>8.0</v>
      </c>
      <c r="D1994" s="1">
        <v>19.0</v>
      </c>
      <c r="F1994" s="1" t="str">
        <f>LOOKUP(A1994, NPCs!A:A, NPCs!C:C)</f>
        <v>One with Head Thingy</v>
      </c>
      <c r="G1994" s="1" t="str">
        <f>LOOKUP(B1994, Maps!A:A, Maps!B:B)</f>
        <v>Hay and Frays Stronghold</v>
      </c>
    </row>
    <row r="1995" ht="15.75" customHeight="1">
      <c r="A1995" s="1">
        <v>74.0</v>
      </c>
      <c r="B1995" s="1">
        <v>13.0</v>
      </c>
      <c r="C1995" s="1">
        <v>9.0</v>
      </c>
      <c r="D1995" s="1">
        <v>17.0</v>
      </c>
      <c r="F1995" s="1" t="str">
        <f>LOOKUP(A1995, NPCs!A:A, NPCs!C:C)</f>
        <v>One with Head Thingy</v>
      </c>
      <c r="G1995" s="1" t="str">
        <f>LOOKUP(B1995, Maps!A:A, Maps!B:B)</f>
        <v>Hay and Frays Stronghold</v>
      </c>
    </row>
    <row r="1996" ht="15.75" customHeight="1">
      <c r="A1996" s="1">
        <v>70.0</v>
      </c>
      <c r="B1996" s="1">
        <v>13.0</v>
      </c>
      <c r="C1996" s="1">
        <v>17.0</v>
      </c>
      <c r="D1996" s="1">
        <v>9.0</v>
      </c>
      <c r="F1996" s="1" t="str">
        <f>LOOKUP(A1996, NPCs!A:A, NPCs!C:C)</f>
        <v>Worthless Guardian</v>
      </c>
      <c r="G1996" s="1" t="str">
        <f>LOOKUP(B1996, Maps!A:A, Maps!B:B)</f>
        <v>Hay and Frays Stronghold</v>
      </c>
    </row>
    <row r="1997" ht="15.75" customHeight="1">
      <c r="A1997" s="1">
        <v>70.0</v>
      </c>
      <c r="B1997" s="1">
        <v>13.0</v>
      </c>
      <c r="C1997" s="1">
        <v>11.0</v>
      </c>
      <c r="D1997" s="1">
        <v>9.0</v>
      </c>
      <c r="F1997" s="1" t="str">
        <f>LOOKUP(A1997, NPCs!A:A, NPCs!C:C)</f>
        <v>Worthless Guardian</v>
      </c>
      <c r="G1997" s="1" t="str">
        <f>LOOKUP(B1997, Maps!A:A, Maps!B:B)</f>
        <v>Hay and Frays Stronghold</v>
      </c>
    </row>
    <row r="1998" ht="15.75" customHeight="1">
      <c r="A1998" s="1">
        <v>70.0</v>
      </c>
      <c r="B1998" s="1">
        <v>13.0</v>
      </c>
      <c r="C1998" s="1">
        <v>12.0</v>
      </c>
      <c r="D1998" s="1">
        <v>11.0</v>
      </c>
      <c r="F1998" s="1" t="str">
        <f>LOOKUP(A1998, NPCs!A:A, NPCs!C:C)</f>
        <v>Worthless Guardian</v>
      </c>
      <c r="G1998" s="1" t="str">
        <f>LOOKUP(B1998, Maps!A:A, Maps!B:B)</f>
        <v>Hay and Frays Stronghold</v>
      </c>
    </row>
    <row r="1999" ht="15.75" customHeight="1">
      <c r="A1999" s="1">
        <v>70.0</v>
      </c>
      <c r="B1999" s="1">
        <v>13.0</v>
      </c>
      <c r="C1999" s="1">
        <v>14.0</v>
      </c>
      <c r="D1999" s="1">
        <v>11.0</v>
      </c>
      <c r="F1999" s="1" t="str">
        <f>LOOKUP(A1999, NPCs!A:A, NPCs!C:C)</f>
        <v>Worthless Guardian</v>
      </c>
      <c r="G1999" s="1" t="str">
        <f>LOOKUP(B1999, Maps!A:A, Maps!B:B)</f>
        <v>Hay and Frays Stronghold</v>
      </c>
    </row>
    <row r="2000" ht="15.75" customHeight="1">
      <c r="A2000" s="1">
        <v>70.0</v>
      </c>
      <c r="B2000" s="1">
        <v>13.0</v>
      </c>
      <c r="C2000" s="1">
        <v>16.0</v>
      </c>
      <c r="D2000" s="1">
        <v>11.0</v>
      </c>
      <c r="F2000" s="1" t="str">
        <f>LOOKUP(A2000, NPCs!A:A, NPCs!C:C)</f>
        <v>Worthless Guardian</v>
      </c>
      <c r="G2000" s="1" t="str">
        <f>LOOKUP(B2000, Maps!A:A, Maps!B:B)</f>
        <v>Hay and Frays Stronghold</v>
      </c>
    </row>
    <row r="2001" ht="15.75" customHeight="1">
      <c r="A2001" s="1">
        <v>72.0</v>
      </c>
      <c r="B2001" s="1">
        <v>13.0</v>
      </c>
      <c r="C2001" s="1">
        <v>13.0</v>
      </c>
      <c r="D2001" s="1">
        <v>7.0</v>
      </c>
      <c r="F2001" s="1" t="str">
        <f>LOOKUP(A2001, NPCs!A:A, NPCs!C:C)</f>
        <v>Hay</v>
      </c>
      <c r="G2001" s="1" t="str">
        <f>LOOKUP(B2001, Maps!A:A, Maps!B:B)</f>
        <v>Hay and Frays Stronghold</v>
      </c>
    </row>
    <row r="2002" ht="15.75" customHeight="1">
      <c r="A2002" s="1">
        <v>73.0</v>
      </c>
      <c r="B2002" s="1">
        <v>13.0</v>
      </c>
      <c r="C2002" s="1">
        <v>15.0</v>
      </c>
      <c r="D2002" s="1">
        <v>7.0</v>
      </c>
      <c r="F2002" s="1" t="str">
        <f>LOOKUP(A2002, NPCs!A:A, NPCs!C:C)</f>
        <v>Fray</v>
      </c>
      <c r="G2002" s="1" t="str">
        <f>LOOKUP(B2002, Maps!A:A, Maps!B:B)</f>
        <v>Hay and Frays Stronghold</v>
      </c>
    </row>
    <row r="2003" ht="15.75" customHeight="1">
      <c r="A2003" s="1">
        <v>71.0</v>
      </c>
      <c r="B2003" s="1">
        <v>13.0</v>
      </c>
      <c r="C2003" s="1">
        <v>90.0</v>
      </c>
      <c r="D2003" s="1">
        <v>8.0</v>
      </c>
      <c r="F2003" s="1" t="str">
        <f>LOOKUP(A2003, NPCs!A:A, NPCs!C:C)</f>
        <v>Little Fat Bastard</v>
      </c>
      <c r="G2003" s="1" t="str">
        <f>LOOKUP(B2003, Maps!A:A, Maps!B:B)</f>
        <v>Hay and Frays Stronghold</v>
      </c>
    </row>
    <row r="2004" ht="15.75" customHeight="1">
      <c r="A2004" s="1">
        <v>69.0</v>
      </c>
      <c r="B2004" s="1">
        <v>28.0</v>
      </c>
      <c r="C2004" s="1">
        <v>93.0</v>
      </c>
      <c r="D2004" s="1">
        <v>50.0</v>
      </c>
      <c r="F2004" s="1" t="str">
        <f>LOOKUP(A2004, NPCs!A:A, NPCs!C:C)</f>
        <v>Savage Isle Guard</v>
      </c>
      <c r="G2004" s="1" t="str">
        <f>LOOKUP(B2004, Maps!A:A, Maps!B:B)</f>
        <v>Savage Isle</v>
      </c>
    </row>
    <row r="2005" ht="15.75" customHeight="1">
      <c r="A2005" s="1">
        <v>69.0</v>
      </c>
      <c r="B2005" s="1">
        <v>28.0</v>
      </c>
      <c r="C2005" s="1">
        <v>93.0</v>
      </c>
      <c r="D2005" s="1">
        <v>53.0</v>
      </c>
      <c r="F2005" s="1" t="str">
        <f>LOOKUP(A2005, NPCs!A:A, NPCs!C:C)</f>
        <v>Savage Isle Guard</v>
      </c>
      <c r="G2005" s="1" t="str">
        <f>LOOKUP(B2005, Maps!A:A, Maps!B:B)</f>
        <v>Savage Isle</v>
      </c>
    </row>
    <row r="2006" ht="15.75" customHeight="1">
      <c r="A2006" s="1">
        <v>63.0</v>
      </c>
      <c r="B2006" s="1">
        <v>28.0</v>
      </c>
      <c r="C2006" s="1">
        <v>11.0</v>
      </c>
      <c r="D2006" s="1">
        <v>46.0</v>
      </c>
      <c r="F2006" s="1" t="str">
        <f>LOOKUP(A2006, NPCs!A:A, NPCs!C:C)</f>
        <v>Savage</v>
      </c>
      <c r="G2006" s="1" t="str">
        <f>LOOKUP(B2006, Maps!A:A, Maps!B:B)</f>
        <v>Savage Isle</v>
      </c>
    </row>
    <row r="2007" ht="15.75" customHeight="1">
      <c r="A2007" s="1">
        <v>63.0</v>
      </c>
      <c r="B2007" s="1">
        <v>28.0</v>
      </c>
      <c r="C2007" s="1">
        <v>19.0</v>
      </c>
      <c r="D2007" s="1">
        <v>45.0</v>
      </c>
      <c r="F2007" s="1" t="str">
        <f>LOOKUP(A2007, NPCs!A:A, NPCs!C:C)</f>
        <v>Savage</v>
      </c>
      <c r="G2007" s="1" t="str">
        <f>LOOKUP(B2007, Maps!A:A, Maps!B:B)</f>
        <v>Savage Isle</v>
      </c>
    </row>
    <row r="2008" ht="15.75" customHeight="1">
      <c r="A2008" s="1">
        <v>63.0</v>
      </c>
      <c r="B2008" s="1">
        <v>28.0</v>
      </c>
      <c r="C2008" s="1">
        <v>21.0</v>
      </c>
      <c r="D2008" s="1">
        <v>42.0</v>
      </c>
      <c r="F2008" s="1" t="str">
        <f>LOOKUP(A2008, NPCs!A:A, NPCs!C:C)</f>
        <v>Savage</v>
      </c>
      <c r="G2008" s="1" t="str">
        <f>LOOKUP(B2008, Maps!A:A, Maps!B:B)</f>
        <v>Savage Isle</v>
      </c>
    </row>
    <row r="2009" ht="15.75" customHeight="1">
      <c r="A2009" s="1">
        <v>63.0</v>
      </c>
      <c r="B2009" s="1">
        <v>28.0</v>
      </c>
      <c r="C2009" s="1">
        <v>25.0</v>
      </c>
      <c r="D2009" s="1">
        <v>45.0</v>
      </c>
      <c r="F2009" s="1" t="str">
        <f>LOOKUP(A2009, NPCs!A:A, NPCs!C:C)</f>
        <v>Savage</v>
      </c>
      <c r="G2009" s="1" t="str">
        <f>LOOKUP(B2009, Maps!A:A, Maps!B:B)</f>
        <v>Savage Isle</v>
      </c>
    </row>
    <row r="2010" ht="15.75" customHeight="1">
      <c r="A2010" s="1">
        <v>63.0</v>
      </c>
      <c r="B2010" s="1">
        <v>28.0</v>
      </c>
      <c r="C2010" s="1">
        <v>17.0</v>
      </c>
      <c r="D2010" s="1">
        <v>50.0</v>
      </c>
      <c r="F2010" s="1" t="str">
        <f>LOOKUP(A2010, NPCs!A:A, NPCs!C:C)</f>
        <v>Savage</v>
      </c>
      <c r="G2010" s="1" t="str">
        <f>LOOKUP(B2010, Maps!A:A, Maps!B:B)</f>
        <v>Savage Isle</v>
      </c>
    </row>
    <row r="2011" ht="15.75" customHeight="1">
      <c r="A2011" s="1">
        <v>63.0</v>
      </c>
      <c r="B2011" s="1">
        <v>28.0</v>
      </c>
      <c r="C2011" s="1">
        <v>31.0</v>
      </c>
      <c r="D2011" s="1">
        <v>38.0</v>
      </c>
      <c r="F2011" s="1" t="str">
        <f>LOOKUP(A2011, NPCs!A:A, NPCs!C:C)</f>
        <v>Savage</v>
      </c>
      <c r="G2011" s="1" t="str">
        <f>LOOKUP(B2011, Maps!A:A, Maps!B:B)</f>
        <v>Savage Isle</v>
      </c>
    </row>
    <row r="2012" ht="15.75" customHeight="1">
      <c r="A2012" s="1">
        <v>63.0</v>
      </c>
      <c r="B2012" s="1">
        <v>28.0</v>
      </c>
      <c r="C2012" s="1">
        <v>33.0</v>
      </c>
      <c r="D2012" s="1">
        <v>39.0</v>
      </c>
      <c r="F2012" s="1" t="str">
        <f>LOOKUP(A2012, NPCs!A:A, NPCs!C:C)</f>
        <v>Savage</v>
      </c>
      <c r="G2012" s="1" t="str">
        <f>LOOKUP(B2012, Maps!A:A, Maps!B:B)</f>
        <v>Savage Isle</v>
      </c>
    </row>
    <row r="2013" ht="15.75" customHeight="1">
      <c r="A2013" s="1">
        <v>63.0</v>
      </c>
      <c r="B2013" s="1">
        <v>28.0</v>
      </c>
      <c r="C2013" s="1">
        <v>37.0</v>
      </c>
      <c r="D2013" s="1">
        <v>36.0</v>
      </c>
      <c r="F2013" s="1" t="str">
        <f>LOOKUP(A2013, NPCs!A:A, NPCs!C:C)</f>
        <v>Savage</v>
      </c>
      <c r="G2013" s="1" t="str">
        <f>LOOKUP(B2013, Maps!A:A, Maps!B:B)</f>
        <v>Savage Isle</v>
      </c>
    </row>
    <row r="2014" ht="15.75" customHeight="1">
      <c r="A2014" s="1">
        <v>63.0</v>
      </c>
      <c r="B2014" s="1">
        <v>28.0</v>
      </c>
      <c r="C2014" s="1">
        <v>41.0</v>
      </c>
      <c r="D2014" s="1">
        <v>38.0</v>
      </c>
      <c r="F2014" s="1" t="str">
        <f>LOOKUP(A2014, NPCs!A:A, NPCs!C:C)</f>
        <v>Savage</v>
      </c>
      <c r="G2014" s="1" t="str">
        <f>LOOKUP(B2014, Maps!A:A, Maps!B:B)</f>
        <v>Savage Isle</v>
      </c>
    </row>
    <row r="2015" ht="15.75" customHeight="1">
      <c r="A2015" s="1">
        <v>64.0</v>
      </c>
      <c r="B2015" s="1">
        <v>28.0</v>
      </c>
      <c r="C2015" s="1">
        <v>56.0</v>
      </c>
      <c r="D2015" s="1">
        <v>5.0</v>
      </c>
      <c r="F2015" s="1" t="str">
        <f>LOOKUP(A2015, NPCs!A:A, NPCs!C:C)</f>
        <v>Paranoid Savage</v>
      </c>
      <c r="G2015" s="1" t="str">
        <f>LOOKUP(B2015, Maps!A:A, Maps!B:B)</f>
        <v>Savage Isle</v>
      </c>
    </row>
    <row r="2016" ht="15.75" customHeight="1">
      <c r="A2016" s="1">
        <v>64.0</v>
      </c>
      <c r="B2016" s="1">
        <v>28.0</v>
      </c>
      <c r="C2016" s="1">
        <v>55.0</v>
      </c>
      <c r="D2016" s="1">
        <v>5.0</v>
      </c>
      <c r="F2016" s="1" t="str">
        <f>LOOKUP(A2016, NPCs!A:A, NPCs!C:C)</f>
        <v>Paranoid Savage</v>
      </c>
      <c r="G2016" s="1" t="str">
        <f>LOOKUP(B2016, Maps!A:A, Maps!B:B)</f>
        <v>Savage Isle</v>
      </c>
    </row>
    <row r="2017" ht="15.75" customHeight="1">
      <c r="A2017" s="1">
        <v>64.0</v>
      </c>
      <c r="B2017" s="1">
        <v>28.0</v>
      </c>
      <c r="C2017" s="1">
        <v>55.0</v>
      </c>
      <c r="D2017" s="1">
        <v>4.0</v>
      </c>
      <c r="F2017" s="1" t="str">
        <f>LOOKUP(A2017, NPCs!A:A, NPCs!C:C)</f>
        <v>Paranoid Savage</v>
      </c>
      <c r="G2017" s="1" t="str">
        <f>LOOKUP(B2017, Maps!A:A, Maps!B:B)</f>
        <v>Savage Isle</v>
      </c>
    </row>
    <row r="2018" ht="15.75" customHeight="1">
      <c r="A2018" s="1">
        <v>64.0</v>
      </c>
      <c r="B2018" s="1">
        <v>28.0</v>
      </c>
      <c r="C2018" s="1">
        <v>56.0</v>
      </c>
      <c r="D2018" s="1">
        <v>4.0</v>
      </c>
      <c r="F2018" s="1" t="str">
        <f>LOOKUP(A2018, NPCs!A:A, NPCs!C:C)</f>
        <v>Paranoid Savage</v>
      </c>
      <c r="G2018" s="1" t="str">
        <f>LOOKUP(B2018, Maps!A:A, Maps!B:B)</f>
        <v>Savage Isle</v>
      </c>
    </row>
    <row r="2019" ht="15.75" customHeight="1">
      <c r="A2019" s="1">
        <v>64.0</v>
      </c>
      <c r="B2019" s="1">
        <v>28.0</v>
      </c>
      <c r="C2019" s="1">
        <v>41.0</v>
      </c>
      <c r="D2019" s="1">
        <v>66.0</v>
      </c>
      <c r="F2019" s="1" t="str">
        <f>LOOKUP(A2019, NPCs!A:A, NPCs!C:C)</f>
        <v>Paranoid Savage</v>
      </c>
      <c r="G2019" s="1" t="str">
        <f>LOOKUP(B2019, Maps!A:A, Maps!B:B)</f>
        <v>Savage Isle</v>
      </c>
    </row>
    <row r="2020" ht="15.75" customHeight="1">
      <c r="A2020" s="1">
        <v>64.0</v>
      </c>
      <c r="B2020" s="1">
        <v>28.0</v>
      </c>
      <c r="C2020" s="1">
        <v>41.0</v>
      </c>
      <c r="D2020" s="1">
        <v>65.0</v>
      </c>
      <c r="F2020" s="1" t="str">
        <f>LOOKUP(A2020, NPCs!A:A, NPCs!C:C)</f>
        <v>Paranoid Savage</v>
      </c>
      <c r="G2020" s="1" t="str">
        <f>LOOKUP(B2020, Maps!A:A, Maps!B:B)</f>
        <v>Savage Isle</v>
      </c>
    </row>
    <row r="2021" ht="15.75" customHeight="1">
      <c r="A2021" s="1">
        <v>64.0</v>
      </c>
      <c r="B2021" s="1">
        <v>28.0</v>
      </c>
      <c r="C2021" s="1">
        <v>41.0</v>
      </c>
      <c r="D2021" s="1">
        <v>64.0</v>
      </c>
      <c r="F2021" s="1" t="str">
        <f>LOOKUP(A2021, NPCs!A:A, NPCs!C:C)</f>
        <v>Paranoid Savage</v>
      </c>
      <c r="G2021" s="1" t="str">
        <f>LOOKUP(B2021, Maps!A:A, Maps!B:B)</f>
        <v>Savage Isle</v>
      </c>
    </row>
    <row r="2022" ht="15.75" customHeight="1">
      <c r="A2022" s="1">
        <v>64.0</v>
      </c>
      <c r="B2022" s="1">
        <v>28.0</v>
      </c>
      <c r="C2022" s="1">
        <v>41.0</v>
      </c>
      <c r="D2022" s="1">
        <v>63.0</v>
      </c>
      <c r="F2022" s="1" t="str">
        <f>LOOKUP(A2022, NPCs!A:A, NPCs!C:C)</f>
        <v>Paranoid Savage</v>
      </c>
      <c r="G2022" s="1" t="str">
        <f>LOOKUP(B2022, Maps!A:A, Maps!B:B)</f>
        <v>Savage Isle</v>
      </c>
    </row>
    <row r="2023" ht="15.75" customHeight="1">
      <c r="A2023" s="1">
        <v>64.0</v>
      </c>
      <c r="B2023" s="1">
        <v>28.0</v>
      </c>
      <c r="C2023" s="1">
        <v>40.0</v>
      </c>
      <c r="D2023" s="1">
        <v>66.0</v>
      </c>
      <c r="F2023" s="1" t="str">
        <f>LOOKUP(A2023, NPCs!A:A, NPCs!C:C)</f>
        <v>Paranoid Savage</v>
      </c>
      <c r="G2023" s="1" t="str">
        <f>LOOKUP(B2023, Maps!A:A, Maps!B:B)</f>
        <v>Savage Isle</v>
      </c>
    </row>
    <row r="2024" ht="15.75" customHeight="1">
      <c r="A2024" s="1">
        <v>64.0</v>
      </c>
      <c r="B2024" s="1">
        <v>28.0</v>
      </c>
      <c r="C2024" s="1">
        <v>40.0</v>
      </c>
      <c r="D2024" s="1">
        <v>65.0</v>
      </c>
      <c r="F2024" s="1" t="str">
        <f>LOOKUP(A2024, NPCs!A:A, NPCs!C:C)</f>
        <v>Paranoid Savage</v>
      </c>
      <c r="G2024" s="1" t="str">
        <f>LOOKUP(B2024, Maps!A:A, Maps!B:B)</f>
        <v>Savage Isle</v>
      </c>
    </row>
    <row r="2025" ht="15.75" customHeight="1">
      <c r="A2025" s="1">
        <v>64.0</v>
      </c>
      <c r="B2025" s="1">
        <v>28.0</v>
      </c>
      <c r="C2025" s="1">
        <v>40.0</v>
      </c>
      <c r="D2025" s="1">
        <v>64.0</v>
      </c>
      <c r="F2025" s="1" t="str">
        <f>LOOKUP(A2025, NPCs!A:A, NPCs!C:C)</f>
        <v>Paranoid Savage</v>
      </c>
      <c r="G2025" s="1" t="str">
        <f>LOOKUP(B2025, Maps!A:A, Maps!B:B)</f>
        <v>Savage Isle</v>
      </c>
    </row>
    <row r="2026" ht="15.75" customHeight="1">
      <c r="A2026" s="1">
        <v>64.0</v>
      </c>
      <c r="B2026" s="1">
        <v>28.0</v>
      </c>
      <c r="C2026" s="1">
        <v>40.0</v>
      </c>
      <c r="D2026" s="1">
        <v>63.0</v>
      </c>
      <c r="F2026" s="1" t="str">
        <f>LOOKUP(A2026, NPCs!A:A, NPCs!C:C)</f>
        <v>Paranoid Savage</v>
      </c>
      <c r="G2026" s="1" t="str">
        <f>LOOKUP(B2026, Maps!A:A, Maps!B:B)</f>
        <v>Savage Isle</v>
      </c>
    </row>
    <row r="2027" ht="15.75" customHeight="1">
      <c r="A2027" s="1">
        <v>64.0</v>
      </c>
      <c r="B2027" s="1">
        <v>28.0</v>
      </c>
      <c r="C2027" s="1">
        <v>37.0</v>
      </c>
      <c r="D2027" s="1">
        <v>69.0</v>
      </c>
      <c r="F2027" s="1" t="str">
        <f>LOOKUP(A2027, NPCs!A:A, NPCs!C:C)</f>
        <v>Paranoid Savage</v>
      </c>
      <c r="G2027" s="1" t="str">
        <f>LOOKUP(B2027, Maps!A:A, Maps!B:B)</f>
        <v>Savage Isle</v>
      </c>
    </row>
    <row r="2028" ht="15.75" customHeight="1">
      <c r="A2028" s="1">
        <v>64.0</v>
      </c>
      <c r="B2028" s="1">
        <v>28.0</v>
      </c>
      <c r="C2028" s="1">
        <v>39.0</v>
      </c>
      <c r="D2028" s="1">
        <v>69.0</v>
      </c>
      <c r="F2028" s="1" t="str">
        <f>LOOKUP(A2028, NPCs!A:A, NPCs!C:C)</f>
        <v>Paranoid Savage</v>
      </c>
      <c r="G2028" s="1" t="str">
        <f>LOOKUP(B2028, Maps!A:A, Maps!B:B)</f>
        <v>Savage Isle</v>
      </c>
    </row>
    <row r="2029" ht="15.75" customHeight="1">
      <c r="A2029" s="1">
        <v>64.0</v>
      </c>
      <c r="B2029" s="1">
        <v>28.0</v>
      </c>
      <c r="C2029" s="1">
        <v>39.0</v>
      </c>
      <c r="D2029" s="1">
        <v>71.0</v>
      </c>
      <c r="F2029" s="1" t="str">
        <f>LOOKUP(A2029, NPCs!A:A, NPCs!C:C)</f>
        <v>Paranoid Savage</v>
      </c>
      <c r="G2029" s="1" t="str">
        <f>LOOKUP(B2029, Maps!A:A, Maps!B:B)</f>
        <v>Savage Isle</v>
      </c>
    </row>
    <row r="2030" ht="15.75" customHeight="1">
      <c r="A2030" s="1">
        <v>64.0</v>
      </c>
      <c r="B2030" s="1">
        <v>28.0</v>
      </c>
      <c r="C2030" s="1">
        <v>40.0</v>
      </c>
      <c r="D2030" s="1">
        <v>71.0</v>
      </c>
      <c r="F2030" s="1" t="str">
        <f>LOOKUP(A2030, NPCs!A:A, NPCs!C:C)</f>
        <v>Paranoid Savage</v>
      </c>
      <c r="G2030" s="1" t="str">
        <f>LOOKUP(B2030, Maps!A:A, Maps!B:B)</f>
        <v>Savage Isle</v>
      </c>
    </row>
    <row r="2031" ht="15.75" customHeight="1">
      <c r="A2031" s="1">
        <v>64.0</v>
      </c>
      <c r="B2031" s="1">
        <v>28.0</v>
      </c>
      <c r="C2031" s="1">
        <v>42.0</v>
      </c>
      <c r="D2031" s="1">
        <v>73.0</v>
      </c>
      <c r="F2031" s="1" t="str">
        <f>LOOKUP(A2031, NPCs!A:A, NPCs!C:C)</f>
        <v>Paranoid Savage</v>
      </c>
      <c r="G2031" s="1" t="str">
        <f>LOOKUP(B2031, Maps!A:A, Maps!B:B)</f>
        <v>Savage Isle</v>
      </c>
    </row>
    <row r="2032" ht="15.75" customHeight="1">
      <c r="A2032" s="1">
        <v>64.0</v>
      </c>
      <c r="B2032" s="1">
        <v>28.0</v>
      </c>
      <c r="C2032" s="1">
        <v>37.0</v>
      </c>
      <c r="D2032" s="1">
        <v>69.0</v>
      </c>
      <c r="F2032" s="1" t="str">
        <f>LOOKUP(A2032, NPCs!A:A, NPCs!C:C)</f>
        <v>Paranoid Savage</v>
      </c>
      <c r="G2032" s="1" t="str">
        <f>LOOKUP(B2032, Maps!A:A, Maps!B:B)</f>
        <v>Savage Isle</v>
      </c>
    </row>
    <row r="2033" ht="15.75" customHeight="1">
      <c r="A2033" s="1">
        <v>64.0</v>
      </c>
      <c r="B2033" s="1">
        <v>28.0</v>
      </c>
      <c r="C2033" s="1">
        <v>39.0</v>
      </c>
      <c r="D2033" s="1">
        <v>69.0</v>
      </c>
      <c r="F2033" s="1" t="str">
        <f>LOOKUP(A2033, NPCs!A:A, NPCs!C:C)</f>
        <v>Paranoid Savage</v>
      </c>
      <c r="G2033" s="1" t="str">
        <f>LOOKUP(B2033, Maps!A:A, Maps!B:B)</f>
        <v>Savage Isle</v>
      </c>
    </row>
    <row r="2034" ht="15.75" customHeight="1">
      <c r="A2034" s="1">
        <v>64.0</v>
      </c>
      <c r="B2034" s="1">
        <v>28.0</v>
      </c>
      <c r="C2034" s="1">
        <v>57.0</v>
      </c>
      <c r="D2034" s="1">
        <v>67.0</v>
      </c>
      <c r="F2034" s="1" t="str">
        <f>LOOKUP(A2034, NPCs!A:A, NPCs!C:C)</f>
        <v>Paranoid Savage</v>
      </c>
      <c r="G2034" s="1" t="str">
        <f>LOOKUP(B2034, Maps!A:A, Maps!B:B)</f>
        <v>Savage Isle</v>
      </c>
    </row>
    <row r="2035" ht="15.75" customHeight="1">
      <c r="A2035" s="1">
        <v>64.0</v>
      </c>
      <c r="B2035" s="1">
        <v>28.0</v>
      </c>
      <c r="C2035" s="1">
        <v>58.0</v>
      </c>
      <c r="D2035" s="1">
        <v>72.0</v>
      </c>
      <c r="F2035" s="1" t="str">
        <f>LOOKUP(A2035, NPCs!A:A, NPCs!C:C)</f>
        <v>Paranoid Savage</v>
      </c>
      <c r="G2035" s="1" t="str">
        <f>LOOKUP(B2035, Maps!A:A, Maps!B:B)</f>
        <v>Savage Isle</v>
      </c>
    </row>
    <row r="2036" ht="15.75" customHeight="1">
      <c r="A2036" s="1">
        <v>64.0</v>
      </c>
      <c r="B2036" s="1">
        <v>28.0</v>
      </c>
      <c r="C2036" s="1">
        <v>57.0</v>
      </c>
      <c r="D2036" s="1">
        <v>76.0</v>
      </c>
      <c r="F2036" s="1" t="str">
        <f>LOOKUP(A2036, NPCs!A:A, NPCs!C:C)</f>
        <v>Paranoid Savage</v>
      </c>
      <c r="G2036" s="1" t="str">
        <f>LOOKUP(B2036, Maps!A:A, Maps!B:B)</f>
        <v>Savage Isle</v>
      </c>
    </row>
    <row r="2037" ht="15.75" customHeight="1">
      <c r="A2037" s="1">
        <v>64.0</v>
      </c>
      <c r="B2037" s="1">
        <v>28.0</v>
      </c>
      <c r="C2037" s="1">
        <v>54.0</v>
      </c>
      <c r="D2037" s="1">
        <v>77.0</v>
      </c>
      <c r="F2037" s="1" t="str">
        <f>LOOKUP(A2037, NPCs!A:A, NPCs!C:C)</f>
        <v>Paranoid Savage</v>
      </c>
      <c r="G2037" s="1" t="str">
        <f>LOOKUP(B2037, Maps!A:A, Maps!B:B)</f>
        <v>Savage Isle</v>
      </c>
    </row>
    <row r="2038" ht="15.75" customHeight="1">
      <c r="A2038" s="1">
        <v>64.0</v>
      </c>
      <c r="B2038" s="1">
        <v>28.0</v>
      </c>
      <c r="C2038" s="1">
        <v>51.0</v>
      </c>
      <c r="D2038" s="1">
        <v>75.0</v>
      </c>
      <c r="F2038" s="1" t="str">
        <f>LOOKUP(A2038, NPCs!A:A, NPCs!C:C)</f>
        <v>Paranoid Savage</v>
      </c>
      <c r="G2038" s="1" t="str">
        <f>LOOKUP(B2038, Maps!A:A, Maps!B:B)</f>
        <v>Savage Isle</v>
      </c>
    </row>
    <row r="2039" ht="15.75" customHeight="1">
      <c r="A2039" s="1">
        <v>64.0</v>
      </c>
      <c r="B2039" s="1">
        <v>28.0</v>
      </c>
      <c r="C2039" s="1">
        <v>60.0</v>
      </c>
      <c r="D2039" s="1">
        <v>17.0</v>
      </c>
      <c r="F2039" s="1" t="str">
        <f>LOOKUP(A2039, NPCs!A:A, NPCs!C:C)</f>
        <v>Paranoid Savage</v>
      </c>
      <c r="G2039" s="1" t="str">
        <f>LOOKUP(B2039, Maps!A:A, Maps!B:B)</f>
        <v>Savage Isle</v>
      </c>
    </row>
    <row r="2040" ht="15.75" customHeight="1">
      <c r="A2040" s="1">
        <v>64.0</v>
      </c>
      <c r="B2040" s="1">
        <v>28.0</v>
      </c>
      <c r="C2040" s="1">
        <v>60.0</v>
      </c>
      <c r="D2040" s="1">
        <v>18.0</v>
      </c>
      <c r="F2040" s="1" t="str">
        <f>LOOKUP(A2040, NPCs!A:A, NPCs!C:C)</f>
        <v>Paranoid Savage</v>
      </c>
      <c r="G2040" s="1" t="str">
        <f>LOOKUP(B2040, Maps!A:A, Maps!B:B)</f>
        <v>Savage Isle</v>
      </c>
    </row>
    <row r="2041" ht="15.75" customHeight="1">
      <c r="A2041" s="1">
        <v>64.0</v>
      </c>
      <c r="B2041" s="1">
        <v>28.0</v>
      </c>
      <c r="C2041" s="1">
        <v>57.0</v>
      </c>
      <c r="D2041" s="1">
        <v>17.0</v>
      </c>
      <c r="F2041" s="1" t="str">
        <f>LOOKUP(A2041, NPCs!A:A, NPCs!C:C)</f>
        <v>Paranoid Savage</v>
      </c>
      <c r="G2041" s="1" t="str">
        <f>LOOKUP(B2041, Maps!A:A, Maps!B:B)</f>
        <v>Savage Isle</v>
      </c>
    </row>
    <row r="2042" ht="15.75" customHeight="1">
      <c r="A2042" s="1">
        <v>64.0</v>
      </c>
      <c r="B2042" s="1">
        <v>28.0</v>
      </c>
      <c r="C2042" s="1">
        <v>57.0</v>
      </c>
      <c r="D2042" s="1">
        <v>18.0</v>
      </c>
      <c r="F2042" s="1" t="str">
        <f>LOOKUP(A2042, NPCs!A:A, NPCs!C:C)</f>
        <v>Paranoid Savage</v>
      </c>
      <c r="G2042" s="1" t="str">
        <f>LOOKUP(B2042, Maps!A:A, Maps!B:B)</f>
        <v>Savage Isle</v>
      </c>
    </row>
    <row r="2043" ht="15.75" customHeight="1">
      <c r="A2043" s="1">
        <v>64.0</v>
      </c>
      <c r="B2043" s="1">
        <v>28.0</v>
      </c>
      <c r="C2043" s="1">
        <v>58.0</v>
      </c>
      <c r="D2043" s="1">
        <v>56.0</v>
      </c>
      <c r="F2043" s="1" t="str">
        <f>LOOKUP(A2043, NPCs!A:A, NPCs!C:C)</f>
        <v>Paranoid Savage</v>
      </c>
      <c r="G2043" s="1" t="str">
        <f>LOOKUP(B2043, Maps!A:A, Maps!B:B)</f>
        <v>Savage Isle</v>
      </c>
    </row>
    <row r="2044" ht="15.75" customHeight="1">
      <c r="A2044" s="1">
        <v>64.0</v>
      </c>
      <c r="B2044" s="1">
        <v>28.0</v>
      </c>
      <c r="C2044" s="1">
        <v>54.0</v>
      </c>
      <c r="D2044" s="1">
        <v>55.0</v>
      </c>
      <c r="F2044" s="1" t="str">
        <f>LOOKUP(A2044, NPCs!A:A, NPCs!C:C)</f>
        <v>Paranoid Savage</v>
      </c>
      <c r="G2044" s="1" t="str">
        <f>LOOKUP(B2044, Maps!A:A, Maps!B:B)</f>
        <v>Savage Isle</v>
      </c>
    </row>
    <row r="2045" ht="15.75" customHeight="1">
      <c r="A2045" s="1">
        <v>61.0</v>
      </c>
      <c r="B2045" s="1">
        <v>28.0</v>
      </c>
      <c r="C2045" s="1">
        <v>36.0</v>
      </c>
      <c r="D2045" s="1">
        <v>56.0</v>
      </c>
      <c r="F2045" s="1" t="str">
        <f>LOOKUP(A2045, NPCs!A:A, NPCs!C:C)</f>
        <v>Rabid Savage</v>
      </c>
      <c r="G2045" s="1" t="str">
        <f>LOOKUP(B2045, Maps!A:A, Maps!B:B)</f>
        <v>Savage Isle</v>
      </c>
    </row>
    <row r="2046" ht="15.75" customHeight="1">
      <c r="A2046" s="1">
        <v>61.0</v>
      </c>
      <c r="B2046" s="1">
        <v>28.0</v>
      </c>
      <c r="C2046" s="1">
        <v>28.0</v>
      </c>
      <c r="D2046" s="1">
        <v>60.0</v>
      </c>
      <c r="F2046" s="1" t="str">
        <f>LOOKUP(A2046, NPCs!A:A, NPCs!C:C)</f>
        <v>Rabid Savage</v>
      </c>
      <c r="G2046" s="1" t="str">
        <f>LOOKUP(B2046, Maps!A:A, Maps!B:B)</f>
        <v>Savage Isle</v>
      </c>
    </row>
    <row r="2047" ht="15.75" customHeight="1">
      <c r="A2047" s="1">
        <v>61.0</v>
      </c>
      <c r="B2047" s="1">
        <v>28.0</v>
      </c>
      <c r="C2047" s="1">
        <v>25.0</v>
      </c>
      <c r="D2047" s="1">
        <v>61.0</v>
      </c>
      <c r="F2047" s="1" t="str">
        <f>LOOKUP(A2047, NPCs!A:A, NPCs!C:C)</f>
        <v>Rabid Savage</v>
      </c>
      <c r="G2047" s="1" t="str">
        <f>LOOKUP(B2047, Maps!A:A, Maps!B:B)</f>
        <v>Savage Isle</v>
      </c>
    </row>
    <row r="2048" ht="15.75" customHeight="1">
      <c r="A2048" s="1">
        <v>61.0</v>
      </c>
      <c r="B2048" s="1">
        <v>28.0</v>
      </c>
      <c r="C2048" s="1">
        <v>25.0</v>
      </c>
      <c r="D2048" s="1">
        <v>72.0</v>
      </c>
      <c r="F2048" s="1" t="str">
        <f>LOOKUP(A2048, NPCs!A:A, NPCs!C:C)</f>
        <v>Rabid Savage</v>
      </c>
      <c r="G2048" s="1" t="str">
        <f>LOOKUP(B2048, Maps!A:A, Maps!B:B)</f>
        <v>Savage Isle</v>
      </c>
    </row>
    <row r="2049" ht="15.75" customHeight="1">
      <c r="A2049" s="1">
        <v>61.0</v>
      </c>
      <c r="B2049" s="1">
        <v>28.0</v>
      </c>
      <c r="C2049" s="1">
        <v>29.0</v>
      </c>
      <c r="D2049" s="1">
        <v>36.0</v>
      </c>
      <c r="F2049" s="1" t="str">
        <f>LOOKUP(A2049, NPCs!A:A, NPCs!C:C)</f>
        <v>Rabid Savage</v>
      </c>
      <c r="G2049" s="1" t="str">
        <f>LOOKUP(B2049, Maps!A:A, Maps!B:B)</f>
        <v>Savage Isle</v>
      </c>
    </row>
    <row r="2050" ht="15.75" customHeight="1">
      <c r="A2050" s="1">
        <v>61.0</v>
      </c>
      <c r="B2050" s="1">
        <v>28.0</v>
      </c>
      <c r="C2050" s="1">
        <v>25.0</v>
      </c>
      <c r="D2050" s="1">
        <v>35.0</v>
      </c>
      <c r="F2050" s="1" t="str">
        <f>LOOKUP(A2050, NPCs!A:A, NPCs!C:C)</f>
        <v>Rabid Savage</v>
      </c>
      <c r="G2050" s="1" t="str">
        <f>LOOKUP(B2050, Maps!A:A, Maps!B:B)</f>
        <v>Savage Isle</v>
      </c>
    </row>
    <row r="2051" ht="15.75" customHeight="1">
      <c r="A2051" s="1">
        <v>61.0</v>
      </c>
      <c r="B2051" s="1">
        <v>28.0</v>
      </c>
      <c r="C2051" s="1">
        <v>48.0</v>
      </c>
      <c r="D2051" s="1">
        <v>36.0</v>
      </c>
      <c r="F2051" s="1" t="str">
        <f>LOOKUP(A2051, NPCs!A:A, NPCs!C:C)</f>
        <v>Rabid Savage</v>
      </c>
      <c r="G2051" s="1" t="str">
        <f>LOOKUP(B2051, Maps!A:A, Maps!B:B)</f>
        <v>Savage Isle</v>
      </c>
    </row>
    <row r="2052" ht="15.75" customHeight="1">
      <c r="A2052" s="1">
        <v>61.0</v>
      </c>
      <c r="B2052" s="1">
        <v>28.0</v>
      </c>
      <c r="C2052" s="1">
        <v>47.0</v>
      </c>
      <c r="D2052" s="1">
        <v>40.0</v>
      </c>
      <c r="F2052" s="1" t="str">
        <f>LOOKUP(A2052, NPCs!A:A, NPCs!C:C)</f>
        <v>Rabid Savage</v>
      </c>
      <c r="G2052" s="1" t="str">
        <f>LOOKUP(B2052, Maps!A:A, Maps!B:B)</f>
        <v>Savage Isle</v>
      </c>
    </row>
    <row r="2053" ht="15.75" customHeight="1">
      <c r="A2053" s="1">
        <v>61.0</v>
      </c>
      <c r="B2053" s="1">
        <v>28.0</v>
      </c>
      <c r="C2053" s="1">
        <v>51.0</v>
      </c>
      <c r="D2053" s="1">
        <v>39.0</v>
      </c>
      <c r="F2053" s="1" t="str">
        <f>LOOKUP(A2053, NPCs!A:A, NPCs!C:C)</f>
        <v>Rabid Savage</v>
      </c>
      <c r="G2053" s="1" t="str">
        <f>LOOKUP(B2053, Maps!A:A, Maps!B:B)</f>
        <v>Savage Isle</v>
      </c>
    </row>
    <row r="2054" ht="15.75" customHeight="1">
      <c r="A2054" s="1">
        <v>61.0</v>
      </c>
      <c r="B2054" s="1">
        <v>28.0</v>
      </c>
      <c r="C2054" s="1">
        <v>51.0</v>
      </c>
      <c r="D2054" s="1">
        <v>37.0</v>
      </c>
      <c r="F2054" s="1" t="str">
        <f>LOOKUP(A2054, NPCs!A:A, NPCs!C:C)</f>
        <v>Rabid Savage</v>
      </c>
      <c r="G2054" s="1" t="str">
        <f>LOOKUP(B2054, Maps!A:A, Maps!B:B)</f>
        <v>Savage Isle</v>
      </c>
    </row>
    <row r="2055" ht="15.75" customHeight="1">
      <c r="A2055" s="1">
        <v>61.0</v>
      </c>
      <c r="B2055" s="1">
        <v>28.0</v>
      </c>
      <c r="C2055" s="1">
        <v>53.0</v>
      </c>
      <c r="D2055" s="1">
        <v>36.0</v>
      </c>
      <c r="F2055" s="1" t="str">
        <f>LOOKUP(A2055, NPCs!A:A, NPCs!C:C)</f>
        <v>Rabid Savage</v>
      </c>
      <c r="G2055" s="1" t="str">
        <f>LOOKUP(B2055, Maps!A:A, Maps!B:B)</f>
        <v>Savage Isle</v>
      </c>
    </row>
    <row r="2056" ht="15.75" customHeight="1">
      <c r="A2056" s="1">
        <v>61.0</v>
      </c>
      <c r="B2056" s="1">
        <v>28.0</v>
      </c>
      <c r="C2056" s="1">
        <v>55.0</v>
      </c>
      <c r="D2056" s="1">
        <v>36.0</v>
      </c>
      <c r="F2056" s="1" t="str">
        <f>LOOKUP(A2056, NPCs!A:A, NPCs!C:C)</f>
        <v>Rabid Savage</v>
      </c>
      <c r="G2056" s="1" t="str">
        <f>LOOKUP(B2056, Maps!A:A, Maps!B:B)</f>
        <v>Savage Isle</v>
      </c>
    </row>
    <row r="2057" ht="15.75" customHeight="1">
      <c r="A2057" s="1">
        <v>61.0</v>
      </c>
      <c r="B2057" s="1">
        <v>28.0</v>
      </c>
      <c r="C2057" s="1">
        <v>45.0</v>
      </c>
      <c r="D2057" s="1">
        <v>48.0</v>
      </c>
      <c r="F2057" s="1" t="str">
        <f>LOOKUP(A2057, NPCs!A:A, NPCs!C:C)</f>
        <v>Rabid Savage</v>
      </c>
      <c r="G2057" s="1" t="str">
        <f>LOOKUP(B2057, Maps!A:A, Maps!B:B)</f>
        <v>Savage Isle</v>
      </c>
    </row>
    <row r="2058" ht="15.75" customHeight="1">
      <c r="A2058" s="1">
        <v>61.0</v>
      </c>
      <c r="B2058" s="1">
        <v>28.0</v>
      </c>
      <c r="C2058" s="1">
        <v>34.0</v>
      </c>
      <c r="D2058" s="1">
        <v>47.0</v>
      </c>
      <c r="F2058" s="1" t="str">
        <f>LOOKUP(A2058, NPCs!A:A, NPCs!C:C)</f>
        <v>Rabid Savage</v>
      </c>
      <c r="G2058" s="1" t="str">
        <f>LOOKUP(B2058, Maps!A:A, Maps!B:B)</f>
        <v>Savage Isle</v>
      </c>
    </row>
    <row r="2059" ht="15.75" customHeight="1">
      <c r="A2059" s="1">
        <v>61.0</v>
      </c>
      <c r="B2059" s="1">
        <v>28.0</v>
      </c>
      <c r="C2059" s="1">
        <v>27.0</v>
      </c>
      <c r="D2059" s="1">
        <v>52.0</v>
      </c>
      <c r="F2059" s="1" t="str">
        <f>LOOKUP(A2059, NPCs!A:A, NPCs!C:C)</f>
        <v>Rabid Savage</v>
      </c>
      <c r="G2059" s="1" t="str">
        <f>LOOKUP(B2059, Maps!A:A, Maps!B:B)</f>
        <v>Savage Isle</v>
      </c>
    </row>
    <row r="2060" ht="15.75" customHeight="1">
      <c r="A2060" s="1">
        <v>61.0</v>
      </c>
      <c r="B2060" s="1">
        <v>28.0</v>
      </c>
      <c r="C2060" s="1">
        <v>20.0</v>
      </c>
      <c r="D2060" s="1">
        <v>58.0</v>
      </c>
      <c r="F2060" s="1" t="str">
        <f>LOOKUP(A2060, NPCs!A:A, NPCs!C:C)</f>
        <v>Rabid Savage</v>
      </c>
      <c r="G2060" s="1" t="str">
        <f>LOOKUP(B2060, Maps!A:A, Maps!B:B)</f>
        <v>Savage Isle</v>
      </c>
    </row>
    <row r="2061" ht="15.75" customHeight="1">
      <c r="A2061" s="1">
        <v>61.0</v>
      </c>
      <c r="B2061" s="1">
        <v>28.0</v>
      </c>
      <c r="C2061" s="1">
        <v>11.0</v>
      </c>
      <c r="D2061" s="1">
        <v>58.0</v>
      </c>
      <c r="F2061" s="1" t="str">
        <f>LOOKUP(A2061, NPCs!A:A, NPCs!C:C)</f>
        <v>Rabid Savage</v>
      </c>
      <c r="G2061" s="1" t="str">
        <f>LOOKUP(B2061, Maps!A:A, Maps!B:B)</f>
        <v>Savage Isle</v>
      </c>
    </row>
    <row r="2062" ht="15.75" customHeight="1">
      <c r="A2062" s="1">
        <v>61.0</v>
      </c>
      <c r="B2062" s="1">
        <v>28.0</v>
      </c>
      <c r="C2062" s="1">
        <v>12.0</v>
      </c>
      <c r="D2062" s="1">
        <v>61.0</v>
      </c>
      <c r="F2062" s="1" t="str">
        <f>LOOKUP(A2062, NPCs!A:A, NPCs!C:C)</f>
        <v>Rabid Savage</v>
      </c>
      <c r="G2062" s="1" t="str">
        <f>LOOKUP(B2062, Maps!A:A, Maps!B:B)</f>
        <v>Savage Isle</v>
      </c>
    </row>
    <row r="2063" ht="15.75" customHeight="1">
      <c r="A2063" s="1">
        <v>61.0</v>
      </c>
      <c r="B2063" s="1">
        <v>28.0</v>
      </c>
      <c r="C2063" s="1">
        <v>11.0</v>
      </c>
      <c r="D2063" s="1">
        <v>65.0</v>
      </c>
      <c r="F2063" s="1" t="str">
        <f>LOOKUP(A2063, NPCs!A:A, NPCs!C:C)</f>
        <v>Rabid Savage</v>
      </c>
      <c r="G2063" s="1" t="str">
        <f>LOOKUP(B2063, Maps!A:A, Maps!B:B)</f>
        <v>Savage Isle</v>
      </c>
    </row>
    <row r="2064" ht="15.75" customHeight="1">
      <c r="A2064" s="1">
        <v>61.0</v>
      </c>
      <c r="B2064" s="1">
        <v>28.0</v>
      </c>
      <c r="C2064" s="1">
        <v>9.0</v>
      </c>
      <c r="D2064" s="1">
        <v>70.0</v>
      </c>
      <c r="F2064" s="1" t="str">
        <f>LOOKUP(A2064, NPCs!A:A, NPCs!C:C)</f>
        <v>Rabid Savage</v>
      </c>
      <c r="G2064" s="1" t="str">
        <f>LOOKUP(B2064, Maps!A:A, Maps!B:B)</f>
        <v>Savage Isle</v>
      </c>
    </row>
    <row r="2065" ht="15.75" customHeight="1">
      <c r="A2065" s="1">
        <v>61.0</v>
      </c>
      <c r="B2065" s="1">
        <v>28.0</v>
      </c>
      <c r="C2065" s="1">
        <v>13.0</v>
      </c>
      <c r="D2065" s="1">
        <v>70.0</v>
      </c>
      <c r="F2065" s="1" t="str">
        <f>LOOKUP(A2065, NPCs!A:A, NPCs!C:C)</f>
        <v>Rabid Savage</v>
      </c>
      <c r="G2065" s="1" t="str">
        <f>LOOKUP(B2065, Maps!A:A, Maps!B:B)</f>
        <v>Savage Isle</v>
      </c>
    </row>
    <row r="2066" ht="15.75" customHeight="1">
      <c r="A2066" s="1">
        <v>62.0</v>
      </c>
      <c r="B2066" s="1">
        <v>28.0</v>
      </c>
      <c r="C2066" s="1">
        <v>56.0</v>
      </c>
      <c r="D2066" s="1">
        <v>9.0</v>
      </c>
      <c r="F2066" s="1" t="str">
        <f>LOOKUP(A2066, NPCs!A:A, NPCs!C:C)</f>
        <v>Hungry Savage</v>
      </c>
      <c r="G2066" s="1" t="str">
        <f>LOOKUP(B2066, Maps!A:A, Maps!B:B)</f>
        <v>Savage Isle</v>
      </c>
    </row>
    <row r="2067" ht="15.75" customHeight="1">
      <c r="A2067" s="1">
        <v>62.0</v>
      </c>
      <c r="B2067" s="1">
        <v>28.0</v>
      </c>
      <c r="C2067" s="1">
        <v>56.0</v>
      </c>
      <c r="D2067" s="1">
        <v>10.0</v>
      </c>
      <c r="F2067" s="1" t="str">
        <f>LOOKUP(A2067, NPCs!A:A, NPCs!C:C)</f>
        <v>Hungry Savage</v>
      </c>
      <c r="G2067" s="1" t="str">
        <f>LOOKUP(B2067, Maps!A:A, Maps!B:B)</f>
        <v>Savage Isle</v>
      </c>
    </row>
    <row r="2068" ht="15.75" customHeight="1">
      <c r="A2068" s="1">
        <v>62.0</v>
      </c>
      <c r="B2068" s="1">
        <v>28.0</v>
      </c>
      <c r="C2068" s="1">
        <v>57.0</v>
      </c>
      <c r="D2068" s="1">
        <v>9.0</v>
      </c>
      <c r="F2068" s="1" t="str">
        <f>LOOKUP(A2068, NPCs!A:A, NPCs!C:C)</f>
        <v>Hungry Savage</v>
      </c>
      <c r="G2068" s="1" t="str">
        <f>LOOKUP(B2068, Maps!A:A, Maps!B:B)</f>
        <v>Savage Isle</v>
      </c>
    </row>
    <row r="2069" ht="15.75" customHeight="1">
      <c r="A2069" s="1">
        <v>62.0</v>
      </c>
      <c r="B2069" s="1">
        <v>28.0</v>
      </c>
      <c r="C2069" s="1">
        <v>57.0</v>
      </c>
      <c r="D2069" s="1">
        <v>10.0</v>
      </c>
      <c r="F2069" s="1" t="str">
        <f>LOOKUP(A2069, NPCs!A:A, NPCs!C:C)</f>
        <v>Hungry Savage</v>
      </c>
      <c r="G2069" s="1" t="str">
        <f>LOOKUP(B2069, Maps!A:A, Maps!B:B)</f>
        <v>Savage Isle</v>
      </c>
    </row>
    <row r="2070" ht="15.75" customHeight="1">
      <c r="A2070" s="1">
        <v>62.0</v>
      </c>
      <c r="B2070" s="1">
        <v>28.0</v>
      </c>
      <c r="C2070" s="1">
        <v>58.0</v>
      </c>
      <c r="D2070" s="1">
        <v>14.0</v>
      </c>
      <c r="F2070" s="1" t="str">
        <f>LOOKUP(A2070, NPCs!A:A, NPCs!C:C)</f>
        <v>Hungry Savage</v>
      </c>
      <c r="G2070" s="1" t="str">
        <f>LOOKUP(B2070, Maps!A:A, Maps!B:B)</f>
        <v>Savage Isle</v>
      </c>
    </row>
    <row r="2071" ht="15.75" customHeight="1">
      <c r="A2071" s="1">
        <v>62.0</v>
      </c>
      <c r="B2071" s="1">
        <v>28.0</v>
      </c>
      <c r="C2071" s="1">
        <v>59.0</v>
      </c>
      <c r="D2071" s="1">
        <v>14.0</v>
      </c>
      <c r="F2071" s="1" t="str">
        <f>LOOKUP(A2071, NPCs!A:A, NPCs!C:C)</f>
        <v>Hungry Savage</v>
      </c>
      <c r="G2071" s="1" t="str">
        <f>LOOKUP(B2071, Maps!A:A, Maps!B:B)</f>
        <v>Savage Isle</v>
      </c>
    </row>
    <row r="2072" ht="15.75" customHeight="1">
      <c r="A2072" s="1">
        <v>62.0</v>
      </c>
      <c r="B2072" s="1">
        <v>28.0</v>
      </c>
      <c r="C2072" s="1">
        <v>58.0</v>
      </c>
      <c r="D2072" s="1">
        <v>16.0</v>
      </c>
      <c r="F2072" s="1" t="str">
        <f>LOOKUP(A2072, NPCs!A:A, NPCs!C:C)</f>
        <v>Hungry Savage</v>
      </c>
      <c r="G2072" s="1" t="str">
        <f>LOOKUP(B2072, Maps!A:A, Maps!B:B)</f>
        <v>Savage Isle</v>
      </c>
    </row>
    <row r="2073" ht="15.75" customHeight="1">
      <c r="A2073" s="1">
        <v>62.0</v>
      </c>
      <c r="B2073" s="1">
        <v>28.0</v>
      </c>
      <c r="C2073" s="1">
        <v>59.0</v>
      </c>
      <c r="D2073" s="1">
        <v>16.0</v>
      </c>
      <c r="F2073" s="1" t="str">
        <f>LOOKUP(A2073, NPCs!A:A, NPCs!C:C)</f>
        <v>Hungry Savage</v>
      </c>
      <c r="G2073" s="1" t="str">
        <f>LOOKUP(B2073, Maps!A:A, Maps!B:B)</f>
        <v>Savage Isle</v>
      </c>
    </row>
    <row r="2074" ht="15.75" customHeight="1">
      <c r="A2074" s="1">
        <v>62.0</v>
      </c>
      <c r="B2074" s="1">
        <v>28.0</v>
      </c>
      <c r="C2074" s="1">
        <v>49.0</v>
      </c>
      <c r="D2074" s="1">
        <v>69.0</v>
      </c>
      <c r="F2074" s="1" t="str">
        <f>LOOKUP(A2074, NPCs!A:A, NPCs!C:C)</f>
        <v>Hungry Savage</v>
      </c>
      <c r="G2074" s="1" t="str">
        <f>LOOKUP(B2074, Maps!A:A, Maps!B:B)</f>
        <v>Savage Isle</v>
      </c>
    </row>
    <row r="2075" ht="15.75" customHeight="1">
      <c r="A2075" s="1">
        <v>62.0</v>
      </c>
      <c r="B2075" s="1">
        <v>28.0</v>
      </c>
      <c r="C2075" s="1">
        <v>52.0</v>
      </c>
      <c r="D2075" s="1">
        <v>66.0</v>
      </c>
      <c r="F2075" s="1" t="str">
        <f>LOOKUP(A2075, NPCs!A:A, NPCs!C:C)</f>
        <v>Hungry Savage</v>
      </c>
      <c r="G2075" s="1" t="str">
        <f>LOOKUP(B2075, Maps!A:A, Maps!B:B)</f>
        <v>Savage Isle</v>
      </c>
    </row>
    <row r="2076" ht="15.75" customHeight="1">
      <c r="A2076" s="1">
        <v>62.0</v>
      </c>
      <c r="B2076" s="1">
        <v>28.0</v>
      </c>
      <c r="C2076" s="1">
        <v>57.0</v>
      </c>
      <c r="D2076" s="1">
        <v>63.0</v>
      </c>
      <c r="F2076" s="1" t="str">
        <f>LOOKUP(A2076, NPCs!A:A, NPCs!C:C)</f>
        <v>Hungry Savage</v>
      </c>
      <c r="G2076" s="1" t="str">
        <f>LOOKUP(B2076, Maps!A:A, Maps!B:B)</f>
        <v>Savage Isle</v>
      </c>
    </row>
    <row r="2077" ht="15.75" customHeight="1">
      <c r="A2077" s="1">
        <v>62.0</v>
      </c>
      <c r="B2077" s="1">
        <v>28.0</v>
      </c>
      <c r="C2077" s="1">
        <v>55.0</v>
      </c>
      <c r="D2077" s="1">
        <v>57.0</v>
      </c>
      <c r="F2077" s="1" t="str">
        <f>LOOKUP(A2077, NPCs!A:A, NPCs!C:C)</f>
        <v>Hungry Savage</v>
      </c>
      <c r="G2077" s="1" t="str">
        <f>LOOKUP(B2077, Maps!A:A, Maps!B:B)</f>
        <v>Savage Isle</v>
      </c>
    </row>
    <row r="2078" ht="15.75" customHeight="1">
      <c r="A2078" s="1">
        <v>62.0</v>
      </c>
      <c r="B2078" s="1">
        <v>28.0</v>
      </c>
      <c r="C2078" s="1">
        <v>58.0</v>
      </c>
      <c r="D2078" s="1">
        <v>54.0</v>
      </c>
      <c r="F2078" s="1" t="str">
        <f>LOOKUP(A2078, NPCs!A:A, NPCs!C:C)</f>
        <v>Hungry Savage</v>
      </c>
      <c r="G2078" s="1" t="str">
        <f>LOOKUP(B2078, Maps!A:A, Maps!B:B)</f>
        <v>Savage Isle</v>
      </c>
    </row>
    <row r="2079" ht="15.75" customHeight="1">
      <c r="A2079" s="1">
        <v>62.0</v>
      </c>
      <c r="B2079" s="1">
        <v>28.0</v>
      </c>
      <c r="C2079" s="1">
        <v>49.0</v>
      </c>
      <c r="D2079" s="1">
        <v>53.0</v>
      </c>
      <c r="F2079" s="1" t="str">
        <f>LOOKUP(A2079, NPCs!A:A, NPCs!C:C)</f>
        <v>Hungry Savage</v>
      </c>
      <c r="G2079" s="1" t="str">
        <f>LOOKUP(B2079, Maps!A:A, Maps!B:B)</f>
        <v>Savage Isle</v>
      </c>
    </row>
    <row r="2080" ht="15.75" customHeight="1">
      <c r="A2080" s="1">
        <v>62.0</v>
      </c>
      <c r="B2080" s="1">
        <v>28.0</v>
      </c>
      <c r="C2080" s="1">
        <v>41.0</v>
      </c>
      <c r="D2080" s="1">
        <v>54.0</v>
      </c>
      <c r="F2080" s="1" t="str">
        <f>LOOKUP(A2080, NPCs!A:A, NPCs!C:C)</f>
        <v>Hungry Savage</v>
      </c>
      <c r="G2080" s="1" t="str">
        <f>LOOKUP(B2080, Maps!A:A, Maps!B:B)</f>
        <v>Savage Isle</v>
      </c>
    </row>
    <row r="2081" ht="15.75" customHeight="1">
      <c r="A2081" s="1">
        <v>62.0</v>
      </c>
      <c r="B2081" s="1">
        <v>28.0</v>
      </c>
      <c r="C2081" s="1">
        <v>39.0</v>
      </c>
      <c r="D2081" s="1">
        <v>56.0</v>
      </c>
      <c r="F2081" s="1" t="str">
        <f>LOOKUP(A2081, NPCs!A:A, NPCs!C:C)</f>
        <v>Hungry Savage</v>
      </c>
      <c r="G2081" s="1" t="str">
        <f>LOOKUP(B2081, Maps!A:A, Maps!B:B)</f>
        <v>Savage Isle</v>
      </c>
    </row>
    <row r="2082" ht="15.75" customHeight="1">
      <c r="A2082" s="1">
        <v>62.0</v>
      </c>
      <c r="B2082" s="1">
        <v>28.0</v>
      </c>
      <c r="C2082" s="1">
        <v>26.0</v>
      </c>
      <c r="D2082" s="1">
        <v>62.0</v>
      </c>
      <c r="F2082" s="1" t="str">
        <f>LOOKUP(A2082, NPCs!A:A, NPCs!C:C)</f>
        <v>Hungry Savage</v>
      </c>
      <c r="G2082" s="1" t="str">
        <f>LOOKUP(B2082, Maps!A:A, Maps!B:B)</f>
        <v>Savage Isle</v>
      </c>
    </row>
    <row r="2083" ht="15.75" customHeight="1">
      <c r="A2083" s="1">
        <v>62.0</v>
      </c>
      <c r="B2083" s="1">
        <v>28.0</v>
      </c>
      <c r="C2083" s="1">
        <v>24.0</v>
      </c>
      <c r="D2083" s="1">
        <v>63.0</v>
      </c>
      <c r="F2083" s="1" t="str">
        <f>LOOKUP(A2083, NPCs!A:A, NPCs!C:C)</f>
        <v>Hungry Savage</v>
      </c>
      <c r="G2083" s="1" t="str">
        <f>LOOKUP(B2083, Maps!A:A, Maps!B:B)</f>
        <v>Savage Isle</v>
      </c>
    </row>
    <row r="2084" ht="15.75" customHeight="1">
      <c r="A2084" s="1">
        <v>62.0</v>
      </c>
      <c r="B2084" s="1">
        <v>28.0</v>
      </c>
      <c r="C2084" s="1">
        <v>25.0</v>
      </c>
      <c r="D2084" s="1">
        <v>68.0</v>
      </c>
      <c r="F2084" s="1" t="str">
        <f>LOOKUP(A2084, NPCs!A:A, NPCs!C:C)</f>
        <v>Hungry Savage</v>
      </c>
      <c r="G2084" s="1" t="str">
        <f>LOOKUP(B2084, Maps!A:A, Maps!B:B)</f>
        <v>Savage Isle</v>
      </c>
    </row>
    <row r="2085" ht="15.75" customHeight="1">
      <c r="A2085" s="1">
        <v>62.0</v>
      </c>
      <c r="B2085" s="1">
        <v>28.0</v>
      </c>
      <c r="C2085" s="1">
        <v>22.0</v>
      </c>
      <c r="D2085" s="1">
        <v>74.0</v>
      </c>
      <c r="F2085" s="1" t="str">
        <f>LOOKUP(A2085, NPCs!A:A, NPCs!C:C)</f>
        <v>Hungry Savage</v>
      </c>
      <c r="G2085" s="1" t="str">
        <f>LOOKUP(B2085, Maps!A:A, Maps!B:B)</f>
        <v>Savage Isle</v>
      </c>
    </row>
    <row r="2086" ht="15.75" customHeight="1">
      <c r="A2086" s="1">
        <v>62.0</v>
      </c>
      <c r="B2086" s="1">
        <v>28.0</v>
      </c>
      <c r="C2086" s="1">
        <v>54.0</v>
      </c>
      <c r="D2086" s="1">
        <v>45.0</v>
      </c>
      <c r="F2086" s="1" t="str">
        <f>LOOKUP(A2086, NPCs!A:A, NPCs!C:C)</f>
        <v>Hungry Savage</v>
      </c>
      <c r="G2086" s="1" t="str">
        <f>LOOKUP(B2086, Maps!A:A, Maps!B:B)</f>
        <v>Savage Isle</v>
      </c>
    </row>
    <row r="2087" ht="15.75" customHeight="1">
      <c r="A2087" s="1">
        <v>62.0</v>
      </c>
      <c r="B2087" s="1">
        <v>28.0</v>
      </c>
      <c r="C2087" s="1">
        <v>55.0</v>
      </c>
      <c r="D2087" s="1">
        <v>45.0</v>
      </c>
      <c r="F2087" s="1" t="str">
        <f>LOOKUP(A2087, NPCs!A:A, NPCs!C:C)</f>
        <v>Hungry Savage</v>
      </c>
      <c r="G2087" s="1" t="str">
        <f>LOOKUP(B2087, Maps!A:A, Maps!B:B)</f>
        <v>Savage Isle</v>
      </c>
    </row>
    <row r="2088" ht="15.75" customHeight="1">
      <c r="A2088" s="1">
        <v>62.0</v>
      </c>
      <c r="B2088" s="1">
        <v>28.0</v>
      </c>
      <c r="C2088" s="1">
        <v>56.0</v>
      </c>
      <c r="D2088" s="1">
        <v>45.0</v>
      </c>
      <c r="F2088" s="1" t="str">
        <f>LOOKUP(A2088, NPCs!A:A, NPCs!C:C)</f>
        <v>Hungry Savage</v>
      </c>
      <c r="G2088" s="1" t="str">
        <f>LOOKUP(B2088, Maps!A:A, Maps!B:B)</f>
        <v>Savage Isle</v>
      </c>
    </row>
    <row r="2089" ht="15.75" customHeight="1">
      <c r="A2089" s="1">
        <v>62.0</v>
      </c>
      <c r="B2089" s="1">
        <v>28.0</v>
      </c>
      <c r="C2089" s="1">
        <v>48.0</v>
      </c>
      <c r="D2089" s="1">
        <v>47.0</v>
      </c>
      <c r="F2089" s="1" t="str">
        <f>LOOKUP(A2089, NPCs!A:A, NPCs!C:C)</f>
        <v>Hungry Savage</v>
      </c>
      <c r="G2089" s="1" t="str">
        <f>LOOKUP(B2089, Maps!A:A, Maps!B:B)</f>
        <v>Savage Isle</v>
      </c>
    </row>
    <row r="2090" ht="15.75" customHeight="1">
      <c r="A2090" s="1">
        <v>62.0</v>
      </c>
      <c r="B2090" s="1">
        <v>28.0</v>
      </c>
      <c r="C2090" s="1">
        <v>42.0</v>
      </c>
      <c r="D2090" s="1">
        <v>48.0</v>
      </c>
      <c r="F2090" s="1" t="str">
        <f>LOOKUP(A2090, NPCs!A:A, NPCs!C:C)</f>
        <v>Hungry Savage</v>
      </c>
      <c r="G2090" s="1" t="str">
        <f>LOOKUP(B2090, Maps!A:A, Maps!B:B)</f>
        <v>Savage Isle</v>
      </c>
    </row>
    <row r="2091" ht="15.75" customHeight="1">
      <c r="A2091" s="1">
        <v>62.0</v>
      </c>
      <c r="B2091" s="1">
        <v>28.0</v>
      </c>
      <c r="C2091" s="1">
        <v>38.0</v>
      </c>
      <c r="D2091" s="1">
        <v>45.0</v>
      </c>
      <c r="F2091" s="1" t="str">
        <f>LOOKUP(A2091, NPCs!A:A, NPCs!C:C)</f>
        <v>Hungry Savage</v>
      </c>
      <c r="G2091" s="1" t="str">
        <f>LOOKUP(B2091, Maps!A:A, Maps!B:B)</f>
        <v>Savage Isle</v>
      </c>
    </row>
    <row r="2092" ht="15.75" customHeight="1">
      <c r="A2092" s="1">
        <v>62.0</v>
      </c>
      <c r="B2092" s="1">
        <v>28.0</v>
      </c>
      <c r="C2092" s="1">
        <v>22.0</v>
      </c>
      <c r="D2092" s="1">
        <v>54.0</v>
      </c>
      <c r="F2092" s="1" t="str">
        <f>LOOKUP(A2092, NPCs!A:A, NPCs!C:C)</f>
        <v>Hungry Savage</v>
      </c>
      <c r="G2092" s="1" t="str">
        <f>LOOKUP(B2092, Maps!A:A, Maps!B:B)</f>
        <v>Savage Isle</v>
      </c>
    </row>
    <row r="2093" ht="15.75" customHeight="1">
      <c r="A2093" s="1">
        <v>62.0</v>
      </c>
      <c r="B2093" s="1">
        <v>28.0</v>
      </c>
      <c r="C2093" s="1">
        <v>16.0</v>
      </c>
      <c r="D2093" s="1">
        <v>58.0</v>
      </c>
      <c r="F2093" s="1" t="str">
        <f>LOOKUP(A2093, NPCs!A:A, NPCs!C:C)</f>
        <v>Hungry Savage</v>
      </c>
      <c r="G2093" s="1" t="str">
        <f>LOOKUP(B2093, Maps!A:A, Maps!B:B)</f>
        <v>Savage Isle</v>
      </c>
    </row>
    <row r="2094" ht="15.75" customHeight="1">
      <c r="A2094" s="1">
        <v>62.0</v>
      </c>
      <c r="B2094" s="1">
        <v>28.0</v>
      </c>
      <c r="C2094" s="1">
        <v>12.0</v>
      </c>
      <c r="D2094" s="1">
        <v>66.0</v>
      </c>
      <c r="F2094" s="1" t="str">
        <f>LOOKUP(A2094, NPCs!A:A, NPCs!C:C)</f>
        <v>Hungry Savage</v>
      </c>
      <c r="G2094" s="1" t="str">
        <f>LOOKUP(B2094, Maps!A:A, Maps!B:B)</f>
        <v>Savage Isle</v>
      </c>
    </row>
    <row r="2095" ht="15.75" customHeight="1">
      <c r="A2095" s="1">
        <v>62.0</v>
      </c>
      <c r="B2095" s="1">
        <v>28.0</v>
      </c>
      <c r="C2095" s="1">
        <v>10.0</v>
      </c>
      <c r="D2095" s="1">
        <v>66.0</v>
      </c>
      <c r="F2095" s="1" t="str">
        <f>LOOKUP(A2095, NPCs!A:A, NPCs!C:C)</f>
        <v>Hungry Savage</v>
      </c>
      <c r="G2095" s="1" t="str">
        <f>LOOKUP(B2095, Maps!A:A, Maps!B:B)</f>
        <v>Savage Isle</v>
      </c>
    </row>
    <row r="2096" ht="15.75" customHeight="1">
      <c r="A2096" s="1">
        <v>62.0</v>
      </c>
      <c r="B2096" s="1">
        <v>28.0</v>
      </c>
      <c r="C2096" s="1">
        <v>11.0</v>
      </c>
      <c r="D2096" s="1">
        <v>76.0</v>
      </c>
      <c r="F2096" s="1" t="str">
        <f>LOOKUP(A2096, NPCs!A:A, NPCs!C:C)</f>
        <v>Hungry Savage</v>
      </c>
      <c r="G2096" s="1" t="str">
        <f>LOOKUP(B2096, Maps!A:A, Maps!B:B)</f>
        <v>Savage Isle</v>
      </c>
    </row>
    <row r="2097" ht="15.75" customHeight="1">
      <c r="A2097" s="1">
        <v>62.0</v>
      </c>
      <c r="B2097" s="1">
        <v>28.0</v>
      </c>
      <c r="C2097" s="1">
        <v>15.0</v>
      </c>
      <c r="D2097" s="1">
        <v>77.0</v>
      </c>
      <c r="F2097" s="1" t="str">
        <f>LOOKUP(A2097, NPCs!A:A, NPCs!C:C)</f>
        <v>Hungry Savage</v>
      </c>
      <c r="G2097" s="1" t="str">
        <f>LOOKUP(B2097, Maps!A:A, Maps!B:B)</f>
        <v>Savage Isle</v>
      </c>
    </row>
    <row r="2098" ht="15.75" customHeight="1">
      <c r="A2098" s="1">
        <v>62.0</v>
      </c>
      <c r="B2098" s="1">
        <v>28.0</v>
      </c>
      <c r="C2098" s="1">
        <v>19.0</v>
      </c>
      <c r="D2098" s="1">
        <v>77.0</v>
      </c>
      <c r="F2098" s="1" t="str">
        <f>LOOKUP(A2098, NPCs!A:A, NPCs!C:C)</f>
        <v>Hungry Savage</v>
      </c>
      <c r="G2098" s="1" t="str">
        <f>LOOKUP(B2098, Maps!A:A, Maps!B:B)</f>
        <v>Savage Isle</v>
      </c>
    </row>
    <row r="2099" ht="15.75" customHeight="1">
      <c r="A2099" s="1">
        <v>62.0</v>
      </c>
      <c r="B2099" s="1">
        <v>28.0</v>
      </c>
      <c r="C2099" s="1">
        <v>19.0</v>
      </c>
      <c r="D2099" s="1">
        <v>75.0</v>
      </c>
      <c r="F2099" s="1" t="str">
        <f>LOOKUP(A2099, NPCs!A:A, NPCs!C:C)</f>
        <v>Hungry Savage</v>
      </c>
      <c r="G2099" s="1" t="str">
        <f>LOOKUP(B2099, Maps!A:A, Maps!B:B)</f>
        <v>Savage Isle</v>
      </c>
    </row>
    <row r="2100" ht="15.75" customHeight="1">
      <c r="A2100" s="1">
        <v>67.0</v>
      </c>
      <c r="B2100" s="1">
        <v>28.0</v>
      </c>
      <c r="C2100" s="1">
        <v>38.0</v>
      </c>
      <c r="D2100" s="1">
        <v>72.0</v>
      </c>
      <c r="F2100" s="1" t="str">
        <f>LOOKUP(A2100, NPCs!A:A, NPCs!C:C)</f>
        <v>Insanity</v>
      </c>
      <c r="G2100" s="1" t="str">
        <f>LOOKUP(B2100, Maps!A:A, Maps!B:B)</f>
        <v>Savage Isle</v>
      </c>
    </row>
    <row r="2101" ht="15.75" customHeight="1">
      <c r="A2101" s="1">
        <v>68.0</v>
      </c>
      <c r="B2101" s="1">
        <v>28.0</v>
      </c>
      <c r="C2101" s="1">
        <v>37.0</v>
      </c>
      <c r="D2101" s="1">
        <v>72.0</v>
      </c>
      <c r="F2101" s="1" t="str">
        <f>LOOKUP(A2101, NPCs!A:A, NPCs!C:C)</f>
        <v>Showboat</v>
      </c>
      <c r="G2101" s="1" t="str">
        <f>LOOKUP(B2101, Maps!A:A, Maps!B:B)</f>
        <v>Savage Isle</v>
      </c>
    </row>
    <row r="2102" ht="15.75" customHeight="1">
      <c r="A2102" s="1">
        <v>66.0</v>
      </c>
      <c r="B2102" s="1">
        <v>28.0</v>
      </c>
      <c r="C2102" s="1">
        <v>37.0</v>
      </c>
      <c r="D2102" s="1">
        <v>73.0</v>
      </c>
      <c r="F2102" s="1" t="str">
        <f>LOOKUP(A2102, NPCs!A:A, NPCs!C:C)</f>
        <v>Copycat</v>
      </c>
      <c r="G2102" s="1" t="str">
        <f>LOOKUP(B2102, Maps!A:A, Maps!B:B)</f>
        <v>Savage Isle</v>
      </c>
    </row>
    <row r="2103" ht="15.75" customHeight="1">
      <c r="A2103" s="1">
        <v>65.0</v>
      </c>
      <c r="B2103" s="1">
        <v>28.0</v>
      </c>
      <c r="C2103" s="1">
        <v>56.0</v>
      </c>
      <c r="D2103" s="1">
        <v>2.0</v>
      </c>
      <c r="F2103" s="1" t="str">
        <f>LOOKUP(A2103, NPCs!A:A, NPCs!C:C)</f>
        <v>Beefcake</v>
      </c>
      <c r="G2103" s="1" t="str">
        <f>LOOKUP(B2103, Maps!A:A, Maps!B:B)</f>
        <v>Savage Isle</v>
      </c>
    </row>
    <row r="2104" ht="15.75" customHeight="1">
      <c r="A2104" s="1">
        <v>40.0</v>
      </c>
      <c r="B2104" s="1">
        <v>7.0</v>
      </c>
      <c r="C2104" s="1">
        <v>9.0</v>
      </c>
      <c r="D2104" s="1">
        <v>49.0</v>
      </c>
      <c r="F2104" s="1" t="str">
        <f>LOOKUP(A2104, NPCs!A:A, NPCs!C:C)</f>
        <v>Green Slime</v>
      </c>
      <c r="G2104" s="1" t="str">
        <f>LOOKUP(B2104, Maps!A:A, Maps!B:B)</f>
        <v>Slime Kingdom</v>
      </c>
    </row>
    <row r="2105" ht="15.75" customHeight="1">
      <c r="A2105" s="1">
        <v>40.0</v>
      </c>
      <c r="B2105" s="1">
        <v>7.0</v>
      </c>
      <c r="C2105" s="1">
        <v>9.0</v>
      </c>
      <c r="D2105" s="1">
        <v>56.0</v>
      </c>
      <c r="F2105" s="1" t="str">
        <f>LOOKUP(A2105, NPCs!A:A, NPCs!C:C)</f>
        <v>Green Slime</v>
      </c>
      <c r="G2105" s="1" t="str">
        <f>LOOKUP(B2105, Maps!A:A, Maps!B:B)</f>
        <v>Slime Kingdom</v>
      </c>
    </row>
    <row r="2106" ht="15.75" customHeight="1">
      <c r="A2106" s="1">
        <v>40.0</v>
      </c>
      <c r="B2106" s="1">
        <v>7.0</v>
      </c>
      <c r="C2106" s="1">
        <v>26.0</v>
      </c>
      <c r="D2106" s="1">
        <v>52.0</v>
      </c>
      <c r="F2106" s="1" t="str">
        <f>LOOKUP(A2106, NPCs!A:A, NPCs!C:C)</f>
        <v>Green Slime</v>
      </c>
      <c r="G2106" s="1" t="str">
        <f>LOOKUP(B2106, Maps!A:A, Maps!B:B)</f>
        <v>Slime Kingdom</v>
      </c>
    </row>
    <row r="2107" ht="15.75" customHeight="1">
      <c r="A2107" s="1">
        <v>40.0</v>
      </c>
      <c r="B2107" s="1">
        <v>7.0</v>
      </c>
      <c r="C2107" s="1">
        <v>28.0</v>
      </c>
      <c r="D2107" s="1">
        <v>56.0</v>
      </c>
      <c r="F2107" s="1" t="str">
        <f>LOOKUP(A2107, NPCs!A:A, NPCs!C:C)</f>
        <v>Green Slime</v>
      </c>
      <c r="G2107" s="1" t="str">
        <f>LOOKUP(B2107, Maps!A:A, Maps!B:B)</f>
        <v>Slime Kingdom</v>
      </c>
    </row>
    <row r="2108" ht="15.75" customHeight="1">
      <c r="A2108" s="1">
        <v>40.0</v>
      </c>
      <c r="B2108" s="1">
        <v>7.0</v>
      </c>
      <c r="C2108" s="1">
        <v>35.0</v>
      </c>
      <c r="D2108" s="1">
        <v>54.0</v>
      </c>
      <c r="F2108" s="1" t="str">
        <f>LOOKUP(A2108, NPCs!A:A, NPCs!C:C)</f>
        <v>Green Slime</v>
      </c>
      <c r="G2108" s="1" t="str">
        <f>LOOKUP(B2108, Maps!A:A, Maps!B:B)</f>
        <v>Slime Kingdom</v>
      </c>
    </row>
    <row r="2109" ht="15.75" customHeight="1">
      <c r="A2109" s="1">
        <v>40.0</v>
      </c>
      <c r="B2109" s="1">
        <v>7.0</v>
      </c>
      <c r="C2109" s="1">
        <v>34.0</v>
      </c>
      <c r="D2109" s="1">
        <v>47.0</v>
      </c>
      <c r="F2109" s="1" t="str">
        <f>LOOKUP(A2109, NPCs!A:A, NPCs!C:C)</f>
        <v>Green Slime</v>
      </c>
      <c r="G2109" s="1" t="str">
        <f>LOOKUP(B2109, Maps!A:A, Maps!B:B)</f>
        <v>Slime Kingdom</v>
      </c>
    </row>
    <row r="2110" ht="15.75" customHeight="1">
      <c r="A2110" s="1">
        <v>40.0</v>
      </c>
      <c r="B2110" s="1">
        <v>7.0</v>
      </c>
      <c r="C2110" s="1">
        <v>14.0</v>
      </c>
      <c r="D2110" s="1">
        <v>73.0</v>
      </c>
      <c r="F2110" s="1" t="str">
        <f>LOOKUP(A2110, NPCs!A:A, NPCs!C:C)</f>
        <v>Green Slime</v>
      </c>
      <c r="G2110" s="1" t="str">
        <f>LOOKUP(B2110, Maps!A:A, Maps!B:B)</f>
        <v>Slime Kingdom</v>
      </c>
    </row>
    <row r="2111" ht="15.75" customHeight="1">
      <c r="A2111" s="1">
        <v>40.0</v>
      </c>
      <c r="B2111" s="1">
        <v>7.0</v>
      </c>
      <c r="C2111" s="1">
        <v>17.0</v>
      </c>
      <c r="D2111" s="1">
        <v>69.0</v>
      </c>
      <c r="F2111" s="1" t="str">
        <f>LOOKUP(A2111, NPCs!A:A, NPCs!C:C)</f>
        <v>Green Slime</v>
      </c>
      <c r="G2111" s="1" t="str">
        <f>LOOKUP(B2111, Maps!A:A, Maps!B:B)</f>
        <v>Slime Kingdom</v>
      </c>
    </row>
    <row r="2112" ht="15.75" customHeight="1">
      <c r="A2112" s="1">
        <v>40.0</v>
      </c>
      <c r="B2112" s="1">
        <v>7.0</v>
      </c>
      <c r="C2112" s="1">
        <v>54.0</v>
      </c>
      <c r="D2112" s="1">
        <v>67.0</v>
      </c>
      <c r="F2112" s="1" t="str">
        <f>LOOKUP(A2112, NPCs!A:A, NPCs!C:C)</f>
        <v>Green Slime</v>
      </c>
      <c r="G2112" s="1" t="str">
        <f>LOOKUP(B2112, Maps!A:A, Maps!B:B)</f>
        <v>Slime Kingdom</v>
      </c>
    </row>
    <row r="2113" ht="15.75" customHeight="1">
      <c r="A2113" s="1">
        <v>40.0</v>
      </c>
      <c r="B2113" s="1">
        <v>7.0</v>
      </c>
      <c r="C2113" s="1">
        <v>44.0</v>
      </c>
      <c r="D2113" s="1">
        <v>73.0</v>
      </c>
      <c r="F2113" s="1" t="str">
        <f>LOOKUP(A2113, NPCs!A:A, NPCs!C:C)</f>
        <v>Green Slime</v>
      </c>
      <c r="G2113" s="1" t="str">
        <f>LOOKUP(B2113, Maps!A:A, Maps!B:B)</f>
        <v>Slime Kingdom</v>
      </c>
    </row>
    <row r="2114" ht="15.75" customHeight="1">
      <c r="A2114" s="1">
        <v>41.0</v>
      </c>
      <c r="B2114" s="1">
        <v>7.0</v>
      </c>
      <c r="C2114" s="1">
        <v>35.0</v>
      </c>
      <c r="D2114" s="1">
        <v>52.0</v>
      </c>
      <c r="F2114" s="1" t="str">
        <f>LOOKUP(A2114, NPCs!A:A, NPCs!C:C)</f>
        <v>Slime</v>
      </c>
      <c r="G2114" s="1" t="str">
        <f>LOOKUP(B2114, Maps!A:A, Maps!B:B)</f>
        <v>Slime Kingdom</v>
      </c>
    </row>
    <row r="2115" ht="15.75" customHeight="1">
      <c r="A2115" s="1">
        <v>41.0</v>
      </c>
      <c r="B2115" s="1">
        <v>7.0</v>
      </c>
      <c r="C2115" s="1">
        <v>29.0</v>
      </c>
      <c r="D2115" s="1">
        <v>49.0</v>
      </c>
      <c r="F2115" s="1" t="str">
        <f>LOOKUP(A2115, NPCs!A:A, NPCs!C:C)</f>
        <v>Slime</v>
      </c>
      <c r="G2115" s="1" t="str">
        <f>LOOKUP(B2115, Maps!A:A, Maps!B:B)</f>
        <v>Slime Kingdom</v>
      </c>
    </row>
    <row r="2116" ht="15.75" customHeight="1">
      <c r="A2116" s="1">
        <v>41.0</v>
      </c>
      <c r="B2116" s="1">
        <v>7.0</v>
      </c>
      <c r="C2116" s="1">
        <v>34.0</v>
      </c>
      <c r="D2116" s="1">
        <v>26.0</v>
      </c>
      <c r="F2116" s="1" t="str">
        <f>LOOKUP(A2116, NPCs!A:A, NPCs!C:C)</f>
        <v>Slime</v>
      </c>
      <c r="G2116" s="1" t="str">
        <f>LOOKUP(B2116, Maps!A:A, Maps!B:B)</f>
        <v>Slime Kingdom</v>
      </c>
    </row>
    <row r="2117" ht="15.75" customHeight="1">
      <c r="A2117" s="1">
        <v>41.0</v>
      </c>
      <c r="B2117" s="1">
        <v>7.0</v>
      </c>
      <c r="C2117" s="1">
        <v>31.0</v>
      </c>
      <c r="D2117" s="1">
        <v>21.0</v>
      </c>
      <c r="F2117" s="1" t="str">
        <f>LOOKUP(A2117, NPCs!A:A, NPCs!C:C)</f>
        <v>Slime</v>
      </c>
      <c r="G2117" s="1" t="str">
        <f>LOOKUP(B2117, Maps!A:A, Maps!B:B)</f>
        <v>Slime Kingdom</v>
      </c>
    </row>
    <row r="2118" ht="15.75" customHeight="1">
      <c r="A2118" s="1">
        <v>41.0</v>
      </c>
      <c r="B2118" s="1">
        <v>7.0</v>
      </c>
      <c r="C2118" s="1">
        <v>24.0</v>
      </c>
      <c r="D2118" s="1">
        <v>56.0</v>
      </c>
      <c r="F2118" s="1" t="str">
        <f>LOOKUP(A2118, NPCs!A:A, NPCs!C:C)</f>
        <v>Slime</v>
      </c>
      <c r="G2118" s="1" t="str">
        <f>LOOKUP(B2118, Maps!A:A, Maps!B:B)</f>
        <v>Slime Kingdom</v>
      </c>
    </row>
    <row r="2119" ht="15.75" customHeight="1">
      <c r="A2119" s="1">
        <v>41.0</v>
      </c>
      <c r="B2119" s="1">
        <v>7.0</v>
      </c>
      <c r="C2119" s="1">
        <v>28.0</v>
      </c>
      <c r="D2119" s="1">
        <v>29.0</v>
      </c>
      <c r="F2119" s="1" t="str">
        <f>LOOKUP(A2119, NPCs!A:A, NPCs!C:C)</f>
        <v>Slime</v>
      </c>
      <c r="G2119" s="1" t="str">
        <f>LOOKUP(B2119, Maps!A:A, Maps!B:B)</f>
        <v>Slime Kingdom</v>
      </c>
    </row>
    <row r="2120" ht="15.75" customHeight="1">
      <c r="A2120" s="1">
        <v>41.0</v>
      </c>
      <c r="B2120" s="1">
        <v>7.0</v>
      </c>
      <c r="C2120" s="1">
        <v>15.0</v>
      </c>
      <c r="D2120" s="1">
        <v>30.0</v>
      </c>
      <c r="F2120" s="1" t="str">
        <f>LOOKUP(A2120, NPCs!A:A, NPCs!C:C)</f>
        <v>Slime</v>
      </c>
      <c r="G2120" s="1" t="str">
        <f>LOOKUP(B2120, Maps!A:A, Maps!B:B)</f>
        <v>Slime Kingdom</v>
      </c>
    </row>
    <row r="2121" ht="15.75" customHeight="1">
      <c r="A2121" s="1">
        <v>41.0</v>
      </c>
      <c r="B2121" s="1">
        <v>7.0</v>
      </c>
      <c r="C2121" s="1">
        <v>8.0</v>
      </c>
      <c r="D2121" s="1">
        <v>29.0</v>
      </c>
      <c r="F2121" s="1" t="str">
        <f>LOOKUP(A2121, NPCs!A:A, NPCs!C:C)</f>
        <v>Slime</v>
      </c>
      <c r="G2121" s="1" t="str">
        <f>LOOKUP(B2121, Maps!A:A, Maps!B:B)</f>
        <v>Slime Kingdom</v>
      </c>
    </row>
    <row r="2122" ht="15.75" customHeight="1">
      <c r="A2122" s="1">
        <v>41.0</v>
      </c>
      <c r="B2122" s="1">
        <v>7.0</v>
      </c>
      <c r="C2122" s="1">
        <v>11.0</v>
      </c>
      <c r="D2122" s="1">
        <v>35.0</v>
      </c>
      <c r="F2122" s="1" t="str">
        <f>LOOKUP(A2122, NPCs!A:A, NPCs!C:C)</f>
        <v>Slime</v>
      </c>
      <c r="G2122" s="1" t="str">
        <f>LOOKUP(B2122, Maps!A:A, Maps!B:B)</f>
        <v>Slime Kingdom</v>
      </c>
    </row>
    <row r="2123" ht="15.75" customHeight="1">
      <c r="A2123" s="1">
        <v>41.0</v>
      </c>
      <c r="B2123" s="1">
        <v>7.0</v>
      </c>
      <c r="C2123" s="1">
        <v>6.0</v>
      </c>
      <c r="D2123" s="1">
        <v>36.0</v>
      </c>
      <c r="F2123" s="1" t="str">
        <f>LOOKUP(A2123, NPCs!A:A, NPCs!C:C)</f>
        <v>Slime</v>
      </c>
      <c r="G2123" s="1" t="str">
        <f>LOOKUP(B2123, Maps!A:A, Maps!B:B)</f>
        <v>Slime Kingdom</v>
      </c>
    </row>
    <row r="2124" ht="15.75" customHeight="1">
      <c r="A2124" s="1">
        <v>41.0</v>
      </c>
      <c r="B2124" s="1">
        <v>7.0</v>
      </c>
      <c r="C2124" s="1">
        <v>2.0</v>
      </c>
      <c r="D2124" s="1">
        <v>34.0</v>
      </c>
      <c r="F2124" s="1" t="str">
        <f>LOOKUP(A2124, NPCs!A:A, NPCs!C:C)</f>
        <v>Slime</v>
      </c>
      <c r="G2124" s="1" t="str">
        <f>LOOKUP(B2124, Maps!A:A, Maps!B:B)</f>
        <v>Slime Kingdom</v>
      </c>
    </row>
    <row r="2125" ht="15.75" customHeight="1">
      <c r="A2125" s="1">
        <v>41.0</v>
      </c>
      <c r="B2125" s="1">
        <v>7.0</v>
      </c>
      <c r="C2125" s="1">
        <v>2.0</v>
      </c>
      <c r="D2125" s="1">
        <v>25.0</v>
      </c>
      <c r="F2125" s="1" t="str">
        <f>LOOKUP(A2125, NPCs!A:A, NPCs!C:C)</f>
        <v>Slime</v>
      </c>
      <c r="G2125" s="1" t="str">
        <f>LOOKUP(B2125, Maps!A:A, Maps!B:B)</f>
        <v>Slime Kingdom</v>
      </c>
    </row>
    <row r="2126" ht="15.75" customHeight="1">
      <c r="A2126" s="1">
        <v>41.0</v>
      </c>
      <c r="B2126" s="1">
        <v>7.0</v>
      </c>
      <c r="C2126" s="1">
        <v>3.0</v>
      </c>
      <c r="D2126" s="1">
        <v>21.0</v>
      </c>
      <c r="F2126" s="1" t="str">
        <f>LOOKUP(A2126, NPCs!A:A, NPCs!C:C)</f>
        <v>Slime</v>
      </c>
      <c r="G2126" s="1" t="str">
        <f>LOOKUP(B2126, Maps!A:A, Maps!B:B)</f>
        <v>Slime Kingdom</v>
      </c>
    </row>
    <row r="2127" ht="15.75" customHeight="1">
      <c r="A2127" s="1">
        <v>41.0</v>
      </c>
      <c r="B2127" s="1">
        <v>7.0</v>
      </c>
      <c r="C2127" s="1">
        <v>14.0</v>
      </c>
      <c r="D2127" s="1">
        <v>67.0</v>
      </c>
      <c r="F2127" s="1" t="str">
        <f>LOOKUP(A2127, NPCs!A:A, NPCs!C:C)</f>
        <v>Slime</v>
      </c>
      <c r="G2127" s="1" t="str">
        <f>LOOKUP(B2127, Maps!A:A, Maps!B:B)</f>
        <v>Slime Kingdom</v>
      </c>
    </row>
    <row r="2128" ht="15.75" customHeight="1">
      <c r="A2128" s="1">
        <v>41.0</v>
      </c>
      <c r="B2128" s="1">
        <v>7.0</v>
      </c>
      <c r="C2128" s="1">
        <v>11.0</v>
      </c>
      <c r="D2128" s="1">
        <v>70.0</v>
      </c>
      <c r="F2128" s="1" t="str">
        <f>LOOKUP(A2128, NPCs!A:A, NPCs!C:C)</f>
        <v>Slime</v>
      </c>
      <c r="G2128" s="1" t="str">
        <f>LOOKUP(B2128, Maps!A:A, Maps!B:B)</f>
        <v>Slime Kingdom</v>
      </c>
    </row>
    <row r="2129" ht="15.75" customHeight="1">
      <c r="A2129" s="1">
        <v>41.0</v>
      </c>
      <c r="B2129" s="1">
        <v>7.0</v>
      </c>
      <c r="C2129" s="1">
        <v>21.0</v>
      </c>
      <c r="D2129" s="1">
        <v>71.0</v>
      </c>
      <c r="F2129" s="1" t="str">
        <f>LOOKUP(A2129, NPCs!A:A, NPCs!C:C)</f>
        <v>Slime</v>
      </c>
      <c r="G2129" s="1" t="str">
        <f>LOOKUP(B2129, Maps!A:A, Maps!B:B)</f>
        <v>Slime Kingdom</v>
      </c>
    </row>
    <row r="2130" ht="15.75" customHeight="1">
      <c r="A2130" s="1">
        <v>41.0</v>
      </c>
      <c r="B2130" s="1">
        <v>7.0</v>
      </c>
      <c r="C2130" s="1">
        <v>19.0</v>
      </c>
      <c r="D2130" s="1">
        <v>75.0</v>
      </c>
      <c r="F2130" s="1" t="str">
        <f>LOOKUP(A2130, NPCs!A:A, NPCs!C:C)</f>
        <v>Slime</v>
      </c>
      <c r="G2130" s="1" t="str">
        <f>LOOKUP(B2130, Maps!A:A, Maps!B:B)</f>
        <v>Slime Kingdom</v>
      </c>
    </row>
    <row r="2131" ht="15.75" customHeight="1">
      <c r="A2131" s="1">
        <v>41.0</v>
      </c>
      <c r="B2131" s="1">
        <v>7.0</v>
      </c>
      <c r="C2131" s="1">
        <v>44.0</v>
      </c>
      <c r="D2131" s="1">
        <v>76.0</v>
      </c>
      <c r="F2131" s="1" t="str">
        <f>LOOKUP(A2131, NPCs!A:A, NPCs!C:C)</f>
        <v>Slime</v>
      </c>
      <c r="G2131" s="1" t="str">
        <f>LOOKUP(B2131, Maps!A:A, Maps!B:B)</f>
        <v>Slime Kingdom</v>
      </c>
    </row>
    <row r="2132" ht="15.75" customHeight="1">
      <c r="A2132" s="1">
        <v>41.0</v>
      </c>
      <c r="B2132" s="1">
        <v>7.0</v>
      </c>
      <c r="C2132" s="1">
        <v>40.0</v>
      </c>
      <c r="D2132" s="1">
        <v>78.0</v>
      </c>
      <c r="F2132" s="1" t="str">
        <f>LOOKUP(A2132, NPCs!A:A, NPCs!C:C)</f>
        <v>Slime</v>
      </c>
      <c r="G2132" s="1" t="str">
        <f>LOOKUP(B2132, Maps!A:A, Maps!B:B)</f>
        <v>Slime Kingdom</v>
      </c>
    </row>
    <row r="2133" ht="15.75" customHeight="1">
      <c r="A2133" s="1">
        <v>41.0</v>
      </c>
      <c r="B2133" s="1">
        <v>7.0</v>
      </c>
      <c r="C2133" s="1">
        <v>36.0</v>
      </c>
      <c r="D2133" s="1">
        <v>78.0</v>
      </c>
      <c r="F2133" s="1" t="str">
        <f>LOOKUP(A2133, NPCs!A:A, NPCs!C:C)</f>
        <v>Slime</v>
      </c>
      <c r="G2133" s="1" t="str">
        <f>LOOKUP(B2133, Maps!A:A, Maps!B:B)</f>
        <v>Slime Kingdom</v>
      </c>
    </row>
    <row r="2134" ht="15.75" customHeight="1">
      <c r="A2134" s="1">
        <v>41.0</v>
      </c>
      <c r="B2134" s="1">
        <v>7.0</v>
      </c>
      <c r="C2134" s="1">
        <v>36.0</v>
      </c>
      <c r="D2134" s="1">
        <v>74.0</v>
      </c>
      <c r="F2134" s="1" t="str">
        <f>LOOKUP(A2134, NPCs!A:A, NPCs!C:C)</f>
        <v>Slime</v>
      </c>
      <c r="G2134" s="1" t="str">
        <f>LOOKUP(B2134, Maps!A:A, Maps!B:B)</f>
        <v>Slime Kingdom</v>
      </c>
    </row>
    <row r="2135" ht="15.75" customHeight="1">
      <c r="A2135" s="1">
        <v>41.0</v>
      </c>
      <c r="B2135" s="1">
        <v>7.0</v>
      </c>
      <c r="C2135" s="1">
        <v>39.0</v>
      </c>
      <c r="D2135" s="1">
        <v>70.0</v>
      </c>
      <c r="F2135" s="1" t="str">
        <f>LOOKUP(A2135, NPCs!A:A, NPCs!C:C)</f>
        <v>Slime</v>
      </c>
      <c r="G2135" s="1" t="str">
        <f>LOOKUP(B2135, Maps!A:A, Maps!B:B)</f>
        <v>Slime Kingdom</v>
      </c>
    </row>
    <row r="2136" ht="15.75" customHeight="1">
      <c r="A2136" s="1">
        <v>41.0</v>
      </c>
      <c r="B2136" s="1">
        <v>7.0</v>
      </c>
      <c r="C2136" s="1">
        <v>43.0</v>
      </c>
      <c r="D2136" s="1">
        <v>69.0</v>
      </c>
      <c r="F2136" s="1" t="str">
        <f>LOOKUP(A2136, NPCs!A:A, NPCs!C:C)</f>
        <v>Slime</v>
      </c>
      <c r="G2136" s="1" t="str">
        <f>LOOKUP(B2136, Maps!A:A, Maps!B:B)</f>
        <v>Slime Kingdom</v>
      </c>
    </row>
    <row r="2137" ht="15.75" customHeight="1">
      <c r="A2137" s="1">
        <v>41.0</v>
      </c>
      <c r="B2137" s="1">
        <v>7.0</v>
      </c>
      <c r="C2137" s="1">
        <v>42.0</v>
      </c>
      <c r="D2137" s="1">
        <v>66.0</v>
      </c>
      <c r="F2137" s="1" t="str">
        <f>LOOKUP(A2137, NPCs!A:A, NPCs!C:C)</f>
        <v>Slime</v>
      </c>
      <c r="G2137" s="1" t="str">
        <f>LOOKUP(B2137, Maps!A:A, Maps!B:B)</f>
        <v>Slime Kingdom</v>
      </c>
    </row>
    <row r="2138" ht="15.75" customHeight="1">
      <c r="A2138" s="1">
        <v>41.0</v>
      </c>
      <c r="B2138" s="1">
        <v>7.0</v>
      </c>
      <c r="C2138" s="1">
        <v>47.0</v>
      </c>
      <c r="D2138" s="1">
        <v>78.0</v>
      </c>
      <c r="F2138" s="1" t="str">
        <f>LOOKUP(A2138, NPCs!A:A, NPCs!C:C)</f>
        <v>Slime</v>
      </c>
      <c r="G2138" s="1" t="str">
        <f>LOOKUP(B2138, Maps!A:A, Maps!B:B)</f>
        <v>Slime Kingdom</v>
      </c>
    </row>
    <row r="2139" ht="15.75" customHeight="1">
      <c r="A2139" s="1">
        <v>42.0</v>
      </c>
      <c r="B2139" s="1">
        <v>7.0</v>
      </c>
      <c r="C2139" s="1">
        <v>13.0</v>
      </c>
      <c r="D2139" s="1">
        <v>24.0</v>
      </c>
      <c r="F2139" s="1" t="str">
        <f>LOOKUP(A2139, NPCs!A:A, NPCs!C:C)</f>
        <v>Pink Slime</v>
      </c>
      <c r="G2139" s="1" t="str">
        <f>LOOKUP(B2139, Maps!A:A, Maps!B:B)</f>
        <v>Slime Kingdom</v>
      </c>
    </row>
    <row r="2140" ht="15.75" customHeight="1">
      <c r="A2140" s="1">
        <v>42.0</v>
      </c>
      <c r="B2140" s="1">
        <v>7.0</v>
      </c>
      <c r="C2140" s="1">
        <v>14.0</v>
      </c>
      <c r="D2140" s="1">
        <v>33.0</v>
      </c>
      <c r="F2140" s="1" t="str">
        <f>LOOKUP(A2140, NPCs!A:A, NPCs!C:C)</f>
        <v>Pink Slime</v>
      </c>
      <c r="G2140" s="1" t="str">
        <f>LOOKUP(B2140, Maps!A:A, Maps!B:B)</f>
        <v>Slime Kingdom</v>
      </c>
    </row>
    <row r="2141" ht="15.75" customHeight="1">
      <c r="A2141" s="1">
        <v>42.0</v>
      </c>
      <c r="B2141" s="1">
        <v>7.0</v>
      </c>
      <c r="C2141" s="1">
        <v>20.0</v>
      </c>
      <c r="D2141" s="1">
        <v>32.0</v>
      </c>
      <c r="F2141" s="1" t="str">
        <f>LOOKUP(A2141, NPCs!A:A, NPCs!C:C)</f>
        <v>Pink Slime</v>
      </c>
      <c r="G2141" s="1" t="str">
        <f>LOOKUP(B2141, Maps!A:A, Maps!B:B)</f>
        <v>Slime Kingdom</v>
      </c>
    </row>
    <row r="2142" ht="15.75" customHeight="1">
      <c r="A2142" s="1">
        <v>42.0</v>
      </c>
      <c r="B2142" s="1">
        <v>7.0</v>
      </c>
      <c r="C2142" s="1">
        <v>19.0</v>
      </c>
      <c r="D2142" s="1">
        <v>27.0</v>
      </c>
      <c r="F2142" s="1" t="str">
        <f>LOOKUP(A2142, NPCs!A:A, NPCs!C:C)</f>
        <v>Pink Slime</v>
      </c>
      <c r="G2142" s="1" t="str">
        <f>LOOKUP(B2142, Maps!A:A, Maps!B:B)</f>
        <v>Slime Kingdom</v>
      </c>
    </row>
    <row r="2143" ht="15.75" customHeight="1">
      <c r="A2143" s="1">
        <v>42.0</v>
      </c>
      <c r="B2143" s="1">
        <v>7.0</v>
      </c>
      <c r="C2143" s="1">
        <v>24.0</v>
      </c>
      <c r="D2143" s="1">
        <v>31.0</v>
      </c>
      <c r="F2143" s="1" t="str">
        <f>LOOKUP(A2143, NPCs!A:A, NPCs!C:C)</f>
        <v>Pink Slime</v>
      </c>
      <c r="G2143" s="1" t="str">
        <f>LOOKUP(B2143, Maps!A:A, Maps!B:B)</f>
        <v>Slime Kingdom</v>
      </c>
    </row>
    <row r="2144" ht="15.75" customHeight="1">
      <c r="A2144" s="1">
        <v>42.0</v>
      </c>
      <c r="B2144" s="1">
        <v>7.0</v>
      </c>
      <c r="C2144" s="1">
        <v>27.0</v>
      </c>
      <c r="D2144" s="1">
        <v>19.0</v>
      </c>
      <c r="F2144" s="1" t="str">
        <f>LOOKUP(A2144, NPCs!A:A, NPCs!C:C)</f>
        <v>Pink Slime</v>
      </c>
      <c r="G2144" s="1" t="str">
        <f>LOOKUP(B2144, Maps!A:A, Maps!B:B)</f>
        <v>Slime Kingdom</v>
      </c>
    </row>
    <row r="2145" ht="15.75" customHeight="1">
      <c r="A2145" s="1">
        <v>42.0</v>
      </c>
      <c r="B2145" s="1">
        <v>7.0</v>
      </c>
      <c r="C2145" s="1">
        <v>38.0</v>
      </c>
      <c r="D2145" s="1">
        <v>23.0</v>
      </c>
      <c r="F2145" s="1" t="str">
        <f>LOOKUP(A2145, NPCs!A:A, NPCs!C:C)</f>
        <v>Pink Slime</v>
      </c>
      <c r="G2145" s="1" t="str">
        <f>LOOKUP(B2145, Maps!A:A, Maps!B:B)</f>
        <v>Slime Kingdom</v>
      </c>
    </row>
    <row r="2146" ht="15.75" customHeight="1">
      <c r="A2146" s="1">
        <v>42.0</v>
      </c>
      <c r="B2146" s="1">
        <v>7.0</v>
      </c>
      <c r="C2146" s="1">
        <v>70.0</v>
      </c>
      <c r="D2146" s="1">
        <v>82.0</v>
      </c>
      <c r="F2146" s="1" t="str">
        <f>LOOKUP(A2146, NPCs!A:A, NPCs!C:C)</f>
        <v>Pink Slime</v>
      </c>
      <c r="G2146" s="1" t="str">
        <f>LOOKUP(B2146, Maps!A:A, Maps!B:B)</f>
        <v>Slime Kingdom</v>
      </c>
    </row>
    <row r="2147" ht="15.75" customHeight="1">
      <c r="A2147" s="1">
        <v>42.0</v>
      </c>
      <c r="B2147" s="1">
        <v>7.0</v>
      </c>
      <c r="C2147" s="1">
        <v>75.0</v>
      </c>
      <c r="D2147" s="1">
        <v>82.0</v>
      </c>
      <c r="F2147" s="1" t="str">
        <f>LOOKUP(A2147, NPCs!A:A, NPCs!C:C)</f>
        <v>Pink Slime</v>
      </c>
      <c r="G2147" s="1" t="str">
        <f>LOOKUP(B2147, Maps!A:A, Maps!B:B)</f>
        <v>Slime Kingdom</v>
      </c>
    </row>
    <row r="2148" ht="15.75" customHeight="1">
      <c r="A2148" s="1">
        <v>42.0</v>
      </c>
      <c r="B2148" s="1">
        <v>7.0</v>
      </c>
      <c r="C2148" s="1">
        <v>52.0</v>
      </c>
      <c r="D2148" s="1">
        <v>78.0</v>
      </c>
      <c r="F2148" s="1" t="str">
        <f>LOOKUP(A2148, NPCs!A:A, NPCs!C:C)</f>
        <v>Pink Slime</v>
      </c>
      <c r="G2148" s="1" t="str">
        <f>LOOKUP(B2148, Maps!A:A, Maps!B:B)</f>
        <v>Slime Kingdom</v>
      </c>
    </row>
    <row r="2149" ht="15.75" customHeight="1">
      <c r="A2149" s="1">
        <v>42.0</v>
      </c>
      <c r="B2149" s="1">
        <v>7.0</v>
      </c>
      <c r="C2149" s="1">
        <v>52.0</v>
      </c>
      <c r="D2149" s="1">
        <v>75.0</v>
      </c>
      <c r="F2149" s="1" t="str">
        <f>LOOKUP(A2149, NPCs!A:A, NPCs!C:C)</f>
        <v>Pink Slime</v>
      </c>
      <c r="G2149" s="1" t="str">
        <f>LOOKUP(B2149, Maps!A:A, Maps!B:B)</f>
        <v>Slime Kingdom</v>
      </c>
    </row>
    <row r="2150" ht="15.75" customHeight="1">
      <c r="A2150" s="1">
        <v>42.0</v>
      </c>
      <c r="B2150" s="1">
        <v>7.0</v>
      </c>
      <c r="C2150" s="1">
        <v>54.0</v>
      </c>
      <c r="D2150" s="1">
        <v>72.0</v>
      </c>
      <c r="F2150" s="1" t="str">
        <f>LOOKUP(A2150, NPCs!A:A, NPCs!C:C)</f>
        <v>Pink Slime</v>
      </c>
      <c r="G2150" s="1" t="str">
        <f>LOOKUP(B2150, Maps!A:A, Maps!B:B)</f>
        <v>Slime Kingdom</v>
      </c>
    </row>
    <row r="2151" ht="15.75" customHeight="1">
      <c r="A2151" s="1">
        <v>42.0</v>
      </c>
      <c r="B2151" s="1">
        <v>7.0</v>
      </c>
      <c r="C2151" s="1">
        <v>52.0</v>
      </c>
      <c r="D2151" s="1">
        <v>69.0</v>
      </c>
      <c r="F2151" s="1" t="str">
        <f>LOOKUP(A2151, NPCs!A:A, NPCs!C:C)</f>
        <v>Pink Slime</v>
      </c>
      <c r="G2151" s="1" t="str">
        <f>LOOKUP(B2151, Maps!A:A, Maps!B:B)</f>
        <v>Slime Kingdom</v>
      </c>
    </row>
    <row r="2152" ht="15.75" customHeight="1">
      <c r="A2152" s="1">
        <v>42.0</v>
      </c>
      <c r="B2152" s="1">
        <v>7.0</v>
      </c>
      <c r="C2152" s="1">
        <v>51.0</v>
      </c>
      <c r="D2152" s="1">
        <v>65.0</v>
      </c>
      <c r="F2152" s="1" t="str">
        <f>LOOKUP(A2152, NPCs!A:A, NPCs!C:C)</f>
        <v>Pink Slime</v>
      </c>
      <c r="G2152" s="1" t="str">
        <f>LOOKUP(B2152, Maps!A:A, Maps!B:B)</f>
        <v>Slime Kingdom</v>
      </c>
    </row>
    <row r="2153" ht="15.75" customHeight="1">
      <c r="A2153" s="1">
        <v>42.0</v>
      </c>
      <c r="B2153" s="1">
        <v>7.0</v>
      </c>
      <c r="C2153" s="1">
        <v>47.0</v>
      </c>
      <c r="D2153" s="1">
        <v>65.0</v>
      </c>
      <c r="F2153" s="1" t="str">
        <f>LOOKUP(A2153, NPCs!A:A, NPCs!C:C)</f>
        <v>Pink Slime</v>
      </c>
      <c r="G2153" s="1" t="str">
        <f>LOOKUP(B2153, Maps!A:A, Maps!B:B)</f>
        <v>Slime Kingdom</v>
      </c>
    </row>
    <row r="2154" ht="15.75" customHeight="1">
      <c r="A2154" s="1">
        <v>42.0</v>
      </c>
      <c r="B2154" s="1">
        <v>7.0</v>
      </c>
      <c r="C2154" s="1">
        <v>78.0</v>
      </c>
      <c r="D2154" s="1">
        <v>97.0</v>
      </c>
      <c r="F2154" s="1" t="str">
        <f>LOOKUP(A2154, NPCs!A:A, NPCs!C:C)</f>
        <v>Pink Slime</v>
      </c>
      <c r="G2154" s="1" t="str">
        <f>LOOKUP(B2154, Maps!A:A, Maps!B:B)</f>
        <v>Slime Kingdom</v>
      </c>
    </row>
    <row r="2155" ht="15.75" customHeight="1">
      <c r="A2155" s="1">
        <v>42.0</v>
      </c>
      <c r="B2155" s="1">
        <v>7.0</v>
      </c>
      <c r="C2155" s="1">
        <v>75.0</v>
      </c>
      <c r="D2155" s="1">
        <v>95.0</v>
      </c>
      <c r="F2155" s="1" t="str">
        <f>LOOKUP(A2155, NPCs!A:A, NPCs!C:C)</f>
        <v>Pink Slime</v>
      </c>
      <c r="G2155" s="1" t="str">
        <f>LOOKUP(B2155, Maps!A:A, Maps!B:B)</f>
        <v>Slime Kingdom</v>
      </c>
    </row>
    <row r="2156" ht="15.75" customHeight="1">
      <c r="A2156" s="1">
        <v>42.0</v>
      </c>
      <c r="B2156" s="1">
        <v>7.0</v>
      </c>
      <c r="C2156" s="1">
        <v>75.0</v>
      </c>
      <c r="D2156" s="1">
        <v>91.0</v>
      </c>
      <c r="F2156" s="1" t="str">
        <f>LOOKUP(A2156, NPCs!A:A, NPCs!C:C)</f>
        <v>Pink Slime</v>
      </c>
      <c r="G2156" s="1" t="str">
        <f>LOOKUP(B2156, Maps!A:A, Maps!B:B)</f>
        <v>Slime Kingdom</v>
      </c>
    </row>
    <row r="2157" ht="15.75" customHeight="1">
      <c r="A2157" s="1">
        <v>42.0</v>
      </c>
      <c r="B2157" s="1">
        <v>7.0</v>
      </c>
      <c r="C2157" s="1">
        <v>69.0</v>
      </c>
      <c r="D2157" s="1">
        <v>94.0</v>
      </c>
      <c r="F2157" s="1" t="str">
        <f>LOOKUP(A2157, NPCs!A:A, NPCs!C:C)</f>
        <v>Pink Slime</v>
      </c>
      <c r="G2157" s="1" t="str">
        <f>LOOKUP(B2157, Maps!A:A, Maps!B:B)</f>
        <v>Slime Kingdom</v>
      </c>
    </row>
    <row r="2158" ht="15.75" customHeight="1">
      <c r="A2158" s="1">
        <v>42.0</v>
      </c>
      <c r="B2158" s="1">
        <v>7.0</v>
      </c>
      <c r="C2158" s="1">
        <v>68.0</v>
      </c>
      <c r="D2158" s="1">
        <v>91.0</v>
      </c>
      <c r="F2158" s="1" t="str">
        <f>LOOKUP(A2158, NPCs!A:A, NPCs!C:C)</f>
        <v>Pink Slime</v>
      </c>
      <c r="G2158" s="1" t="str">
        <f>LOOKUP(B2158, Maps!A:A, Maps!B:B)</f>
        <v>Slime Kingdom</v>
      </c>
    </row>
    <row r="2159" ht="15.75" customHeight="1">
      <c r="A2159" s="1">
        <v>42.0</v>
      </c>
      <c r="B2159" s="1">
        <v>7.0</v>
      </c>
      <c r="C2159" s="1">
        <v>68.0</v>
      </c>
      <c r="D2159" s="1">
        <v>88.0</v>
      </c>
      <c r="F2159" s="1" t="str">
        <f>LOOKUP(A2159, NPCs!A:A, NPCs!C:C)</f>
        <v>Pink Slime</v>
      </c>
      <c r="G2159" s="1" t="str">
        <f>LOOKUP(B2159, Maps!A:A, Maps!B:B)</f>
        <v>Slime Kingdom</v>
      </c>
    </row>
    <row r="2160" ht="15.75" customHeight="1">
      <c r="A2160" s="1">
        <v>42.0</v>
      </c>
      <c r="B2160" s="1">
        <v>7.0</v>
      </c>
      <c r="C2160" s="1">
        <v>68.0</v>
      </c>
      <c r="D2160" s="1">
        <v>84.0</v>
      </c>
      <c r="F2160" s="1" t="str">
        <f>LOOKUP(A2160, NPCs!A:A, NPCs!C:C)</f>
        <v>Pink Slime</v>
      </c>
      <c r="G2160" s="1" t="str">
        <f>LOOKUP(B2160, Maps!A:A, Maps!B:B)</f>
        <v>Slime Kingdom</v>
      </c>
    </row>
    <row r="2161" ht="15.75" customHeight="1">
      <c r="A2161" s="1">
        <v>42.0</v>
      </c>
      <c r="B2161" s="1">
        <v>7.0</v>
      </c>
      <c r="C2161" s="1">
        <v>74.0</v>
      </c>
      <c r="D2161" s="1">
        <v>86.0</v>
      </c>
      <c r="F2161" s="1" t="str">
        <f>LOOKUP(A2161, NPCs!A:A, NPCs!C:C)</f>
        <v>Pink Slime</v>
      </c>
      <c r="G2161" s="1" t="str">
        <f>LOOKUP(B2161, Maps!A:A, Maps!B:B)</f>
        <v>Slime Kingdom</v>
      </c>
    </row>
    <row r="2162" ht="15.75" customHeight="1">
      <c r="A2162" s="1">
        <v>43.0</v>
      </c>
      <c r="B2162" s="1">
        <v>7.0</v>
      </c>
      <c r="C2162" s="1">
        <v>34.0</v>
      </c>
      <c r="D2162" s="1">
        <v>23.0</v>
      </c>
      <c r="F2162" s="1" t="str">
        <f>LOOKUP(A2162, NPCs!A:A, NPCs!C:C)</f>
        <v>Gold Slime</v>
      </c>
      <c r="G2162" s="1" t="str">
        <f>LOOKUP(B2162, Maps!A:A, Maps!B:B)</f>
        <v>Slime Kingdom</v>
      </c>
    </row>
    <row r="2163" ht="15.75" customHeight="1">
      <c r="A2163" s="1">
        <v>43.0</v>
      </c>
      <c r="B2163" s="1">
        <v>7.0</v>
      </c>
      <c r="C2163" s="1">
        <v>6.0</v>
      </c>
      <c r="D2163" s="1">
        <v>26.0</v>
      </c>
      <c r="F2163" s="1" t="str">
        <f>LOOKUP(A2163, NPCs!A:A, NPCs!C:C)</f>
        <v>Gold Slime</v>
      </c>
      <c r="G2163" s="1" t="str">
        <f>LOOKUP(B2163, Maps!A:A, Maps!B:B)</f>
        <v>Slime Kingdom</v>
      </c>
    </row>
    <row r="2164" ht="15.75" customHeight="1">
      <c r="A2164" s="1">
        <v>43.0</v>
      </c>
      <c r="B2164" s="1">
        <v>7.0</v>
      </c>
      <c r="C2164" s="1">
        <v>2.0</v>
      </c>
      <c r="D2164" s="1">
        <v>29.0</v>
      </c>
      <c r="F2164" s="1" t="str">
        <f>LOOKUP(A2164, NPCs!A:A, NPCs!C:C)</f>
        <v>Gold Slime</v>
      </c>
      <c r="G2164" s="1" t="str">
        <f>LOOKUP(B2164, Maps!A:A, Maps!B:B)</f>
        <v>Slime Kingdom</v>
      </c>
    </row>
    <row r="2165" ht="15.75" customHeight="1">
      <c r="A2165" s="1">
        <v>43.0</v>
      </c>
      <c r="B2165" s="1">
        <v>7.0</v>
      </c>
      <c r="C2165" s="1">
        <v>9.0</v>
      </c>
      <c r="D2165" s="1">
        <v>21.0</v>
      </c>
      <c r="F2165" s="1" t="str">
        <f>LOOKUP(A2165, NPCs!A:A, NPCs!C:C)</f>
        <v>Gold Slime</v>
      </c>
      <c r="G2165" s="1" t="str">
        <f>LOOKUP(B2165, Maps!A:A, Maps!B:B)</f>
        <v>Slime Kingdom</v>
      </c>
    </row>
    <row r="2166" ht="15.75" customHeight="1">
      <c r="A2166" s="1">
        <v>43.0</v>
      </c>
      <c r="B2166" s="1">
        <v>7.0</v>
      </c>
      <c r="C2166" s="1">
        <v>38.0</v>
      </c>
      <c r="D2166" s="1">
        <v>76.0</v>
      </c>
      <c r="F2166" s="1" t="str">
        <f>LOOKUP(A2166, NPCs!A:A, NPCs!C:C)</f>
        <v>Gold Slime</v>
      </c>
      <c r="G2166" s="1" t="str">
        <f>LOOKUP(B2166, Maps!A:A, Maps!B:B)</f>
        <v>Slime Kingdom</v>
      </c>
    </row>
    <row r="2167" ht="15.75" customHeight="1">
      <c r="A2167" s="1">
        <v>43.0</v>
      </c>
      <c r="B2167" s="1">
        <v>7.0</v>
      </c>
      <c r="C2167" s="1">
        <v>50.0</v>
      </c>
      <c r="D2167" s="1">
        <v>67.0</v>
      </c>
      <c r="F2167" s="1" t="str">
        <f>LOOKUP(A2167, NPCs!A:A, NPCs!C:C)</f>
        <v>Gold Slime</v>
      </c>
      <c r="G2167" s="1" t="str">
        <f>LOOKUP(B2167, Maps!A:A, Maps!B:B)</f>
        <v>Slime Kingdom</v>
      </c>
    </row>
    <row r="2168" ht="15.75" customHeight="1">
      <c r="A2168" s="1">
        <v>43.0</v>
      </c>
      <c r="B2168" s="1">
        <v>7.0</v>
      </c>
      <c r="C2168" s="1">
        <v>49.0</v>
      </c>
      <c r="D2168" s="1">
        <v>72.0</v>
      </c>
      <c r="F2168" s="1" t="str">
        <f>LOOKUP(A2168, NPCs!A:A, NPCs!C:C)</f>
        <v>Gold Slime</v>
      </c>
      <c r="G2168" s="1" t="str">
        <f>LOOKUP(B2168, Maps!A:A, Maps!B:B)</f>
        <v>Slime Kingdom</v>
      </c>
    </row>
    <row r="2169" ht="15.75" customHeight="1">
      <c r="A2169" s="1">
        <v>43.0</v>
      </c>
      <c r="B2169" s="1">
        <v>7.0</v>
      </c>
      <c r="C2169" s="1">
        <v>97.0</v>
      </c>
      <c r="D2169" s="1">
        <v>95.0</v>
      </c>
      <c r="F2169" s="1" t="str">
        <f>LOOKUP(A2169, NPCs!A:A, NPCs!C:C)</f>
        <v>Gold Slime</v>
      </c>
      <c r="G2169" s="1" t="str">
        <f>LOOKUP(B2169, Maps!A:A, Maps!B:B)</f>
        <v>Slime Kingdom</v>
      </c>
    </row>
    <row r="2170" ht="15.75" customHeight="1">
      <c r="A2170" s="1">
        <v>43.0</v>
      </c>
      <c r="B2170" s="1">
        <v>7.0</v>
      </c>
      <c r="C2170" s="1">
        <v>92.0</v>
      </c>
      <c r="D2170" s="1">
        <v>94.0</v>
      </c>
      <c r="F2170" s="1" t="str">
        <f>LOOKUP(A2170, NPCs!A:A, NPCs!C:C)</f>
        <v>Gold Slime</v>
      </c>
      <c r="G2170" s="1" t="str">
        <f>LOOKUP(B2170, Maps!A:A, Maps!B:B)</f>
        <v>Slime Kingdom</v>
      </c>
    </row>
    <row r="2171" ht="15.75" customHeight="1">
      <c r="A2171" s="1">
        <v>43.0</v>
      </c>
      <c r="B2171" s="1">
        <v>7.0</v>
      </c>
      <c r="C2171" s="1">
        <v>92.0</v>
      </c>
      <c r="D2171" s="1">
        <v>97.0</v>
      </c>
      <c r="F2171" s="1" t="str">
        <f>LOOKUP(A2171, NPCs!A:A, NPCs!C:C)</f>
        <v>Gold Slime</v>
      </c>
      <c r="G2171" s="1" t="str">
        <f>LOOKUP(B2171, Maps!A:A, Maps!B:B)</f>
        <v>Slime Kingdom</v>
      </c>
    </row>
    <row r="2172" ht="15.75" customHeight="1">
      <c r="A2172" s="1">
        <v>43.0</v>
      </c>
      <c r="B2172" s="1">
        <v>7.0</v>
      </c>
      <c r="C2172" s="1">
        <v>87.0</v>
      </c>
      <c r="D2172" s="1">
        <v>97.0</v>
      </c>
      <c r="F2172" s="1" t="str">
        <f>LOOKUP(A2172, NPCs!A:A, NPCs!C:C)</f>
        <v>Gold Slime</v>
      </c>
      <c r="G2172" s="1" t="str">
        <f>LOOKUP(B2172, Maps!A:A, Maps!B:B)</f>
        <v>Slime Kingdom</v>
      </c>
    </row>
    <row r="2173" ht="15.75" customHeight="1">
      <c r="A2173" s="1">
        <v>43.0</v>
      </c>
      <c r="B2173" s="1">
        <v>7.0</v>
      </c>
      <c r="C2173" s="1">
        <v>87.0</v>
      </c>
      <c r="D2173" s="1">
        <v>92.0</v>
      </c>
      <c r="F2173" s="1" t="str">
        <f>LOOKUP(A2173, NPCs!A:A, NPCs!C:C)</f>
        <v>Gold Slime</v>
      </c>
      <c r="G2173" s="1" t="str">
        <f>LOOKUP(B2173, Maps!A:A, Maps!B:B)</f>
        <v>Slime Kingdom</v>
      </c>
    </row>
    <row r="2174" ht="15.75" customHeight="1">
      <c r="A2174" s="1">
        <v>43.0</v>
      </c>
      <c r="B2174" s="1">
        <v>7.0</v>
      </c>
      <c r="C2174" s="1">
        <v>82.0</v>
      </c>
      <c r="D2174" s="1">
        <v>91.0</v>
      </c>
      <c r="F2174" s="1" t="str">
        <f>LOOKUP(A2174, NPCs!A:A, NPCs!C:C)</f>
        <v>Gold Slime</v>
      </c>
      <c r="G2174" s="1" t="str">
        <f>LOOKUP(B2174, Maps!A:A, Maps!B:B)</f>
        <v>Slime Kingdom</v>
      </c>
    </row>
    <row r="2175" ht="15.75" customHeight="1">
      <c r="A2175" s="1">
        <v>43.0</v>
      </c>
      <c r="B2175" s="1">
        <v>7.0</v>
      </c>
      <c r="C2175" s="1">
        <v>83.0</v>
      </c>
      <c r="D2175" s="1">
        <v>97.0</v>
      </c>
      <c r="F2175" s="1" t="str">
        <f>LOOKUP(A2175, NPCs!A:A, NPCs!C:C)</f>
        <v>Gold Slime</v>
      </c>
      <c r="G2175" s="1" t="str">
        <f>LOOKUP(B2175, Maps!A:A, Maps!B:B)</f>
        <v>Slime Kingdom</v>
      </c>
    </row>
    <row r="2176" ht="15.75" customHeight="1">
      <c r="A2176" s="1">
        <v>43.0</v>
      </c>
      <c r="B2176" s="1">
        <v>7.0</v>
      </c>
      <c r="C2176" s="1">
        <v>79.0</v>
      </c>
      <c r="D2176" s="1">
        <v>93.0</v>
      </c>
      <c r="F2176" s="1" t="str">
        <f>LOOKUP(A2176, NPCs!A:A, NPCs!C:C)</f>
        <v>Gold Slime</v>
      </c>
      <c r="G2176" s="1" t="str">
        <f>LOOKUP(B2176, Maps!A:A, Maps!B:B)</f>
        <v>Slime Kingdom</v>
      </c>
    </row>
    <row r="2177" ht="15.75" customHeight="1">
      <c r="A2177" s="1">
        <v>44.0</v>
      </c>
      <c r="B2177" s="1">
        <v>7.0</v>
      </c>
      <c r="C2177" s="1">
        <v>73.0</v>
      </c>
      <c r="D2177" s="1">
        <v>48.0</v>
      </c>
      <c r="F2177" s="1" t="str">
        <f>LOOKUP(A2177, NPCs!A:A, NPCs!C:C)</f>
        <v>Blue Slime</v>
      </c>
      <c r="G2177" s="1" t="str">
        <f>LOOKUP(B2177, Maps!A:A, Maps!B:B)</f>
        <v>Slime Kingdom</v>
      </c>
    </row>
    <row r="2178" ht="15.75" customHeight="1">
      <c r="A2178" s="1">
        <v>44.0</v>
      </c>
      <c r="B2178" s="1">
        <v>7.0</v>
      </c>
      <c r="C2178" s="1">
        <v>74.0</v>
      </c>
      <c r="D2178" s="1">
        <v>53.0</v>
      </c>
      <c r="F2178" s="1" t="str">
        <f>LOOKUP(A2178, NPCs!A:A, NPCs!C:C)</f>
        <v>Blue Slime</v>
      </c>
      <c r="G2178" s="1" t="str">
        <f>LOOKUP(B2178, Maps!A:A, Maps!B:B)</f>
        <v>Slime Kingdom</v>
      </c>
    </row>
    <row r="2179" ht="15.75" customHeight="1">
      <c r="A2179" s="1">
        <v>44.0</v>
      </c>
      <c r="B2179" s="1">
        <v>7.0</v>
      </c>
      <c r="C2179" s="1">
        <v>71.0</v>
      </c>
      <c r="D2179" s="1">
        <v>57.0</v>
      </c>
      <c r="F2179" s="1" t="str">
        <f>LOOKUP(A2179, NPCs!A:A, NPCs!C:C)</f>
        <v>Blue Slime</v>
      </c>
      <c r="G2179" s="1" t="str">
        <f>LOOKUP(B2179, Maps!A:A, Maps!B:B)</f>
        <v>Slime Kingdom</v>
      </c>
    </row>
    <row r="2180" ht="15.75" customHeight="1">
      <c r="A2180" s="1">
        <v>44.0</v>
      </c>
      <c r="B2180" s="1">
        <v>7.0</v>
      </c>
      <c r="C2180" s="1">
        <v>71.0</v>
      </c>
      <c r="D2180" s="1">
        <v>62.0</v>
      </c>
      <c r="F2180" s="1" t="str">
        <f>LOOKUP(A2180, NPCs!A:A, NPCs!C:C)</f>
        <v>Blue Slime</v>
      </c>
      <c r="G2180" s="1" t="str">
        <f>LOOKUP(B2180, Maps!A:A, Maps!B:B)</f>
        <v>Slime Kingdom</v>
      </c>
    </row>
    <row r="2181" ht="15.75" customHeight="1">
      <c r="A2181" s="1">
        <v>44.0</v>
      </c>
      <c r="B2181" s="1">
        <v>7.0</v>
      </c>
      <c r="C2181" s="1">
        <v>76.0</v>
      </c>
      <c r="D2181" s="1">
        <v>62.0</v>
      </c>
      <c r="F2181" s="1" t="str">
        <f>LOOKUP(A2181, NPCs!A:A, NPCs!C:C)</f>
        <v>Blue Slime</v>
      </c>
      <c r="G2181" s="1" t="str">
        <f>LOOKUP(B2181, Maps!A:A, Maps!B:B)</f>
        <v>Slime Kingdom</v>
      </c>
    </row>
    <row r="2182" ht="15.75" customHeight="1">
      <c r="A2182" s="1">
        <v>44.0</v>
      </c>
      <c r="B2182" s="1">
        <v>7.0</v>
      </c>
      <c r="C2182" s="1">
        <v>78.0</v>
      </c>
      <c r="D2182" s="1">
        <v>58.0</v>
      </c>
      <c r="F2182" s="1" t="str">
        <f>LOOKUP(A2182, NPCs!A:A, NPCs!C:C)</f>
        <v>Blue Slime</v>
      </c>
      <c r="G2182" s="1" t="str">
        <f>LOOKUP(B2182, Maps!A:A, Maps!B:B)</f>
        <v>Slime Kingdom</v>
      </c>
    </row>
    <row r="2183" ht="15.75" customHeight="1">
      <c r="A2183" s="1">
        <v>44.0</v>
      </c>
      <c r="B2183" s="1">
        <v>7.0</v>
      </c>
      <c r="C2183" s="1">
        <v>79.0</v>
      </c>
      <c r="D2183" s="1">
        <v>53.0</v>
      </c>
      <c r="F2183" s="1" t="str">
        <f>LOOKUP(A2183, NPCs!A:A, NPCs!C:C)</f>
        <v>Blue Slime</v>
      </c>
      <c r="G2183" s="1" t="str">
        <f>LOOKUP(B2183, Maps!A:A, Maps!B:B)</f>
        <v>Slime Kingdom</v>
      </c>
    </row>
    <row r="2184" ht="15.75" customHeight="1">
      <c r="A2184" s="1">
        <v>44.0</v>
      </c>
      <c r="B2184" s="1">
        <v>7.0</v>
      </c>
      <c r="C2184" s="1">
        <v>79.0</v>
      </c>
      <c r="D2184" s="1">
        <v>49.0</v>
      </c>
      <c r="F2184" s="1" t="str">
        <f>LOOKUP(A2184, NPCs!A:A, NPCs!C:C)</f>
        <v>Blue Slime</v>
      </c>
      <c r="G2184" s="1" t="str">
        <f>LOOKUP(B2184, Maps!A:A, Maps!B:B)</f>
        <v>Slime Kingdom</v>
      </c>
    </row>
    <row r="2185" ht="15.75" customHeight="1">
      <c r="A2185" s="1">
        <v>44.0</v>
      </c>
      <c r="B2185" s="1">
        <v>7.0</v>
      </c>
      <c r="C2185" s="1">
        <v>84.0</v>
      </c>
      <c r="D2185" s="1">
        <v>48.0</v>
      </c>
      <c r="F2185" s="1" t="str">
        <f>LOOKUP(A2185, NPCs!A:A, NPCs!C:C)</f>
        <v>Blue Slime</v>
      </c>
      <c r="G2185" s="1" t="str">
        <f>LOOKUP(B2185, Maps!A:A, Maps!B:B)</f>
        <v>Slime Kingdom</v>
      </c>
    </row>
    <row r="2186" ht="15.75" customHeight="1">
      <c r="A2186" s="1">
        <v>44.0</v>
      </c>
      <c r="B2186" s="1">
        <v>7.0</v>
      </c>
      <c r="C2186" s="1">
        <v>84.0</v>
      </c>
      <c r="D2186" s="1">
        <v>53.0</v>
      </c>
      <c r="F2186" s="1" t="str">
        <f>LOOKUP(A2186, NPCs!A:A, NPCs!C:C)</f>
        <v>Blue Slime</v>
      </c>
      <c r="G2186" s="1" t="str">
        <f>LOOKUP(B2186, Maps!A:A, Maps!B:B)</f>
        <v>Slime Kingdom</v>
      </c>
    </row>
    <row r="2187" ht="15.75" customHeight="1">
      <c r="A2187" s="1">
        <v>44.0</v>
      </c>
      <c r="B2187" s="1">
        <v>7.0</v>
      </c>
      <c r="C2187" s="1">
        <v>84.0</v>
      </c>
      <c r="D2187" s="1">
        <v>58.0</v>
      </c>
      <c r="F2187" s="1" t="str">
        <f>LOOKUP(A2187, NPCs!A:A, NPCs!C:C)</f>
        <v>Blue Slime</v>
      </c>
      <c r="G2187" s="1" t="str">
        <f>LOOKUP(B2187, Maps!A:A, Maps!B:B)</f>
        <v>Slime Kingdom</v>
      </c>
    </row>
    <row r="2188" ht="15.75" customHeight="1">
      <c r="A2188" s="1">
        <v>44.0</v>
      </c>
      <c r="B2188" s="1">
        <v>7.0</v>
      </c>
      <c r="C2188" s="1">
        <v>88.0</v>
      </c>
      <c r="D2188" s="1">
        <v>59.0</v>
      </c>
      <c r="F2188" s="1" t="str">
        <f>LOOKUP(A2188, NPCs!A:A, NPCs!C:C)</f>
        <v>Blue Slime</v>
      </c>
      <c r="G2188" s="1" t="str">
        <f>LOOKUP(B2188, Maps!A:A, Maps!B:B)</f>
        <v>Slime Kingdom</v>
      </c>
    </row>
    <row r="2189" ht="15.75" customHeight="1">
      <c r="A2189" s="1">
        <v>44.0</v>
      </c>
      <c r="B2189" s="1">
        <v>7.0</v>
      </c>
      <c r="C2189" s="1">
        <v>88.0</v>
      </c>
      <c r="D2189" s="1">
        <v>55.0</v>
      </c>
      <c r="F2189" s="1" t="str">
        <f>LOOKUP(A2189, NPCs!A:A, NPCs!C:C)</f>
        <v>Blue Slime</v>
      </c>
      <c r="G2189" s="1" t="str">
        <f>LOOKUP(B2189, Maps!A:A, Maps!B:B)</f>
        <v>Slime Kingdom</v>
      </c>
    </row>
    <row r="2190" ht="15.75" customHeight="1">
      <c r="A2190" s="1">
        <v>44.0</v>
      </c>
      <c r="B2190" s="1">
        <v>7.0</v>
      </c>
      <c r="C2190" s="1">
        <v>87.0</v>
      </c>
      <c r="D2190" s="1">
        <v>49.0</v>
      </c>
      <c r="F2190" s="1" t="str">
        <f>LOOKUP(A2190, NPCs!A:A, NPCs!C:C)</f>
        <v>Blue Slime</v>
      </c>
      <c r="G2190" s="1" t="str">
        <f>LOOKUP(B2190, Maps!A:A, Maps!B:B)</f>
        <v>Slime Kingdom</v>
      </c>
    </row>
    <row r="2191" ht="15.75" customHeight="1">
      <c r="A2191" s="1">
        <v>44.0</v>
      </c>
      <c r="B2191" s="1">
        <v>7.0</v>
      </c>
      <c r="C2191" s="1">
        <v>89.0</v>
      </c>
      <c r="D2191" s="1">
        <v>51.0</v>
      </c>
      <c r="F2191" s="1" t="str">
        <f>LOOKUP(A2191, NPCs!A:A, NPCs!C:C)</f>
        <v>Blue Slime</v>
      </c>
      <c r="G2191" s="1" t="str">
        <f>LOOKUP(B2191, Maps!A:A, Maps!B:B)</f>
        <v>Slime Kingdom</v>
      </c>
    </row>
    <row r="2192" ht="15.75" customHeight="1">
      <c r="A2192" s="1">
        <v>44.0</v>
      </c>
      <c r="B2192" s="1">
        <v>7.0</v>
      </c>
      <c r="C2192" s="1">
        <v>91.0</v>
      </c>
      <c r="D2192" s="1">
        <v>50.0</v>
      </c>
      <c r="F2192" s="1" t="str">
        <f>LOOKUP(A2192, NPCs!A:A, NPCs!C:C)</f>
        <v>Blue Slime</v>
      </c>
      <c r="G2192" s="1" t="str">
        <f>LOOKUP(B2192, Maps!A:A, Maps!B:B)</f>
        <v>Slime Kingdom</v>
      </c>
    </row>
    <row r="2193" ht="15.75" customHeight="1">
      <c r="A2193" s="1">
        <v>44.0</v>
      </c>
      <c r="B2193" s="1">
        <v>7.0</v>
      </c>
      <c r="C2193" s="1">
        <v>94.0</v>
      </c>
      <c r="D2193" s="1">
        <v>50.0</v>
      </c>
      <c r="F2193" s="1" t="str">
        <f>LOOKUP(A2193, NPCs!A:A, NPCs!C:C)</f>
        <v>Blue Slime</v>
      </c>
      <c r="G2193" s="1" t="str">
        <f>LOOKUP(B2193, Maps!A:A, Maps!B:B)</f>
        <v>Slime Kingdom</v>
      </c>
    </row>
    <row r="2194" ht="15.75" customHeight="1">
      <c r="A2194" s="1">
        <v>44.0</v>
      </c>
      <c r="B2194" s="1">
        <v>7.0</v>
      </c>
      <c r="C2194" s="1">
        <v>94.0</v>
      </c>
      <c r="D2194" s="1">
        <v>56.0</v>
      </c>
      <c r="F2194" s="1" t="str">
        <f>LOOKUP(A2194, NPCs!A:A, NPCs!C:C)</f>
        <v>Blue Slime</v>
      </c>
      <c r="G2194" s="1" t="str">
        <f>LOOKUP(B2194, Maps!A:A, Maps!B:B)</f>
        <v>Slime Kingdom</v>
      </c>
    </row>
    <row r="2195" ht="15.75" customHeight="1">
      <c r="A2195" s="1">
        <v>44.0</v>
      </c>
      <c r="B2195" s="1">
        <v>7.0</v>
      </c>
      <c r="C2195" s="1">
        <v>91.0</v>
      </c>
      <c r="D2195" s="1">
        <v>56.0</v>
      </c>
      <c r="F2195" s="1" t="str">
        <f>LOOKUP(A2195, NPCs!A:A, NPCs!C:C)</f>
        <v>Blue Slime</v>
      </c>
      <c r="G2195" s="1" t="str">
        <f>LOOKUP(B2195, Maps!A:A, Maps!B:B)</f>
        <v>Slime Kingdom</v>
      </c>
    </row>
    <row r="2196" ht="15.75" customHeight="1">
      <c r="A2196" s="1">
        <v>44.0</v>
      </c>
      <c r="B2196" s="1">
        <v>7.0</v>
      </c>
      <c r="C2196" s="1">
        <v>94.0</v>
      </c>
      <c r="D2196" s="1">
        <v>86.0</v>
      </c>
      <c r="F2196" s="1" t="str">
        <f>LOOKUP(A2196, NPCs!A:A, NPCs!C:C)</f>
        <v>Blue Slime</v>
      </c>
      <c r="G2196" s="1" t="str">
        <f>LOOKUP(B2196, Maps!A:A, Maps!B:B)</f>
        <v>Slime Kingdom</v>
      </c>
    </row>
    <row r="2197" ht="15.75" customHeight="1">
      <c r="A2197" s="1">
        <v>44.0</v>
      </c>
      <c r="B2197" s="1">
        <v>7.0</v>
      </c>
      <c r="C2197" s="1">
        <v>97.0</v>
      </c>
      <c r="D2197" s="1">
        <v>86.0</v>
      </c>
      <c r="F2197" s="1" t="str">
        <f>LOOKUP(A2197, NPCs!A:A, NPCs!C:C)</f>
        <v>Blue Slime</v>
      </c>
      <c r="G2197" s="1" t="str">
        <f>LOOKUP(B2197, Maps!A:A, Maps!B:B)</f>
        <v>Slime Kingdom</v>
      </c>
    </row>
    <row r="2198" ht="15.75" customHeight="1">
      <c r="A2198" s="1">
        <v>44.0</v>
      </c>
      <c r="B2198" s="1">
        <v>7.0</v>
      </c>
      <c r="C2198" s="1">
        <v>97.0</v>
      </c>
      <c r="D2198" s="1">
        <v>90.0</v>
      </c>
      <c r="F2198" s="1" t="str">
        <f>LOOKUP(A2198, NPCs!A:A, NPCs!C:C)</f>
        <v>Blue Slime</v>
      </c>
      <c r="G2198" s="1" t="str">
        <f>LOOKUP(B2198, Maps!A:A, Maps!B:B)</f>
        <v>Slime Kingdom</v>
      </c>
    </row>
    <row r="2199" ht="15.75" customHeight="1">
      <c r="A2199" s="1">
        <v>44.0</v>
      </c>
      <c r="B2199" s="1">
        <v>7.0</v>
      </c>
      <c r="C2199" s="1">
        <v>93.0</v>
      </c>
      <c r="D2199" s="1">
        <v>90.0</v>
      </c>
      <c r="F2199" s="1" t="str">
        <f>LOOKUP(A2199, NPCs!A:A, NPCs!C:C)</f>
        <v>Blue Slime</v>
      </c>
      <c r="G2199" s="1" t="str">
        <f>LOOKUP(B2199, Maps!A:A, Maps!B:B)</f>
        <v>Slime Kingdom</v>
      </c>
    </row>
    <row r="2200" ht="15.75" customHeight="1">
      <c r="A2200" s="1">
        <v>45.0</v>
      </c>
      <c r="B2200" s="1">
        <v>7.0</v>
      </c>
      <c r="C2200" s="1">
        <v>49.0</v>
      </c>
      <c r="D2200" s="1">
        <v>3.0</v>
      </c>
      <c r="F2200" s="1" t="str">
        <f>LOOKUP(A2200, NPCs!A:A, NPCs!C:C)</f>
        <v>Red Slime</v>
      </c>
      <c r="G2200" s="1" t="str">
        <f>LOOKUP(B2200, Maps!A:A, Maps!B:B)</f>
        <v>Slime Kingdom</v>
      </c>
    </row>
    <row r="2201" ht="15.75" customHeight="1">
      <c r="A2201" s="1">
        <v>45.0</v>
      </c>
      <c r="B2201" s="1">
        <v>7.0</v>
      </c>
      <c r="C2201" s="1">
        <v>51.0</v>
      </c>
      <c r="D2201" s="1">
        <v>3.0</v>
      </c>
      <c r="F2201" s="1" t="str">
        <f>LOOKUP(A2201, NPCs!A:A, NPCs!C:C)</f>
        <v>Red Slime</v>
      </c>
      <c r="G2201" s="1" t="str">
        <f>LOOKUP(B2201, Maps!A:A, Maps!B:B)</f>
        <v>Slime Kingdom</v>
      </c>
    </row>
    <row r="2202" ht="15.75" customHeight="1">
      <c r="A2202" s="1">
        <v>45.0</v>
      </c>
      <c r="B2202" s="1">
        <v>7.0</v>
      </c>
      <c r="C2202" s="1">
        <v>54.0</v>
      </c>
      <c r="D2202" s="1">
        <v>3.0</v>
      </c>
      <c r="F2202" s="1" t="str">
        <f>LOOKUP(A2202, NPCs!A:A, NPCs!C:C)</f>
        <v>Red Slime</v>
      </c>
      <c r="G2202" s="1" t="str">
        <f>LOOKUP(B2202, Maps!A:A, Maps!B:B)</f>
        <v>Slime Kingdom</v>
      </c>
    </row>
    <row r="2203" ht="15.75" customHeight="1">
      <c r="A2203" s="1">
        <v>45.0</v>
      </c>
      <c r="B2203" s="1">
        <v>7.0</v>
      </c>
      <c r="C2203" s="1">
        <v>57.0</v>
      </c>
      <c r="D2203" s="1">
        <v>3.0</v>
      </c>
      <c r="F2203" s="1" t="str">
        <f>LOOKUP(A2203, NPCs!A:A, NPCs!C:C)</f>
        <v>Red Slime</v>
      </c>
      <c r="G2203" s="1" t="str">
        <f>LOOKUP(B2203, Maps!A:A, Maps!B:B)</f>
        <v>Slime Kingdom</v>
      </c>
    </row>
    <row r="2204" ht="15.75" customHeight="1">
      <c r="A2204" s="1">
        <v>45.0</v>
      </c>
      <c r="B2204" s="1">
        <v>7.0</v>
      </c>
      <c r="C2204" s="1">
        <v>61.0</v>
      </c>
      <c r="D2204" s="1">
        <v>3.0</v>
      </c>
      <c r="F2204" s="1" t="str">
        <f>LOOKUP(A2204, NPCs!A:A, NPCs!C:C)</f>
        <v>Red Slime</v>
      </c>
      <c r="G2204" s="1" t="str">
        <f>LOOKUP(B2204, Maps!A:A, Maps!B:B)</f>
        <v>Slime Kingdom</v>
      </c>
    </row>
    <row r="2205" ht="15.75" customHeight="1">
      <c r="A2205" s="1">
        <v>45.0</v>
      </c>
      <c r="B2205" s="1">
        <v>7.0</v>
      </c>
      <c r="C2205" s="1">
        <v>49.0</v>
      </c>
      <c r="D2205" s="1">
        <v>5.0</v>
      </c>
      <c r="F2205" s="1" t="str">
        <f>LOOKUP(A2205, NPCs!A:A, NPCs!C:C)</f>
        <v>Red Slime</v>
      </c>
      <c r="G2205" s="1" t="str">
        <f>LOOKUP(B2205, Maps!A:A, Maps!B:B)</f>
        <v>Slime Kingdom</v>
      </c>
    </row>
    <row r="2206" ht="15.75" customHeight="1">
      <c r="A2206" s="1">
        <v>45.0</v>
      </c>
      <c r="B2206" s="1">
        <v>7.0</v>
      </c>
      <c r="C2206" s="1">
        <v>51.0</v>
      </c>
      <c r="D2206" s="1">
        <v>5.0</v>
      </c>
      <c r="F2206" s="1" t="str">
        <f>LOOKUP(A2206, NPCs!A:A, NPCs!C:C)</f>
        <v>Red Slime</v>
      </c>
      <c r="G2206" s="1" t="str">
        <f>LOOKUP(B2206, Maps!A:A, Maps!B:B)</f>
        <v>Slime Kingdom</v>
      </c>
    </row>
    <row r="2207" ht="15.75" customHeight="1">
      <c r="A2207" s="1">
        <v>45.0</v>
      </c>
      <c r="B2207" s="1">
        <v>7.0</v>
      </c>
      <c r="C2207" s="1">
        <v>55.0</v>
      </c>
      <c r="D2207" s="1">
        <v>7.0</v>
      </c>
      <c r="F2207" s="1" t="str">
        <f>LOOKUP(A2207, NPCs!A:A, NPCs!C:C)</f>
        <v>Red Slime</v>
      </c>
      <c r="G2207" s="1" t="str">
        <f>LOOKUP(B2207, Maps!A:A, Maps!B:B)</f>
        <v>Slime Kingdom</v>
      </c>
    </row>
    <row r="2208" ht="15.75" customHeight="1">
      <c r="A2208" s="1">
        <v>45.0</v>
      </c>
      <c r="B2208" s="1">
        <v>7.0</v>
      </c>
      <c r="C2208" s="1">
        <v>58.0</v>
      </c>
      <c r="D2208" s="1">
        <v>6.0</v>
      </c>
      <c r="F2208" s="1" t="str">
        <f>LOOKUP(A2208, NPCs!A:A, NPCs!C:C)</f>
        <v>Red Slime</v>
      </c>
      <c r="G2208" s="1" t="str">
        <f>LOOKUP(B2208, Maps!A:A, Maps!B:B)</f>
        <v>Slime Kingdom</v>
      </c>
    </row>
    <row r="2209" ht="15.75" customHeight="1">
      <c r="A2209" s="1">
        <v>45.0</v>
      </c>
      <c r="B2209" s="1">
        <v>7.0</v>
      </c>
      <c r="C2209" s="1">
        <v>61.0</v>
      </c>
      <c r="D2209" s="1">
        <v>8.0</v>
      </c>
      <c r="F2209" s="1" t="str">
        <f>LOOKUP(A2209, NPCs!A:A, NPCs!C:C)</f>
        <v>Red Slime</v>
      </c>
      <c r="G2209" s="1" t="str">
        <f>LOOKUP(B2209, Maps!A:A, Maps!B:B)</f>
        <v>Slime Kingdom</v>
      </c>
    </row>
    <row r="2210" ht="15.75" customHeight="1">
      <c r="A2210" s="1">
        <v>45.0</v>
      </c>
      <c r="B2210" s="1">
        <v>7.0</v>
      </c>
      <c r="C2210" s="1">
        <v>55.0</v>
      </c>
      <c r="D2210" s="1">
        <v>9.0</v>
      </c>
      <c r="F2210" s="1" t="str">
        <f>LOOKUP(A2210, NPCs!A:A, NPCs!C:C)</f>
        <v>Red Slime</v>
      </c>
      <c r="G2210" s="1" t="str">
        <f>LOOKUP(B2210, Maps!A:A, Maps!B:B)</f>
        <v>Slime Kingdom</v>
      </c>
    </row>
    <row r="2211" ht="15.75" customHeight="1">
      <c r="A2211" s="1">
        <v>45.0</v>
      </c>
      <c r="B2211" s="1">
        <v>7.0</v>
      </c>
      <c r="C2211" s="1">
        <v>55.0</v>
      </c>
      <c r="D2211" s="1">
        <v>12.0</v>
      </c>
      <c r="F2211" s="1" t="str">
        <f>LOOKUP(A2211, NPCs!A:A, NPCs!C:C)</f>
        <v>Red Slime</v>
      </c>
      <c r="G2211" s="1" t="str">
        <f>LOOKUP(B2211, Maps!A:A, Maps!B:B)</f>
        <v>Slime Kingdom</v>
      </c>
    </row>
    <row r="2212" ht="15.75" customHeight="1">
      <c r="A2212" s="1">
        <v>45.0</v>
      </c>
      <c r="B2212" s="1">
        <v>7.0</v>
      </c>
      <c r="C2212" s="1">
        <v>58.0</v>
      </c>
      <c r="D2212" s="1">
        <v>13.0</v>
      </c>
      <c r="F2212" s="1" t="str">
        <f>LOOKUP(A2212, NPCs!A:A, NPCs!C:C)</f>
        <v>Red Slime</v>
      </c>
      <c r="G2212" s="1" t="str">
        <f>LOOKUP(B2212, Maps!A:A, Maps!B:B)</f>
        <v>Slime Kingdom</v>
      </c>
    </row>
    <row r="2213" ht="15.75" customHeight="1">
      <c r="A2213" s="1">
        <v>45.0</v>
      </c>
      <c r="B2213" s="1">
        <v>7.0</v>
      </c>
      <c r="C2213" s="1">
        <v>59.0</v>
      </c>
      <c r="D2213" s="1">
        <v>11.0</v>
      </c>
      <c r="F2213" s="1" t="str">
        <f>LOOKUP(A2213, NPCs!A:A, NPCs!C:C)</f>
        <v>Red Slime</v>
      </c>
      <c r="G2213" s="1" t="str">
        <f>LOOKUP(B2213, Maps!A:A, Maps!B:B)</f>
        <v>Slime Kingdom</v>
      </c>
    </row>
    <row r="2214" ht="15.75" customHeight="1">
      <c r="A2214" s="1">
        <v>46.0</v>
      </c>
      <c r="B2214" s="1">
        <v>7.0</v>
      </c>
      <c r="C2214" s="1">
        <v>95.0</v>
      </c>
      <c r="D2214" s="1">
        <v>87.0</v>
      </c>
      <c r="F2214" s="1" t="str">
        <f>LOOKUP(A2214, NPCs!A:A, NPCs!C:C)</f>
        <v>King Goo</v>
      </c>
      <c r="G2214" s="1" t="str">
        <f>LOOKUP(B2214, Maps!A:A, Maps!B:B)</f>
        <v>Slime Kingdom</v>
      </c>
    </row>
    <row r="2215" ht="15.75" customHeight="1">
      <c r="A2215" s="1">
        <v>47.0</v>
      </c>
      <c r="B2215" s="1">
        <v>7.0</v>
      </c>
      <c r="C2215" s="1">
        <v>62.0</v>
      </c>
      <c r="D2215" s="1">
        <v>4.0</v>
      </c>
      <c r="F2215" s="1" t="str">
        <f>LOOKUP(A2215, NPCs!A:A, NPCs!C:C)</f>
        <v>Sliminator</v>
      </c>
      <c r="G2215" s="1" t="str">
        <f>LOOKUP(B2215, Maps!A:A, Maps!B:B)</f>
        <v>Slime Kingdom</v>
      </c>
    </row>
    <row r="2216" ht="15.75" customHeight="1">
      <c r="A2216" s="1">
        <v>48.0</v>
      </c>
      <c r="B2216" s="1">
        <v>7.0</v>
      </c>
      <c r="C2216" s="1">
        <v>93.0</v>
      </c>
      <c r="D2216" s="1">
        <v>53.0</v>
      </c>
      <c r="F2216" s="1" t="str">
        <f>LOOKUP(A2216, NPCs!A:A, NPCs!C:C)</f>
        <v>Goo Jr.</v>
      </c>
      <c r="G2216" s="1" t="str">
        <f>LOOKUP(B2216, Maps!A:A, Maps!B:B)</f>
        <v>Slime Kingdom</v>
      </c>
    </row>
    <row r="2217" ht="15.75" customHeight="1">
      <c r="A2217" s="1">
        <v>75.0</v>
      </c>
      <c r="B2217" s="1">
        <v>29.0</v>
      </c>
      <c r="C2217" s="1">
        <v>6.0</v>
      </c>
      <c r="D2217" s="1">
        <v>14.0</v>
      </c>
      <c r="F2217" s="1" t="str">
        <f>LOOKUP(A2217, NPCs!A:A, NPCs!C:C)</f>
        <v>Ancient Warrior</v>
      </c>
      <c r="G2217" s="1" t="str">
        <f>LOOKUP(B2217, Maps!A:A, Maps!B:B)</f>
        <v>The Ancients Dungeon</v>
      </c>
    </row>
    <row r="2218" ht="15.75" customHeight="1">
      <c r="A2218" s="1">
        <v>75.0</v>
      </c>
      <c r="B2218" s="1">
        <v>29.0</v>
      </c>
      <c r="C2218" s="1">
        <v>6.0</v>
      </c>
      <c r="D2218" s="1">
        <v>12.0</v>
      </c>
      <c r="F2218" s="1" t="str">
        <f>LOOKUP(A2218, NPCs!A:A, NPCs!C:C)</f>
        <v>Ancient Warrior</v>
      </c>
      <c r="G2218" s="1" t="str">
        <f>LOOKUP(B2218, Maps!A:A, Maps!B:B)</f>
        <v>The Ancients Dungeon</v>
      </c>
    </row>
    <row r="2219" ht="15.75" customHeight="1">
      <c r="A2219" s="1">
        <v>75.0</v>
      </c>
      <c r="B2219" s="1">
        <v>29.0</v>
      </c>
      <c r="C2219" s="1">
        <v>6.0</v>
      </c>
      <c r="D2219" s="1">
        <v>10.0</v>
      </c>
      <c r="F2219" s="1" t="str">
        <f>LOOKUP(A2219, NPCs!A:A, NPCs!C:C)</f>
        <v>Ancient Warrior</v>
      </c>
      <c r="G2219" s="1" t="str">
        <f>LOOKUP(B2219, Maps!A:A, Maps!B:B)</f>
        <v>The Ancients Dungeon</v>
      </c>
    </row>
    <row r="2220" ht="15.75" customHeight="1">
      <c r="A2220" s="1">
        <v>75.0</v>
      </c>
      <c r="B2220" s="1">
        <v>29.0</v>
      </c>
      <c r="C2220" s="1">
        <v>6.0</v>
      </c>
      <c r="D2220" s="1">
        <v>8.0</v>
      </c>
      <c r="F2220" s="1" t="str">
        <f>LOOKUP(A2220, NPCs!A:A, NPCs!C:C)</f>
        <v>Ancient Warrior</v>
      </c>
      <c r="G2220" s="1" t="str">
        <f>LOOKUP(B2220, Maps!A:A, Maps!B:B)</f>
        <v>The Ancients Dungeon</v>
      </c>
    </row>
    <row r="2221" ht="15.75" customHeight="1">
      <c r="A2221" s="1">
        <v>75.0</v>
      </c>
      <c r="B2221" s="1">
        <v>29.0</v>
      </c>
      <c r="C2221" s="1">
        <v>7.0</v>
      </c>
      <c r="D2221" s="1">
        <v>7.0</v>
      </c>
      <c r="F2221" s="1" t="str">
        <f>LOOKUP(A2221, NPCs!A:A, NPCs!C:C)</f>
        <v>Ancient Warrior</v>
      </c>
      <c r="G2221" s="1" t="str">
        <f>LOOKUP(B2221, Maps!A:A, Maps!B:B)</f>
        <v>The Ancients Dungeon</v>
      </c>
    </row>
    <row r="2222" ht="15.75" customHeight="1">
      <c r="A2222" s="1">
        <v>75.0</v>
      </c>
      <c r="B2222" s="1">
        <v>29.0</v>
      </c>
      <c r="C2222" s="1">
        <v>9.0</v>
      </c>
      <c r="D2222" s="1">
        <v>7.0</v>
      </c>
      <c r="F2222" s="1" t="str">
        <f>LOOKUP(A2222, NPCs!A:A, NPCs!C:C)</f>
        <v>Ancient Warrior</v>
      </c>
      <c r="G2222" s="1" t="str">
        <f>LOOKUP(B2222, Maps!A:A, Maps!B:B)</f>
        <v>The Ancients Dungeon</v>
      </c>
    </row>
    <row r="2223" ht="15.75" customHeight="1">
      <c r="A2223" s="1">
        <v>75.0</v>
      </c>
      <c r="B2223" s="1">
        <v>29.0</v>
      </c>
      <c r="C2223" s="1">
        <v>11.0</v>
      </c>
      <c r="D2223" s="1">
        <v>7.0</v>
      </c>
      <c r="F2223" s="1" t="str">
        <f>LOOKUP(A2223, NPCs!A:A, NPCs!C:C)</f>
        <v>Ancient Warrior</v>
      </c>
      <c r="G2223" s="1" t="str">
        <f>LOOKUP(B2223, Maps!A:A, Maps!B:B)</f>
        <v>The Ancients Dungeon</v>
      </c>
    </row>
    <row r="2224" ht="15.75" customHeight="1">
      <c r="A2224" s="1">
        <v>75.0</v>
      </c>
      <c r="B2224" s="1">
        <v>29.0</v>
      </c>
      <c r="C2224" s="1">
        <v>13.0</v>
      </c>
      <c r="D2224" s="1">
        <v>7.0</v>
      </c>
      <c r="F2224" s="1" t="str">
        <f>LOOKUP(A2224, NPCs!A:A, NPCs!C:C)</f>
        <v>Ancient Warrior</v>
      </c>
      <c r="G2224" s="1" t="str">
        <f>LOOKUP(B2224, Maps!A:A, Maps!B:B)</f>
        <v>The Ancients Dungeon</v>
      </c>
    </row>
    <row r="2225" ht="15.75" customHeight="1">
      <c r="A2225" s="1">
        <v>75.0</v>
      </c>
      <c r="B2225" s="1">
        <v>29.0</v>
      </c>
      <c r="C2225" s="1">
        <v>14.0</v>
      </c>
      <c r="D2225" s="1">
        <v>16.0</v>
      </c>
      <c r="F2225" s="1" t="str">
        <f>LOOKUP(A2225, NPCs!A:A, NPCs!C:C)</f>
        <v>Ancient Warrior</v>
      </c>
      <c r="G2225" s="1" t="str">
        <f>LOOKUP(B2225, Maps!A:A, Maps!B:B)</f>
        <v>The Ancients Dungeon</v>
      </c>
    </row>
    <row r="2226" ht="15.75" customHeight="1">
      <c r="A2226" s="1">
        <v>75.0</v>
      </c>
      <c r="B2226" s="1">
        <v>29.0</v>
      </c>
      <c r="C2226" s="1">
        <v>17.0</v>
      </c>
      <c r="D2226" s="1">
        <v>16.0</v>
      </c>
      <c r="F2226" s="1" t="str">
        <f>LOOKUP(A2226, NPCs!A:A, NPCs!C:C)</f>
        <v>Ancient Warrior</v>
      </c>
      <c r="G2226" s="1" t="str">
        <f>LOOKUP(B2226, Maps!A:A, Maps!B:B)</f>
        <v>The Ancients Dungeon</v>
      </c>
    </row>
    <row r="2227" ht="15.75" customHeight="1">
      <c r="A2227" s="1">
        <v>75.0</v>
      </c>
      <c r="B2227" s="1">
        <v>29.0</v>
      </c>
      <c r="C2227" s="1">
        <v>20.0</v>
      </c>
      <c r="D2227" s="1">
        <v>16.0</v>
      </c>
      <c r="F2227" s="1" t="str">
        <f>LOOKUP(A2227, NPCs!A:A, NPCs!C:C)</f>
        <v>Ancient Warrior</v>
      </c>
      <c r="G2227" s="1" t="str">
        <f>LOOKUP(B2227, Maps!A:A, Maps!B:B)</f>
        <v>The Ancients Dungeon</v>
      </c>
    </row>
    <row r="2228" ht="15.75" customHeight="1">
      <c r="A2228" s="1">
        <v>75.0</v>
      </c>
      <c r="B2228" s="1">
        <v>29.0</v>
      </c>
      <c r="C2228" s="1">
        <v>26.0</v>
      </c>
      <c r="D2228" s="1">
        <v>17.0</v>
      </c>
      <c r="F2228" s="1" t="str">
        <f>LOOKUP(A2228, NPCs!A:A, NPCs!C:C)</f>
        <v>Ancient Warrior</v>
      </c>
      <c r="G2228" s="1" t="str">
        <f>LOOKUP(B2228, Maps!A:A, Maps!B:B)</f>
        <v>The Ancients Dungeon</v>
      </c>
    </row>
    <row r="2229" ht="15.75" customHeight="1">
      <c r="A2229" s="1">
        <v>75.0</v>
      </c>
      <c r="B2229" s="1">
        <v>29.0</v>
      </c>
      <c r="C2229" s="1">
        <v>37.0</v>
      </c>
      <c r="D2229" s="1">
        <v>15.0</v>
      </c>
      <c r="F2229" s="1" t="str">
        <f>LOOKUP(A2229, NPCs!A:A, NPCs!C:C)</f>
        <v>Ancient Warrior</v>
      </c>
      <c r="G2229" s="1" t="str">
        <f>LOOKUP(B2229, Maps!A:A, Maps!B:B)</f>
        <v>The Ancients Dungeon</v>
      </c>
    </row>
    <row r="2230" ht="15.75" customHeight="1">
      <c r="A2230" s="1">
        <v>75.0</v>
      </c>
      <c r="B2230" s="1">
        <v>29.0</v>
      </c>
      <c r="C2230" s="1">
        <v>39.0</v>
      </c>
      <c r="D2230" s="1">
        <v>15.0</v>
      </c>
      <c r="F2230" s="1" t="str">
        <f>LOOKUP(A2230, NPCs!A:A, NPCs!C:C)</f>
        <v>Ancient Warrior</v>
      </c>
      <c r="G2230" s="1" t="str">
        <f>LOOKUP(B2230, Maps!A:A, Maps!B:B)</f>
        <v>The Ancients Dungeon</v>
      </c>
    </row>
    <row r="2231" ht="15.75" customHeight="1">
      <c r="A2231" s="1">
        <v>75.0</v>
      </c>
      <c r="B2231" s="1">
        <v>29.0</v>
      </c>
      <c r="C2231" s="1">
        <v>36.0</v>
      </c>
      <c r="D2231" s="1">
        <v>11.0</v>
      </c>
      <c r="F2231" s="1" t="str">
        <f>LOOKUP(A2231, NPCs!A:A, NPCs!C:C)</f>
        <v>Ancient Warrior</v>
      </c>
      <c r="G2231" s="1" t="str">
        <f>LOOKUP(B2231, Maps!A:A, Maps!B:B)</f>
        <v>The Ancients Dungeon</v>
      </c>
    </row>
    <row r="2232" ht="15.75" customHeight="1">
      <c r="A2232" s="1">
        <v>75.0</v>
      </c>
      <c r="B2232" s="1">
        <v>29.0</v>
      </c>
      <c r="C2232" s="1">
        <v>34.0</v>
      </c>
      <c r="D2232" s="1">
        <v>9.0</v>
      </c>
      <c r="F2232" s="1" t="str">
        <f>LOOKUP(A2232, NPCs!A:A, NPCs!C:C)</f>
        <v>Ancient Warrior</v>
      </c>
      <c r="G2232" s="1" t="str">
        <f>LOOKUP(B2232, Maps!A:A, Maps!B:B)</f>
        <v>The Ancients Dungeon</v>
      </c>
    </row>
    <row r="2233" ht="15.75" customHeight="1">
      <c r="A2233" s="1">
        <v>75.0</v>
      </c>
      <c r="B2233" s="1">
        <v>29.0</v>
      </c>
      <c r="C2233" s="1">
        <v>24.0</v>
      </c>
      <c r="D2233" s="1">
        <v>24.0</v>
      </c>
      <c r="F2233" s="1" t="str">
        <f>LOOKUP(A2233, NPCs!A:A, NPCs!C:C)</f>
        <v>Ancient Warrior</v>
      </c>
      <c r="G2233" s="1" t="str">
        <f>LOOKUP(B2233, Maps!A:A, Maps!B:B)</f>
        <v>The Ancients Dungeon</v>
      </c>
    </row>
    <row r="2234" ht="15.75" customHeight="1">
      <c r="A2234" s="1">
        <v>75.0</v>
      </c>
      <c r="B2234" s="1">
        <v>29.0</v>
      </c>
      <c r="C2234" s="1">
        <v>22.0</v>
      </c>
      <c r="D2234" s="1">
        <v>24.0</v>
      </c>
      <c r="F2234" s="1" t="str">
        <f>LOOKUP(A2234, NPCs!A:A, NPCs!C:C)</f>
        <v>Ancient Warrior</v>
      </c>
      <c r="G2234" s="1" t="str">
        <f>LOOKUP(B2234, Maps!A:A, Maps!B:B)</f>
        <v>The Ancients Dungeon</v>
      </c>
    </row>
    <row r="2235" ht="15.75" customHeight="1">
      <c r="A2235" s="1">
        <v>75.0</v>
      </c>
      <c r="B2235" s="1">
        <v>29.0</v>
      </c>
      <c r="C2235" s="1">
        <v>16.0</v>
      </c>
      <c r="D2235" s="1">
        <v>24.0</v>
      </c>
      <c r="F2235" s="1" t="str">
        <f>LOOKUP(A2235, NPCs!A:A, NPCs!C:C)</f>
        <v>Ancient Warrior</v>
      </c>
      <c r="G2235" s="1" t="str">
        <f>LOOKUP(B2235, Maps!A:A, Maps!B:B)</f>
        <v>The Ancients Dungeon</v>
      </c>
    </row>
    <row r="2236" ht="15.75" customHeight="1">
      <c r="A2236" s="1">
        <v>75.0</v>
      </c>
      <c r="B2236" s="1">
        <v>29.0</v>
      </c>
      <c r="C2236" s="1">
        <v>14.0</v>
      </c>
      <c r="D2236" s="1">
        <v>24.0</v>
      </c>
      <c r="F2236" s="1" t="str">
        <f>LOOKUP(A2236, NPCs!A:A, NPCs!C:C)</f>
        <v>Ancient Warrior</v>
      </c>
      <c r="G2236" s="1" t="str">
        <f>LOOKUP(B2236, Maps!A:A, Maps!B:B)</f>
        <v>The Ancients Dungeon</v>
      </c>
    </row>
    <row r="2237" ht="15.75" customHeight="1">
      <c r="A2237" s="1">
        <v>75.0</v>
      </c>
      <c r="B2237" s="1">
        <v>29.0</v>
      </c>
      <c r="C2237" s="1">
        <v>12.0</v>
      </c>
      <c r="D2237" s="1">
        <v>31.0</v>
      </c>
      <c r="F2237" s="1" t="str">
        <f>LOOKUP(A2237, NPCs!A:A, NPCs!C:C)</f>
        <v>Ancient Warrior</v>
      </c>
      <c r="G2237" s="1" t="str">
        <f>LOOKUP(B2237, Maps!A:A, Maps!B:B)</f>
        <v>The Ancients Dungeon</v>
      </c>
    </row>
    <row r="2238" ht="15.75" customHeight="1">
      <c r="A2238" s="1">
        <v>75.0</v>
      </c>
      <c r="B2238" s="1">
        <v>29.0</v>
      </c>
      <c r="C2238" s="1">
        <v>18.0</v>
      </c>
      <c r="D2238" s="1">
        <v>38.0</v>
      </c>
      <c r="F2238" s="1" t="str">
        <f>LOOKUP(A2238, NPCs!A:A, NPCs!C:C)</f>
        <v>Ancient Warrior</v>
      </c>
      <c r="G2238" s="1" t="str">
        <f>LOOKUP(B2238, Maps!A:A, Maps!B:B)</f>
        <v>The Ancients Dungeon</v>
      </c>
    </row>
    <row r="2239" ht="15.75" customHeight="1">
      <c r="A2239" s="1">
        <v>75.0</v>
      </c>
      <c r="B2239" s="1">
        <v>29.0</v>
      </c>
      <c r="C2239" s="1">
        <v>15.0</v>
      </c>
      <c r="D2239" s="1">
        <v>38.0</v>
      </c>
      <c r="F2239" s="1" t="str">
        <f>LOOKUP(A2239, NPCs!A:A, NPCs!C:C)</f>
        <v>Ancient Warrior</v>
      </c>
      <c r="G2239" s="1" t="str">
        <f>LOOKUP(B2239, Maps!A:A, Maps!B:B)</f>
        <v>The Ancients Dungeon</v>
      </c>
    </row>
    <row r="2240" ht="15.75" customHeight="1">
      <c r="A2240" s="1">
        <v>75.0</v>
      </c>
      <c r="B2240" s="1">
        <v>29.0</v>
      </c>
      <c r="C2240" s="1">
        <v>16.0</v>
      </c>
      <c r="D2240" s="1">
        <v>41.0</v>
      </c>
      <c r="F2240" s="1" t="str">
        <f>LOOKUP(A2240, NPCs!A:A, NPCs!C:C)</f>
        <v>Ancient Warrior</v>
      </c>
      <c r="G2240" s="1" t="str">
        <f>LOOKUP(B2240, Maps!A:A, Maps!B:B)</f>
        <v>The Ancients Dungeon</v>
      </c>
    </row>
    <row r="2241" ht="15.75" customHeight="1">
      <c r="A2241" s="1">
        <v>75.0</v>
      </c>
      <c r="B2241" s="1">
        <v>29.0</v>
      </c>
      <c r="C2241" s="1">
        <v>17.0</v>
      </c>
      <c r="D2241" s="1">
        <v>41.0</v>
      </c>
      <c r="F2241" s="1" t="str">
        <f>LOOKUP(A2241, NPCs!A:A, NPCs!C:C)</f>
        <v>Ancient Warrior</v>
      </c>
      <c r="G2241" s="1" t="str">
        <f>LOOKUP(B2241, Maps!A:A, Maps!B:B)</f>
        <v>The Ancients Dungeon</v>
      </c>
    </row>
    <row r="2242" ht="15.75" customHeight="1">
      <c r="A2242" s="1">
        <v>75.0</v>
      </c>
      <c r="B2242" s="1">
        <v>29.0</v>
      </c>
      <c r="C2242" s="1">
        <v>8.0</v>
      </c>
      <c r="D2242" s="1">
        <v>41.0</v>
      </c>
      <c r="F2242" s="1" t="str">
        <f>LOOKUP(A2242, NPCs!A:A, NPCs!C:C)</f>
        <v>Ancient Warrior</v>
      </c>
      <c r="G2242" s="1" t="str">
        <f>LOOKUP(B2242, Maps!A:A, Maps!B:B)</f>
        <v>The Ancients Dungeon</v>
      </c>
    </row>
    <row r="2243" ht="15.75" customHeight="1">
      <c r="A2243" s="1">
        <v>75.0</v>
      </c>
      <c r="B2243" s="1">
        <v>29.0</v>
      </c>
      <c r="C2243" s="1">
        <v>7.0</v>
      </c>
      <c r="D2243" s="1">
        <v>38.0</v>
      </c>
      <c r="F2243" s="1" t="str">
        <f>LOOKUP(A2243, NPCs!A:A, NPCs!C:C)</f>
        <v>Ancient Warrior</v>
      </c>
      <c r="G2243" s="1" t="str">
        <f>LOOKUP(B2243, Maps!A:A, Maps!B:B)</f>
        <v>The Ancients Dungeon</v>
      </c>
    </row>
    <row r="2244" ht="15.75" customHeight="1">
      <c r="A2244" s="1">
        <v>75.0</v>
      </c>
      <c r="B2244" s="1">
        <v>29.0</v>
      </c>
      <c r="C2244" s="1">
        <v>6.0</v>
      </c>
      <c r="D2244" s="1">
        <v>38.0</v>
      </c>
      <c r="F2244" s="1" t="str">
        <f>LOOKUP(A2244, NPCs!A:A, NPCs!C:C)</f>
        <v>Ancient Warrior</v>
      </c>
      <c r="G2244" s="1" t="str">
        <f>LOOKUP(B2244, Maps!A:A, Maps!B:B)</f>
        <v>The Ancients Dungeon</v>
      </c>
    </row>
    <row r="2245" ht="15.75" customHeight="1">
      <c r="A2245" s="1">
        <v>75.0</v>
      </c>
      <c r="B2245" s="1">
        <v>29.0</v>
      </c>
      <c r="C2245" s="1">
        <v>5.0</v>
      </c>
      <c r="D2245" s="1">
        <v>41.0</v>
      </c>
      <c r="F2245" s="1" t="str">
        <f>LOOKUP(A2245, NPCs!A:A, NPCs!C:C)</f>
        <v>Ancient Warrior</v>
      </c>
      <c r="G2245" s="1" t="str">
        <f>LOOKUP(B2245, Maps!A:A, Maps!B:B)</f>
        <v>The Ancients Dungeon</v>
      </c>
    </row>
    <row r="2246" ht="15.75" customHeight="1">
      <c r="A2246" s="1">
        <v>75.0</v>
      </c>
      <c r="B2246" s="1">
        <v>29.0</v>
      </c>
      <c r="C2246" s="1">
        <v>3.0</v>
      </c>
      <c r="D2246" s="1">
        <v>47.0</v>
      </c>
      <c r="F2246" s="1" t="str">
        <f>LOOKUP(A2246, NPCs!A:A, NPCs!C:C)</f>
        <v>Ancient Warrior</v>
      </c>
      <c r="G2246" s="1" t="str">
        <f>LOOKUP(B2246, Maps!A:A, Maps!B:B)</f>
        <v>The Ancients Dungeon</v>
      </c>
    </row>
    <row r="2247" ht="15.75" customHeight="1">
      <c r="A2247" s="1">
        <v>75.0</v>
      </c>
      <c r="B2247" s="1">
        <v>29.0</v>
      </c>
      <c r="C2247" s="1">
        <v>3.0</v>
      </c>
      <c r="D2247" s="1">
        <v>49.0</v>
      </c>
      <c r="F2247" s="1" t="str">
        <f>LOOKUP(A2247, NPCs!A:A, NPCs!C:C)</f>
        <v>Ancient Warrior</v>
      </c>
      <c r="G2247" s="1" t="str">
        <f>LOOKUP(B2247, Maps!A:A, Maps!B:B)</f>
        <v>The Ancients Dungeon</v>
      </c>
    </row>
    <row r="2248" ht="15.75" customHeight="1">
      <c r="A2248" s="1">
        <v>75.0</v>
      </c>
      <c r="B2248" s="1">
        <v>29.0</v>
      </c>
      <c r="C2248" s="1">
        <v>8.0</v>
      </c>
      <c r="D2248" s="1">
        <v>49.0</v>
      </c>
      <c r="F2248" s="1" t="str">
        <f>LOOKUP(A2248, NPCs!A:A, NPCs!C:C)</f>
        <v>Ancient Warrior</v>
      </c>
      <c r="G2248" s="1" t="str">
        <f>LOOKUP(B2248, Maps!A:A, Maps!B:B)</f>
        <v>The Ancients Dungeon</v>
      </c>
    </row>
    <row r="2249" ht="15.75" customHeight="1">
      <c r="A2249" s="1">
        <v>75.0</v>
      </c>
      <c r="B2249" s="1">
        <v>29.0</v>
      </c>
      <c r="C2249" s="1">
        <v>8.0</v>
      </c>
      <c r="D2249" s="1">
        <v>47.0</v>
      </c>
      <c r="F2249" s="1" t="str">
        <f>LOOKUP(A2249, NPCs!A:A, NPCs!C:C)</f>
        <v>Ancient Warrior</v>
      </c>
      <c r="G2249" s="1" t="str">
        <f>LOOKUP(B2249, Maps!A:A, Maps!B:B)</f>
        <v>The Ancients Dungeon</v>
      </c>
    </row>
    <row r="2250" ht="15.75" customHeight="1">
      <c r="A2250" s="1">
        <v>75.0</v>
      </c>
      <c r="B2250" s="1">
        <v>29.0</v>
      </c>
      <c r="C2250" s="1">
        <v>15.0</v>
      </c>
      <c r="D2250" s="1">
        <v>47.0</v>
      </c>
      <c r="F2250" s="1" t="str">
        <f>LOOKUP(A2250, NPCs!A:A, NPCs!C:C)</f>
        <v>Ancient Warrior</v>
      </c>
      <c r="G2250" s="1" t="str">
        <f>LOOKUP(B2250, Maps!A:A, Maps!B:B)</f>
        <v>The Ancients Dungeon</v>
      </c>
    </row>
    <row r="2251" ht="15.75" customHeight="1">
      <c r="A2251" s="1">
        <v>75.0</v>
      </c>
      <c r="B2251" s="1">
        <v>29.0</v>
      </c>
      <c r="C2251" s="1">
        <v>15.0</v>
      </c>
      <c r="D2251" s="1">
        <v>49.0</v>
      </c>
      <c r="F2251" s="1" t="str">
        <f>LOOKUP(A2251, NPCs!A:A, NPCs!C:C)</f>
        <v>Ancient Warrior</v>
      </c>
      <c r="G2251" s="1" t="str">
        <f>LOOKUP(B2251, Maps!A:A, Maps!B:B)</f>
        <v>The Ancients Dungeon</v>
      </c>
    </row>
    <row r="2252" ht="15.75" customHeight="1">
      <c r="A2252" s="1">
        <v>75.0</v>
      </c>
      <c r="B2252" s="1">
        <v>29.0</v>
      </c>
      <c r="C2252" s="1">
        <v>20.0</v>
      </c>
      <c r="D2252" s="1">
        <v>49.0</v>
      </c>
      <c r="F2252" s="1" t="str">
        <f>LOOKUP(A2252, NPCs!A:A, NPCs!C:C)</f>
        <v>Ancient Warrior</v>
      </c>
      <c r="G2252" s="1" t="str">
        <f>LOOKUP(B2252, Maps!A:A, Maps!B:B)</f>
        <v>The Ancients Dungeon</v>
      </c>
    </row>
    <row r="2253" ht="15.75" customHeight="1">
      <c r="A2253" s="1">
        <v>75.0</v>
      </c>
      <c r="B2253" s="1">
        <v>29.0</v>
      </c>
      <c r="C2253" s="1">
        <v>20.0</v>
      </c>
      <c r="D2253" s="1">
        <v>47.0</v>
      </c>
      <c r="F2253" s="1" t="str">
        <f>LOOKUP(A2253, NPCs!A:A, NPCs!C:C)</f>
        <v>Ancient Warrior</v>
      </c>
      <c r="G2253" s="1" t="str">
        <f>LOOKUP(B2253, Maps!A:A, Maps!B:B)</f>
        <v>The Ancients Dungeon</v>
      </c>
    </row>
    <row r="2254" ht="15.75" customHeight="1">
      <c r="A2254" s="1">
        <v>75.0</v>
      </c>
      <c r="B2254" s="1">
        <v>29.0</v>
      </c>
      <c r="C2254" s="1">
        <v>17.0</v>
      </c>
      <c r="D2254" s="1">
        <v>58.0</v>
      </c>
      <c r="F2254" s="1" t="str">
        <f>LOOKUP(A2254, NPCs!A:A, NPCs!C:C)</f>
        <v>Ancient Warrior</v>
      </c>
      <c r="G2254" s="1" t="str">
        <f>LOOKUP(B2254, Maps!A:A, Maps!B:B)</f>
        <v>The Ancients Dungeon</v>
      </c>
    </row>
    <row r="2255" ht="15.75" customHeight="1">
      <c r="A2255" s="1">
        <v>75.0</v>
      </c>
      <c r="B2255" s="1">
        <v>29.0</v>
      </c>
      <c r="C2255" s="1">
        <v>16.0</v>
      </c>
      <c r="D2255" s="1">
        <v>58.0</v>
      </c>
      <c r="F2255" s="1" t="str">
        <f>LOOKUP(A2255, NPCs!A:A, NPCs!C:C)</f>
        <v>Ancient Warrior</v>
      </c>
      <c r="G2255" s="1" t="str">
        <f>LOOKUP(B2255, Maps!A:A, Maps!B:B)</f>
        <v>The Ancients Dungeon</v>
      </c>
    </row>
    <row r="2256" ht="15.75" customHeight="1">
      <c r="A2256" s="1">
        <v>75.0</v>
      </c>
      <c r="B2256" s="1">
        <v>29.0</v>
      </c>
      <c r="C2256" s="1">
        <v>15.0</v>
      </c>
      <c r="D2256" s="1">
        <v>58.0</v>
      </c>
      <c r="F2256" s="1" t="str">
        <f>LOOKUP(A2256, NPCs!A:A, NPCs!C:C)</f>
        <v>Ancient Warrior</v>
      </c>
      <c r="G2256" s="1" t="str">
        <f>LOOKUP(B2256, Maps!A:A, Maps!B:B)</f>
        <v>The Ancients Dungeon</v>
      </c>
    </row>
    <row r="2257" ht="15.75" customHeight="1">
      <c r="A2257" s="1">
        <v>75.0</v>
      </c>
      <c r="B2257" s="1">
        <v>29.0</v>
      </c>
      <c r="C2257" s="1">
        <v>20.0</v>
      </c>
      <c r="D2257" s="1">
        <v>63.0</v>
      </c>
      <c r="F2257" s="1" t="str">
        <f>LOOKUP(A2257, NPCs!A:A, NPCs!C:C)</f>
        <v>Ancient Warrior</v>
      </c>
      <c r="G2257" s="1" t="str">
        <f>LOOKUP(B2257, Maps!A:A, Maps!B:B)</f>
        <v>The Ancients Dungeon</v>
      </c>
    </row>
    <row r="2258" ht="15.75" customHeight="1">
      <c r="A2258" s="1">
        <v>75.0</v>
      </c>
      <c r="B2258" s="1">
        <v>29.0</v>
      </c>
      <c r="C2258" s="1">
        <v>13.0</v>
      </c>
      <c r="D2258" s="1">
        <v>63.0</v>
      </c>
      <c r="F2258" s="1" t="str">
        <f>LOOKUP(A2258, NPCs!A:A, NPCs!C:C)</f>
        <v>Ancient Warrior</v>
      </c>
      <c r="G2258" s="1" t="str">
        <f>LOOKUP(B2258, Maps!A:A, Maps!B:B)</f>
        <v>The Ancients Dungeon</v>
      </c>
    </row>
    <row r="2259" ht="15.75" customHeight="1">
      <c r="A2259" s="1">
        <v>75.0</v>
      </c>
      <c r="B2259" s="1">
        <v>29.0</v>
      </c>
      <c r="C2259" s="1">
        <v>15.0</v>
      </c>
      <c r="D2259" s="1">
        <v>68.0</v>
      </c>
      <c r="F2259" s="1" t="str">
        <f>LOOKUP(A2259, NPCs!A:A, NPCs!C:C)</f>
        <v>Ancient Warrior</v>
      </c>
      <c r="G2259" s="1" t="str">
        <f>LOOKUP(B2259, Maps!A:A, Maps!B:B)</f>
        <v>The Ancients Dungeon</v>
      </c>
    </row>
    <row r="2260" ht="15.75" customHeight="1">
      <c r="A2260" s="1">
        <v>75.0</v>
      </c>
      <c r="B2260" s="1">
        <v>29.0</v>
      </c>
      <c r="C2260" s="1">
        <v>18.0</v>
      </c>
      <c r="D2260" s="1">
        <v>68.0</v>
      </c>
      <c r="F2260" s="1" t="str">
        <f>LOOKUP(A2260, NPCs!A:A, NPCs!C:C)</f>
        <v>Ancient Warrior</v>
      </c>
      <c r="G2260" s="1" t="str">
        <f>LOOKUP(B2260, Maps!A:A, Maps!B:B)</f>
        <v>The Ancients Dungeon</v>
      </c>
    </row>
    <row r="2261" ht="15.75" customHeight="1">
      <c r="A2261" s="1">
        <v>75.0</v>
      </c>
      <c r="B2261" s="1">
        <v>29.0</v>
      </c>
      <c r="C2261" s="1">
        <v>18.0</v>
      </c>
      <c r="D2261" s="1">
        <v>71.0</v>
      </c>
      <c r="F2261" s="1" t="str">
        <f>LOOKUP(A2261, NPCs!A:A, NPCs!C:C)</f>
        <v>Ancient Warrior</v>
      </c>
      <c r="G2261" s="1" t="str">
        <f>LOOKUP(B2261, Maps!A:A, Maps!B:B)</f>
        <v>The Ancients Dungeon</v>
      </c>
    </row>
    <row r="2262" ht="15.75" customHeight="1">
      <c r="A2262" s="1">
        <v>75.0</v>
      </c>
      <c r="B2262" s="1">
        <v>29.0</v>
      </c>
      <c r="C2262" s="1">
        <v>15.0</v>
      </c>
      <c r="D2262" s="1">
        <v>71.0</v>
      </c>
      <c r="F2262" s="1" t="str">
        <f>LOOKUP(A2262, NPCs!A:A, NPCs!C:C)</f>
        <v>Ancient Warrior</v>
      </c>
      <c r="G2262" s="1" t="str">
        <f>LOOKUP(B2262, Maps!A:A, Maps!B:B)</f>
        <v>The Ancients Dungeon</v>
      </c>
    </row>
    <row r="2263" ht="15.75" customHeight="1">
      <c r="A2263" s="1">
        <v>75.0</v>
      </c>
      <c r="B2263" s="1">
        <v>29.0</v>
      </c>
      <c r="C2263" s="1">
        <v>15.0</v>
      </c>
      <c r="D2263" s="1">
        <v>76.0</v>
      </c>
      <c r="F2263" s="1" t="str">
        <f>LOOKUP(A2263, NPCs!A:A, NPCs!C:C)</f>
        <v>Ancient Warrior</v>
      </c>
      <c r="G2263" s="1" t="str">
        <f>LOOKUP(B2263, Maps!A:A, Maps!B:B)</f>
        <v>The Ancients Dungeon</v>
      </c>
    </row>
    <row r="2264" ht="15.75" customHeight="1">
      <c r="A2264" s="1">
        <v>75.0</v>
      </c>
      <c r="B2264" s="1">
        <v>29.0</v>
      </c>
      <c r="C2264" s="1">
        <v>18.0</v>
      </c>
      <c r="D2264" s="1">
        <v>76.0</v>
      </c>
      <c r="F2264" s="1" t="str">
        <f>LOOKUP(A2264, NPCs!A:A, NPCs!C:C)</f>
        <v>Ancient Warrior</v>
      </c>
      <c r="G2264" s="1" t="str">
        <f>LOOKUP(B2264, Maps!A:A, Maps!B:B)</f>
        <v>The Ancients Dungeon</v>
      </c>
    </row>
    <row r="2265" ht="15.75" customHeight="1">
      <c r="A2265" s="1">
        <v>75.0</v>
      </c>
      <c r="B2265" s="1">
        <v>29.0</v>
      </c>
      <c r="C2265" s="1">
        <v>7.0</v>
      </c>
      <c r="D2265" s="1">
        <v>82.0</v>
      </c>
      <c r="F2265" s="1" t="str">
        <f>LOOKUP(A2265, NPCs!A:A, NPCs!C:C)</f>
        <v>Ancient Warrior</v>
      </c>
      <c r="G2265" s="1" t="str">
        <f>LOOKUP(B2265, Maps!A:A, Maps!B:B)</f>
        <v>The Ancients Dungeon</v>
      </c>
    </row>
    <row r="2266" ht="15.75" customHeight="1">
      <c r="A2266" s="1">
        <v>75.0</v>
      </c>
      <c r="B2266" s="1">
        <v>29.0</v>
      </c>
      <c r="C2266" s="1">
        <v>3.0</v>
      </c>
      <c r="D2266" s="1">
        <v>82.0</v>
      </c>
      <c r="F2266" s="1" t="str">
        <f>LOOKUP(A2266, NPCs!A:A, NPCs!C:C)</f>
        <v>Ancient Warrior</v>
      </c>
      <c r="G2266" s="1" t="str">
        <f>LOOKUP(B2266, Maps!A:A, Maps!B:B)</f>
        <v>The Ancients Dungeon</v>
      </c>
    </row>
    <row r="2267" ht="15.75" customHeight="1">
      <c r="A2267" s="1">
        <v>75.0</v>
      </c>
      <c r="B2267" s="1">
        <v>29.0</v>
      </c>
      <c r="C2267" s="1">
        <v>3.0</v>
      </c>
      <c r="D2267" s="1">
        <v>77.0</v>
      </c>
      <c r="F2267" s="1" t="str">
        <f>LOOKUP(A2267, NPCs!A:A, NPCs!C:C)</f>
        <v>Ancient Warrior</v>
      </c>
      <c r="G2267" s="1" t="str">
        <f>LOOKUP(B2267, Maps!A:A, Maps!B:B)</f>
        <v>The Ancients Dungeon</v>
      </c>
    </row>
    <row r="2268" ht="15.75" customHeight="1">
      <c r="A2268" s="1">
        <v>75.0</v>
      </c>
      <c r="B2268" s="1">
        <v>29.0</v>
      </c>
      <c r="C2268" s="1">
        <v>7.0</v>
      </c>
      <c r="D2268" s="1">
        <v>77.0</v>
      </c>
      <c r="F2268" s="1" t="str">
        <f>LOOKUP(A2268, NPCs!A:A, NPCs!C:C)</f>
        <v>Ancient Warrior</v>
      </c>
      <c r="G2268" s="1" t="str">
        <f>LOOKUP(B2268, Maps!A:A, Maps!B:B)</f>
        <v>The Ancients Dungeon</v>
      </c>
    </row>
    <row r="2269" ht="15.75" customHeight="1">
      <c r="A2269" s="1">
        <v>75.0</v>
      </c>
      <c r="B2269" s="1">
        <v>29.0</v>
      </c>
      <c r="C2269" s="1">
        <v>7.0</v>
      </c>
      <c r="D2269" s="1">
        <v>72.0</v>
      </c>
      <c r="F2269" s="1" t="str">
        <f>LOOKUP(A2269, NPCs!A:A, NPCs!C:C)</f>
        <v>Ancient Warrior</v>
      </c>
      <c r="G2269" s="1" t="str">
        <f>LOOKUP(B2269, Maps!A:A, Maps!B:B)</f>
        <v>The Ancients Dungeon</v>
      </c>
    </row>
    <row r="2270" ht="15.75" customHeight="1">
      <c r="A2270" s="1">
        <v>75.0</v>
      </c>
      <c r="B2270" s="1">
        <v>29.0</v>
      </c>
      <c r="C2270" s="1">
        <v>3.0</v>
      </c>
      <c r="D2270" s="1">
        <v>72.0</v>
      </c>
      <c r="F2270" s="1" t="str">
        <f>LOOKUP(A2270, NPCs!A:A, NPCs!C:C)</f>
        <v>Ancient Warrior</v>
      </c>
      <c r="G2270" s="1" t="str">
        <f>LOOKUP(B2270, Maps!A:A, Maps!B:B)</f>
        <v>The Ancients Dungeon</v>
      </c>
    </row>
    <row r="2271" ht="15.75" customHeight="1">
      <c r="A2271" s="1">
        <v>75.0</v>
      </c>
      <c r="B2271" s="1">
        <v>29.0</v>
      </c>
      <c r="C2271" s="1">
        <v>3.0</v>
      </c>
      <c r="D2271" s="1">
        <v>67.0</v>
      </c>
      <c r="F2271" s="1" t="str">
        <f>LOOKUP(A2271, NPCs!A:A, NPCs!C:C)</f>
        <v>Ancient Warrior</v>
      </c>
      <c r="G2271" s="1" t="str">
        <f>LOOKUP(B2271, Maps!A:A, Maps!B:B)</f>
        <v>The Ancients Dungeon</v>
      </c>
    </row>
    <row r="2272" ht="15.75" customHeight="1">
      <c r="A2272" s="1">
        <v>75.0</v>
      </c>
      <c r="B2272" s="1">
        <v>29.0</v>
      </c>
      <c r="C2272" s="1">
        <v>7.0</v>
      </c>
      <c r="D2272" s="1">
        <v>67.0</v>
      </c>
      <c r="F2272" s="1" t="str">
        <f>LOOKUP(A2272, NPCs!A:A, NPCs!C:C)</f>
        <v>Ancient Warrior</v>
      </c>
      <c r="G2272" s="1" t="str">
        <f>LOOKUP(B2272, Maps!A:A, Maps!B:B)</f>
        <v>The Ancients Dungeon</v>
      </c>
    </row>
    <row r="2273" ht="15.75" customHeight="1">
      <c r="A2273" s="1">
        <v>75.0</v>
      </c>
      <c r="B2273" s="1">
        <v>29.0</v>
      </c>
      <c r="C2273" s="1">
        <v>7.0</v>
      </c>
      <c r="D2273" s="1">
        <v>62.0</v>
      </c>
      <c r="F2273" s="1" t="str">
        <f>LOOKUP(A2273, NPCs!A:A, NPCs!C:C)</f>
        <v>Ancient Warrior</v>
      </c>
      <c r="G2273" s="1" t="str">
        <f>LOOKUP(B2273, Maps!A:A, Maps!B:B)</f>
        <v>The Ancients Dungeon</v>
      </c>
    </row>
    <row r="2274" ht="15.75" customHeight="1">
      <c r="A2274" s="1">
        <v>75.0</v>
      </c>
      <c r="B2274" s="1">
        <v>29.0</v>
      </c>
      <c r="C2274" s="1">
        <v>3.0</v>
      </c>
      <c r="D2274" s="1">
        <v>62.0</v>
      </c>
      <c r="F2274" s="1" t="str">
        <f>LOOKUP(A2274, NPCs!A:A, NPCs!C:C)</f>
        <v>Ancient Warrior</v>
      </c>
      <c r="G2274" s="1" t="str">
        <f>LOOKUP(B2274, Maps!A:A, Maps!B:B)</f>
        <v>The Ancients Dungeon</v>
      </c>
    </row>
    <row r="2275" ht="15.75" customHeight="1">
      <c r="A2275" s="1">
        <v>75.0</v>
      </c>
      <c r="B2275" s="1">
        <v>29.0</v>
      </c>
      <c r="C2275" s="1">
        <v>3.0</v>
      </c>
      <c r="D2275" s="1">
        <v>57.0</v>
      </c>
      <c r="F2275" s="1" t="str">
        <f>LOOKUP(A2275, NPCs!A:A, NPCs!C:C)</f>
        <v>Ancient Warrior</v>
      </c>
      <c r="G2275" s="1" t="str">
        <f>LOOKUP(B2275, Maps!A:A, Maps!B:B)</f>
        <v>The Ancients Dungeon</v>
      </c>
    </row>
    <row r="2276" ht="15.75" customHeight="1">
      <c r="A2276" s="1">
        <v>75.0</v>
      </c>
      <c r="B2276" s="1">
        <v>29.0</v>
      </c>
      <c r="C2276" s="1">
        <v>7.0</v>
      </c>
      <c r="D2276" s="1">
        <v>57.0</v>
      </c>
      <c r="F2276" s="1" t="str">
        <f>LOOKUP(A2276, NPCs!A:A, NPCs!C:C)</f>
        <v>Ancient Warrior</v>
      </c>
      <c r="G2276" s="1" t="str">
        <f>LOOKUP(B2276, Maps!A:A, Maps!B:B)</f>
        <v>The Ancients Dungeon</v>
      </c>
    </row>
    <row r="2277" ht="15.75" customHeight="1">
      <c r="A2277" s="1">
        <v>75.0</v>
      </c>
      <c r="B2277" s="1">
        <v>29.0</v>
      </c>
      <c r="C2277" s="1">
        <v>13.0</v>
      </c>
      <c r="D2277" s="1">
        <v>88.0</v>
      </c>
      <c r="F2277" s="1" t="str">
        <f>LOOKUP(A2277, NPCs!A:A, NPCs!C:C)</f>
        <v>Ancient Warrior</v>
      </c>
      <c r="G2277" s="1" t="str">
        <f>LOOKUP(B2277, Maps!A:A, Maps!B:B)</f>
        <v>The Ancients Dungeon</v>
      </c>
    </row>
    <row r="2278" ht="15.75" customHeight="1">
      <c r="A2278" s="1">
        <v>75.0</v>
      </c>
      <c r="B2278" s="1">
        <v>29.0</v>
      </c>
      <c r="C2278" s="1">
        <v>11.0</v>
      </c>
      <c r="D2278" s="1">
        <v>88.0</v>
      </c>
      <c r="F2278" s="1" t="str">
        <f>LOOKUP(A2278, NPCs!A:A, NPCs!C:C)</f>
        <v>Ancient Warrior</v>
      </c>
      <c r="G2278" s="1" t="str">
        <f>LOOKUP(B2278, Maps!A:A, Maps!B:B)</f>
        <v>The Ancients Dungeon</v>
      </c>
    </row>
    <row r="2279" ht="15.75" customHeight="1">
      <c r="A2279" s="1">
        <v>75.0</v>
      </c>
      <c r="B2279" s="1">
        <v>29.0</v>
      </c>
      <c r="C2279" s="1">
        <v>4.0</v>
      </c>
      <c r="D2279" s="1">
        <v>88.0</v>
      </c>
      <c r="F2279" s="1" t="str">
        <f>LOOKUP(A2279, NPCs!A:A, NPCs!C:C)</f>
        <v>Ancient Warrior</v>
      </c>
      <c r="G2279" s="1" t="str">
        <f>LOOKUP(B2279, Maps!A:A, Maps!B:B)</f>
        <v>The Ancients Dungeon</v>
      </c>
    </row>
    <row r="2280" ht="15.75" customHeight="1">
      <c r="A2280" s="1">
        <v>75.0</v>
      </c>
      <c r="B2280" s="1">
        <v>29.0</v>
      </c>
      <c r="C2280" s="1">
        <v>11.0</v>
      </c>
      <c r="D2280" s="1">
        <v>96.0</v>
      </c>
      <c r="F2280" s="1" t="str">
        <f>LOOKUP(A2280, NPCs!A:A, NPCs!C:C)</f>
        <v>Ancient Warrior</v>
      </c>
      <c r="G2280" s="1" t="str">
        <f>LOOKUP(B2280, Maps!A:A, Maps!B:B)</f>
        <v>The Ancients Dungeon</v>
      </c>
    </row>
    <row r="2281" ht="15.75" customHeight="1">
      <c r="A2281" s="1">
        <v>75.0</v>
      </c>
      <c r="B2281" s="1">
        <v>29.0</v>
      </c>
      <c r="C2281" s="1">
        <v>14.0</v>
      </c>
      <c r="D2281" s="1">
        <v>96.0</v>
      </c>
      <c r="F2281" s="1" t="str">
        <f>LOOKUP(A2281, NPCs!A:A, NPCs!C:C)</f>
        <v>Ancient Warrior</v>
      </c>
      <c r="G2281" s="1" t="str">
        <f>LOOKUP(B2281, Maps!A:A, Maps!B:B)</f>
        <v>The Ancients Dungeon</v>
      </c>
    </row>
    <row r="2282" ht="15.75" customHeight="1">
      <c r="A2282" s="1">
        <v>75.0</v>
      </c>
      <c r="B2282" s="1">
        <v>29.0</v>
      </c>
      <c r="C2282" s="1">
        <v>18.0</v>
      </c>
      <c r="D2282" s="1">
        <v>96.0</v>
      </c>
      <c r="F2282" s="1" t="str">
        <f>LOOKUP(A2282, NPCs!A:A, NPCs!C:C)</f>
        <v>Ancient Warrior</v>
      </c>
      <c r="G2282" s="1" t="str">
        <f>LOOKUP(B2282, Maps!A:A, Maps!B:B)</f>
        <v>The Ancients Dungeon</v>
      </c>
    </row>
    <row r="2283" ht="15.75" customHeight="1">
      <c r="A2283" s="1">
        <v>75.0</v>
      </c>
      <c r="B2283" s="1">
        <v>29.0</v>
      </c>
      <c r="C2283" s="1">
        <v>23.0</v>
      </c>
      <c r="D2283" s="1">
        <v>96.0</v>
      </c>
      <c r="F2283" s="1" t="str">
        <f>LOOKUP(A2283, NPCs!A:A, NPCs!C:C)</f>
        <v>Ancient Warrior</v>
      </c>
      <c r="G2283" s="1" t="str">
        <f>LOOKUP(B2283, Maps!A:A, Maps!B:B)</f>
        <v>The Ancients Dungeon</v>
      </c>
    </row>
    <row r="2284" ht="15.75" customHeight="1">
      <c r="A2284" s="1">
        <v>75.0</v>
      </c>
      <c r="B2284" s="1">
        <v>29.0</v>
      </c>
      <c r="C2284" s="1">
        <v>26.0</v>
      </c>
      <c r="D2284" s="1">
        <v>96.0</v>
      </c>
      <c r="F2284" s="1" t="str">
        <f>LOOKUP(A2284, NPCs!A:A, NPCs!C:C)</f>
        <v>Ancient Warrior</v>
      </c>
      <c r="G2284" s="1" t="str">
        <f>LOOKUP(B2284, Maps!A:A, Maps!B:B)</f>
        <v>The Ancients Dungeon</v>
      </c>
    </row>
    <row r="2285" ht="15.75" customHeight="1">
      <c r="A2285" s="1">
        <v>75.0</v>
      </c>
      <c r="B2285" s="1">
        <v>29.0</v>
      </c>
      <c r="C2285" s="1">
        <v>29.0</v>
      </c>
      <c r="D2285" s="1">
        <v>96.0</v>
      </c>
      <c r="F2285" s="1" t="str">
        <f>LOOKUP(A2285, NPCs!A:A, NPCs!C:C)</f>
        <v>Ancient Warrior</v>
      </c>
      <c r="G2285" s="1" t="str">
        <f>LOOKUP(B2285, Maps!A:A, Maps!B:B)</f>
        <v>The Ancients Dungeon</v>
      </c>
    </row>
    <row r="2286" ht="15.75" customHeight="1">
      <c r="A2286" s="1">
        <v>75.0</v>
      </c>
      <c r="B2286" s="1">
        <v>29.0</v>
      </c>
      <c r="C2286" s="1">
        <v>23.0</v>
      </c>
      <c r="D2286" s="1">
        <v>73.0</v>
      </c>
      <c r="F2286" s="1" t="str">
        <f>LOOKUP(A2286, NPCs!A:A, NPCs!C:C)</f>
        <v>Ancient Warrior</v>
      </c>
      <c r="G2286" s="1" t="str">
        <f>LOOKUP(B2286, Maps!A:A, Maps!B:B)</f>
        <v>The Ancients Dungeon</v>
      </c>
    </row>
    <row r="2287" ht="15.75" customHeight="1">
      <c r="A2287" s="1">
        <v>75.0</v>
      </c>
      <c r="B2287" s="1">
        <v>29.0</v>
      </c>
      <c r="C2287" s="1">
        <v>26.0</v>
      </c>
      <c r="D2287" s="1">
        <v>73.0</v>
      </c>
      <c r="F2287" s="1" t="str">
        <f>LOOKUP(A2287, NPCs!A:A, NPCs!C:C)</f>
        <v>Ancient Warrior</v>
      </c>
      <c r="G2287" s="1" t="str">
        <f>LOOKUP(B2287, Maps!A:A, Maps!B:B)</f>
        <v>The Ancients Dungeon</v>
      </c>
    </row>
    <row r="2288" ht="15.75" customHeight="1">
      <c r="A2288" s="1">
        <v>75.0</v>
      </c>
      <c r="B2288" s="1">
        <v>29.0</v>
      </c>
      <c r="C2288" s="1">
        <v>23.0</v>
      </c>
      <c r="D2288" s="1">
        <v>81.0</v>
      </c>
      <c r="F2288" s="1" t="str">
        <f>LOOKUP(A2288, NPCs!A:A, NPCs!C:C)</f>
        <v>Ancient Warrior</v>
      </c>
      <c r="G2288" s="1" t="str">
        <f>LOOKUP(B2288, Maps!A:A, Maps!B:B)</f>
        <v>The Ancients Dungeon</v>
      </c>
    </row>
    <row r="2289" ht="15.75" customHeight="1">
      <c r="A2289" s="1">
        <v>75.0</v>
      </c>
      <c r="B2289" s="1">
        <v>29.0</v>
      </c>
      <c r="C2289" s="1">
        <v>21.0</v>
      </c>
      <c r="D2289" s="1">
        <v>81.0</v>
      </c>
      <c r="F2289" s="1" t="str">
        <f>LOOKUP(A2289, NPCs!A:A, NPCs!C:C)</f>
        <v>Ancient Warrior</v>
      </c>
      <c r="G2289" s="1" t="str">
        <f>LOOKUP(B2289, Maps!A:A, Maps!B:B)</f>
        <v>The Ancients Dungeon</v>
      </c>
    </row>
    <row r="2290" ht="15.75" customHeight="1">
      <c r="A2290" s="1">
        <v>75.0</v>
      </c>
      <c r="B2290" s="1">
        <v>29.0</v>
      </c>
      <c r="C2290" s="1">
        <v>28.0</v>
      </c>
      <c r="D2290" s="1">
        <v>83.0</v>
      </c>
      <c r="F2290" s="1" t="str">
        <f>LOOKUP(A2290, NPCs!A:A, NPCs!C:C)</f>
        <v>Ancient Warrior</v>
      </c>
      <c r="G2290" s="1" t="str">
        <f>LOOKUP(B2290, Maps!A:A, Maps!B:B)</f>
        <v>The Ancients Dungeon</v>
      </c>
    </row>
    <row r="2291" ht="15.75" customHeight="1">
      <c r="A2291" s="1">
        <v>75.0</v>
      </c>
      <c r="B2291" s="1">
        <v>29.0</v>
      </c>
      <c r="C2291" s="1">
        <v>26.0</v>
      </c>
      <c r="D2291" s="1">
        <v>86.0</v>
      </c>
      <c r="F2291" s="1" t="str">
        <f>LOOKUP(A2291, NPCs!A:A, NPCs!C:C)</f>
        <v>Ancient Warrior</v>
      </c>
      <c r="G2291" s="1" t="str">
        <f>LOOKUP(B2291, Maps!A:A, Maps!B:B)</f>
        <v>The Ancients Dungeon</v>
      </c>
    </row>
    <row r="2292" ht="15.75" customHeight="1">
      <c r="A2292" s="1">
        <v>75.0</v>
      </c>
      <c r="B2292" s="1">
        <v>29.0</v>
      </c>
      <c r="C2292" s="1">
        <v>33.0</v>
      </c>
      <c r="D2292" s="1">
        <v>87.0</v>
      </c>
      <c r="F2292" s="1" t="str">
        <f>LOOKUP(A2292, NPCs!A:A, NPCs!C:C)</f>
        <v>Ancient Warrior</v>
      </c>
      <c r="G2292" s="1" t="str">
        <f>LOOKUP(B2292, Maps!A:A, Maps!B:B)</f>
        <v>The Ancients Dungeon</v>
      </c>
    </row>
    <row r="2293" ht="15.75" customHeight="1">
      <c r="A2293" s="1">
        <v>75.0</v>
      </c>
      <c r="B2293" s="1">
        <v>29.0</v>
      </c>
      <c r="C2293" s="1">
        <v>36.0</v>
      </c>
      <c r="D2293" s="1">
        <v>90.0</v>
      </c>
      <c r="F2293" s="1" t="str">
        <f>LOOKUP(A2293, NPCs!A:A, NPCs!C:C)</f>
        <v>Ancient Warrior</v>
      </c>
      <c r="G2293" s="1" t="str">
        <f>LOOKUP(B2293, Maps!A:A, Maps!B:B)</f>
        <v>The Ancients Dungeon</v>
      </c>
    </row>
    <row r="2294" ht="15.75" customHeight="1">
      <c r="A2294" s="1">
        <v>75.0</v>
      </c>
      <c r="B2294" s="1">
        <v>29.0</v>
      </c>
      <c r="C2294" s="1">
        <v>62.0</v>
      </c>
      <c r="D2294" s="1">
        <v>95.0</v>
      </c>
      <c r="F2294" s="1" t="str">
        <f>LOOKUP(A2294, NPCs!A:A, NPCs!C:C)</f>
        <v>Ancient Warrior</v>
      </c>
      <c r="G2294" s="1" t="str">
        <f>LOOKUP(B2294, Maps!A:A, Maps!B:B)</f>
        <v>The Ancients Dungeon</v>
      </c>
    </row>
    <row r="2295" ht="15.75" customHeight="1">
      <c r="A2295" s="1">
        <v>75.0</v>
      </c>
      <c r="B2295" s="1">
        <v>29.0</v>
      </c>
      <c r="C2295" s="1">
        <v>64.0</v>
      </c>
      <c r="D2295" s="1">
        <v>95.0</v>
      </c>
      <c r="F2295" s="1" t="str">
        <f>LOOKUP(A2295, NPCs!A:A, NPCs!C:C)</f>
        <v>Ancient Warrior</v>
      </c>
      <c r="G2295" s="1" t="str">
        <f>LOOKUP(B2295, Maps!A:A, Maps!B:B)</f>
        <v>The Ancients Dungeon</v>
      </c>
    </row>
    <row r="2296" ht="15.75" customHeight="1">
      <c r="A2296" s="1">
        <v>75.0</v>
      </c>
      <c r="B2296" s="1">
        <v>29.0</v>
      </c>
      <c r="C2296" s="1">
        <v>69.0</v>
      </c>
      <c r="D2296" s="1">
        <v>87.0</v>
      </c>
      <c r="F2296" s="1" t="str">
        <f>LOOKUP(A2296, NPCs!A:A, NPCs!C:C)</f>
        <v>Ancient Warrior</v>
      </c>
      <c r="G2296" s="1" t="str">
        <f>LOOKUP(B2296, Maps!A:A, Maps!B:B)</f>
        <v>The Ancients Dungeon</v>
      </c>
    </row>
    <row r="2297" ht="15.75" customHeight="1">
      <c r="A2297" s="1">
        <v>75.0</v>
      </c>
      <c r="B2297" s="1">
        <v>29.0</v>
      </c>
      <c r="C2297" s="1">
        <v>71.0</v>
      </c>
      <c r="D2297" s="1">
        <v>87.0</v>
      </c>
      <c r="F2297" s="1" t="str">
        <f>LOOKUP(A2297, NPCs!A:A, NPCs!C:C)</f>
        <v>Ancient Warrior</v>
      </c>
      <c r="G2297" s="1" t="str">
        <f>LOOKUP(B2297, Maps!A:A, Maps!B:B)</f>
        <v>The Ancients Dungeon</v>
      </c>
    </row>
    <row r="2298" ht="15.75" customHeight="1">
      <c r="A2298" s="1">
        <v>75.0</v>
      </c>
      <c r="B2298" s="1">
        <v>29.0</v>
      </c>
      <c r="C2298" s="1">
        <v>73.0</v>
      </c>
      <c r="D2298" s="1">
        <v>96.0</v>
      </c>
      <c r="F2298" s="1" t="str">
        <f>LOOKUP(A2298, NPCs!A:A, NPCs!C:C)</f>
        <v>Ancient Warrior</v>
      </c>
      <c r="G2298" s="1" t="str">
        <f>LOOKUP(B2298, Maps!A:A, Maps!B:B)</f>
        <v>The Ancients Dungeon</v>
      </c>
    </row>
    <row r="2299" ht="15.75" customHeight="1">
      <c r="A2299" s="1">
        <v>75.0</v>
      </c>
      <c r="B2299" s="1">
        <v>29.0</v>
      </c>
      <c r="C2299" s="1">
        <v>75.0</v>
      </c>
      <c r="D2299" s="1">
        <v>96.0</v>
      </c>
      <c r="F2299" s="1" t="str">
        <f>LOOKUP(A2299, NPCs!A:A, NPCs!C:C)</f>
        <v>Ancient Warrior</v>
      </c>
      <c r="G2299" s="1" t="str">
        <f>LOOKUP(B2299, Maps!A:A, Maps!B:B)</f>
        <v>The Ancients Dungeon</v>
      </c>
    </row>
    <row r="2300" ht="15.75" customHeight="1">
      <c r="A2300" s="1">
        <v>75.0</v>
      </c>
      <c r="B2300" s="1">
        <v>29.0</v>
      </c>
      <c r="C2300" s="1">
        <v>87.0</v>
      </c>
      <c r="D2300" s="1">
        <v>90.0</v>
      </c>
      <c r="F2300" s="1" t="str">
        <f>LOOKUP(A2300, NPCs!A:A, NPCs!C:C)</f>
        <v>Ancient Warrior</v>
      </c>
      <c r="G2300" s="1" t="str">
        <f>LOOKUP(B2300, Maps!A:A, Maps!B:B)</f>
        <v>The Ancients Dungeon</v>
      </c>
    </row>
    <row r="2301" ht="15.75" customHeight="1">
      <c r="A2301" s="1">
        <v>75.0</v>
      </c>
      <c r="B2301" s="1">
        <v>29.0</v>
      </c>
      <c r="C2301" s="1">
        <v>89.0</v>
      </c>
      <c r="D2301" s="1">
        <v>90.0</v>
      </c>
      <c r="F2301" s="1" t="str">
        <f>LOOKUP(A2301, NPCs!A:A, NPCs!C:C)</f>
        <v>Ancient Warrior</v>
      </c>
      <c r="G2301" s="1" t="str">
        <f>LOOKUP(B2301, Maps!A:A, Maps!B:B)</f>
        <v>The Ancients Dungeon</v>
      </c>
    </row>
    <row r="2302" ht="15.75" customHeight="1">
      <c r="A2302" s="1">
        <v>75.0</v>
      </c>
      <c r="B2302" s="1">
        <v>29.0</v>
      </c>
      <c r="C2302" s="1">
        <v>93.0</v>
      </c>
      <c r="D2302" s="1">
        <v>93.0</v>
      </c>
      <c r="F2302" s="1" t="str">
        <f>LOOKUP(A2302, NPCs!A:A, NPCs!C:C)</f>
        <v>Ancient Warrior</v>
      </c>
      <c r="G2302" s="1" t="str">
        <f>LOOKUP(B2302, Maps!A:A, Maps!B:B)</f>
        <v>The Ancients Dungeon</v>
      </c>
    </row>
    <row r="2303" ht="15.75" customHeight="1">
      <c r="A2303" s="1">
        <v>75.0</v>
      </c>
      <c r="B2303" s="1">
        <v>29.0</v>
      </c>
      <c r="C2303" s="1">
        <v>90.0</v>
      </c>
      <c r="D2303" s="1">
        <v>83.0</v>
      </c>
      <c r="F2303" s="1" t="str">
        <f>LOOKUP(A2303, NPCs!A:A, NPCs!C:C)</f>
        <v>Ancient Warrior</v>
      </c>
      <c r="G2303" s="1" t="str">
        <f>LOOKUP(B2303, Maps!A:A, Maps!B:B)</f>
        <v>The Ancients Dungeon</v>
      </c>
    </row>
    <row r="2304" ht="15.75" customHeight="1">
      <c r="A2304" s="1">
        <v>75.0</v>
      </c>
      <c r="B2304" s="1">
        <v>29.0</v>
      </c>
      <c r="C2304" s="1">
        <v>95.0</v>
      </c>
      <c r="D2304" s="1">
        <v>83.0</v>
      </c>
      <c r="F2304" s="1" t="str">
        <f>LOOKUP(A2304, NPCs!A:A, NPCs!C:C)</f>
        <v>Ancient Warrior</v>
      </c>
      <c r="G2304" s="1" t="str">
        <f>LOOKUP(B2304, Maps!A:A, Maps!B:B)</f>
        <v>The Ancients Dungeon</v>
      </c>
    </row>
    <row r="2305" ht="15.75" customHeight="1">
      <c r="A2305" s="1">
        <v>75.0</v>
      </c>
      <c r="B2305" s="1">
        <v>29.0</v>
      </c>
      <c r="C2305" s="1">
        <v>95.0</v>
      </c>
      <c r="D2305" s="1">
        <v>80.0</v>
      </c>
      <c r="F2305" s="1" t="str">
        <f>LOOKUP(A2305, NPCs!A:A, NPCs!C:C)</f>
        <v>Ancient Warrior</v>
      </c>
      <c r="G2305" s="1" t="str">
        <f>LOOKUP(B2305, Maps!A:A, Maps!B:B)</f>
        <v>The Ancients Dungeon</v>
      </c>
    </row>
    <row r="2306" ht="15.75" customHeight="1">
      <c r="A2306" s="1">
        <v>75.0</v>
      </c>
      <c r="B2306" s="1">
        <v>29.0</v>
      </c>
      <c r="C2306" s="1">
        <v>90.0</v>
      </c>
      <c r="D2306" s="1">
        <v>80.0</v>
      </c>
      <c r="F2306" s="1" t="str">
        <f>LOOKUP(A2306, NPCs!A:A, NPCs!C:C)</f>
        <v>Ancient Warrior</v>
      </c>
      <c r="G2306" s="1" t="str">
        <f>LOOKUP(B2306, Maps!A:A, Maps!B:B)</f>
        <v>The Ancients Dungeon</v>
      </c>
    </row>
    <row r="2307" ht="15.75" customHeight="1">
      <c r="A2307" s="1">
        <v>75.0</v>
      </c>
      <c r="B2307" s="1">
        <v>29.0</v>
      </c>
      <c r="C2307" s="1">
        <v>90.0</v>
      </c>
      <c r="D2307" s="1">
        <v>77.0</v>
      </c>
      <c r="F2307" s="1" t="str">
        <f>LOOKUP(A2307, NPCs!A:A, NPCs!C:C)</f>
        <v>Ancient Warrior</v>
      </c>
      <c r="G2307" s="1" t="str">
        <f>LOOKUP(B2307, Maps!A:A, Maps!B:B)</f>
        <v>The Ancients Dungeon</v>
      </c>
    </row>
    <row r="2308" ht="15.75" customHeight="1">
      <c r="A2308" s="1">
        <v>75.0</v>
      </c>
      <c r="B2308" s="1">
        <v>29.0</v>
      </c>
      <c r="C2308" s="1">
        <v>95.0</v>
      </c>
      <c r="D2308" s="1">
        <v>77.0</v>
      </c>
      <c r="F2308" s="1" t="str">
        <f>LOOKUP(A2308, NPCs!A:A, NPCs!C:C)</f>
        <v>Ancient Warrior</v>
      </c>
      <c r="G2308" s="1" t="str">
        <f>LOOKUP(B2308, Maps!A:A, Maps!B:B)</f>
        <v>The Ancients Dungeon</v>
      </c>
    </row>
    <row r="2309" ht="15.75" customHeight="1">
      <c r="A2309" s="1">
        <v>75.0</v>
      </c>
      <c r="B2309" s="1">
        <v>29.0</v>
      </c>
      <c r="C2309" s="1">
        <v>95.0</v>
      </c>
      <c r="D2309" s="1">
        <v>74.0</v>
      </c>
      <c r="F2309" s="1" t="str">
        <f>LOOKUP(A2309, NPCs!A:A, NPCs!C:C)</f>
        <v>Ancient Warrior</v>
      </c>
      <c r="G2309" s="1" t="str">
        <f>LOOKUP(B2309, Maps!A:A, Maps!B:B)</f>
        <v>The Ancients Dungeon</v>
      </c>
    </row>
    <row r="2310" ht="15.75" customHeight="1">
      <c r="A2310" s="1">
        <v>75.0</v>
      </c>
      <c r="B2310" s="1">
        <v>29.0</v>
      </c>
      <c r="C2310" s="1">
        <v>90.0</v>
      </c>
      <c r="D2310" s="1">
        <v>74.0</v>
      </c>
      <c r="F2310" s="1" t="str">
        <f>LOOKUP(A2310, NPCs!A:A, NPCs!C:C)</f>
        <v>Ancient Warrior</v>
      </c>
      <c r="G2310" s="1" t="str">
        <f>LOOKUP(B2310, Maps!A:A, Maps!B:B)</f>
        <v>The Ancients Dungeon</v>
      </c>
    </row>
    <row r="2311" ht="15.75" customHeight="1">
      <c r="A2311" s="1">
        <v>75.0</v>
      </c>
      <c r="B2311" s="1">
        <v>29.0</v>
      </c>
      <c r="C2311" s="1">
        <v>81.0</v>
      </c>
      <c r="D2311" s="1">
        <v>73.0</v>
      </c>
      <c r="F2311" s="1" t="str">
        <f>LOOKUP(A2311, NPCs!A:A, NPCs!C:C)</f>
        <v>Ancient Warrior</v>
      </c>
      <c r="G2311" s="1" t="str">
        <f>LOOKUP(B2311, Maps!A:A, Maps!B:B)</f>
        <v>The Ancients Dungeon</v>
      </c>
    </row>
    <row r="2312" ht="15.75" customHeight="1">
      <c r="A2312" s="1">
        <v>75.0</v>
      </c>
      <c r="B2312" s="1">
        <v>29.0</v>
      </c>
      <c r="C2312" s="1">
        <v>78.0</v>
      </c>
      <c r="D2312" s="1">
        <v>73.0</v>
      </c>
      <c r="F2312" s="1" t="str">
        <f>LOOKUP(A2312, NPCs!A:A, NPCs!C:C)</f>
        <v>Ancient Warrior</v>
      </c>
      <c r="G2312" s="1" t="str">
        <f>LOOKUP(B2312, Maps!A:A, Maps!B:B)</f>
        <v>The Ancients Dungeon</v>
      </c>
    </row>
    <row r="2313" ht="15.75" customHeight="1">
      <c r="A2313" s="1">
        <v>75.0</v>
      </c>
      <c r="B2313" s="1">
        <v>29.0</v>
      </c>
      <c r="C2313" s="1">
        <v>83.0</v>
      </c>
      <c r="D2313" s="1">
        <v>60.0</v>
      </c>
      <c r="F2313" s="1" t="str">
        <f>LOOKUP(A2313, NPCs!A:A, NPCs!C:C)</f>
        <v>Ancient Warrior</v>
      </c>
      <c r="G2313" s="1" t="str">
        <f>LOOKUP(B2313, Maps!A:A, Maps!B:B)</f>
        <v>The Ancients Dungeon</v>
      </c>
    </row>
    <row r="2314" ht="15.75" customHeight="1">
      <c r="A2314" s="1">
        <v>75.0</v>
      </c>
      <c r="B2314" s="1">
        <v>29.0</v>
      </c>
      <c r="C2314" s="1">
        <v>87.0</v>
      </c>
      <c r="D2314" s="1">
        <v>60.0</v>
      </c>
      <c r="F2314" s="1" t="str">
        <f>LOOKUP(A2314, NPCs!A:A, NPCs!C:C)</f>
        <v>Ancient Warrior</v>
      </c>
      <c r="G2314" s="1" t="str">
        <f>LOOKUP(B2314, Maps!A:A, Maps!B:B)</f>
        <v>The Ancients Dungeon</v>
      </c>
    </row>
    <row r="2315" ht="15.75" customHeight="1">
      <c r="A2315" s="1">
        <v>75.0</v>
      </c>
      <c r="B2315" s="1">
        <v>29.0</v>
      </c>
      <c r="C2315" s="1">
        <v>92.0</v>
      </c>
      <c r="D2315" s="1">
        <v>60.0</v>
      </c>
      <c r="F2315" s="1" t="str">
        <f>LOOKUP(A2315, NPCs!A:A, NPCs!C:C)</f>
        <v>Ancient Warrior</v>
      </c>
      <c r="G2315" s="1" t="str">
        <f>LOOKUP(B2315, Maps!A:A, Maps!B:B)</f>
        <v>The Ancients Dungeon</v>
      </c>
    </row>
    <row r="2316" ht="15.75" customHeight="1">
      <c r="A2316" s="1">
        <v>75.0</v>
      </c>
      <c r="B2316" s="1">
        <v>29.0</v>
      </c>
      <c r="C2316" s="1">
        <v>96.0</v>
      </c>
      <c r="D2316" s="1">
        <v>60.0</v>
      </c>
      <c r="F2316" s="1" t="str">
        <f>LOOKUP(A2316, NPCs!A:A, NPCs!C:C)</f>
        <v>Ancient Warrior</v>
      </c>
      <c r="G2316" s="1" t="str">
        <f>LOOKUP(B2316, Maps!A:A, Maps!B:B)</f>
        <v>The Ancients Dungeon</v>
      </c>
    </row>
    <row r="2317" ht="15.75" customHeight="1">
      <c r="A2317" s="1">
        <v>75.0</v>
      </c>
      <c r="B2317" s="1">
        <v>29.0</v>
      </c>
      <c r="C2317" s="1">
        <v>84.0</v>
      </c>
      <c r="D2317" s="1">
        <v>49.0</v>
      </c>
      <c r="F2317" s="1" t="str">
        <f>LOOKUP(A2317, NPCs!A:A, NPCs!C:C)</f>
        <v>Ancient Warrior</v>
      </c>
      <c r="G2317" s="1" t="str">
        <f>LOOKUP(B2317, Maps!A:A, Maps!B:B)</f>
        <v>The Ancients Dungeon</v>
      </c>
    </row>
    <row r="2318" ht="15.75" customHeight="1">
      <c r="A2318" s="1">
        <v>75.0</v>
      </c>
      <c r="B2318" s="1">
        <v>29.0</v>
      </c>
      <c r="C2318" s="1">
        <v>84.0</v>
      </c>
      <c r="D2318" s="1">
        <v>47.0</v>
      </c>
      <c r="F2318" s="1" t="str">
        <f>LOOKUP(A2318, NPCs!A:A, NPCs!C:C)</f>
        <v>Ancient Warrior</v>
      </c>
      <c r="G2318" s="1" t="str">
        <f>LOOKUP(B2318, Maps!A:A, Maps!B:B)</f>
        <v>The Ancients Dungeon</v>
      </c>
    </row>
    <row r="2319" ht="15.75" customHeight="1">
      <c r="A2319" s="1">
        <v>75.0</v>
      </c>
      <c r="B2319" s="1">
        <v>29.0</v>
      </c>
      <c r="C2319" s="1">
        <v>89.0</v>
      </c>
      <c r="D2319" s="1">
        <v>47.0</v>
      </c>
      <c r="F2319" s="1" t="str">
        <f>LOOKUP(A2319, NPCs!A:A, NPCs!C:C)</f>
        <v>Ancient Warrior</v>
      </c>
      <c r="G2319" s="1" t="str">
        <f>LOOKUP(B2319, Maps!A:A, Maps!B:B)</f>
        <v>The Ancients Dungeon</v>
      </c>
    </row>
    <row r="2320" ht="15.75" customHeight="1">
      <c r="A2320" s="1">
        <v>75.0</v>
      </c>
      <c r="B2320" s="1">
        <v>29.0</v>
      </c>
      <c r="C2320" s="1">
        <v>89.0</v>
      </c>
      <c r="D2320" s="1">
        <v>49.0</v>
      </c>
      <c r="F2320" s="1" t="str">
        <f>LOOKUP(A2320, NPCs!A:A, NPCs!C:C)</f>
        <v>Ancient Warrior</v>
      </c>
      <c r="G2320" s="1" t="str">
        <f>LOOKUP(B2320, Maps!A:A, Maps!B:B)</f>
        <v>The Ancients Dungeon</v>
      </c>
    </row>
    <row r="2321" ht="15.75" customHeight="1">
      <c r="A2321" s="1">
        <v>75.0</v>
      </c>
      <c r="B2321" s="1">
        <v>29.0</v>
      </c>
      <c r="C2321" s="1">
        <v>94.0</v>
      </c>
      <c r="D2321" s="1">
        <v>49.0</v>
      </c>
      <c r="F2321" s="1" t="str">
        <f>LOOKUP(A2321, NPCs!A:A, NPCs!C:C)</f>
        <v>Ancient Warrior</v>
      </c>
      <c r="G2321" s="1" t="str">
        <f>LOOKUP(B2321, Maps!A:A, Maps!B:B)</f>
        <v>The Ancients Dungeon</v>
      </c>
    </row>
    <row r="2322" ht="15.75" customHeight="1">
      <c r="A2322" s="1">
        <v>75.0</v>
      </c>
      <c r="B2322" s="1">
        <v>29.0</v>
      </c>
      <c r="C2322" s="1">
        <v>94.0</v>
      </c>
      <c r="D2322" s="1">
        <v>47.0</v>
      </c>
      <c r="F2322" s="1" t="str">
        <f>LOOKUP(A2322, NPCs!A:A, NPCs!C:C)</f>
        <v>Ancient Warrior</v>
      </c>
      <c r="G2322" s="1" t="str">
        <f>LOOKUP(B2322, Maps!A:A, Maps!B:B)</f>
        <v>The Ancients Dungeon</v>
      </c>
    </row>
    <row r="2323" ht="15.75" customHeight="1">
      <c r="A2323" s="1">
        <v>75.0</v>
      </c>
      <c r="B2323" s="1">
        <v>29.0</v>
      </c>
      <c r="C2323" s="1">
        <v>95.0</v>
      </c>
      <c r="D2323" s="1">
        <v>42.0</v>
      </c>
      <c r="F2323" s="1" t="str">
        <f>LOOKUP(A2323, NPCs!A:A, NPCs!C:C)</f>
        <v>Ancient Warrior</v>
      </c>
      <c r="G2323" s="1" t="str">
        <f>LOOKUP(B2323, Maps!A:A, Maps!B:B)</f>
        <v>The Ancients Dungeon</v>
      </c>
    </row>
    <row r="2324" ht="15.75" customHeight="1">
      <c r="A2324" s="1">
        <v>75.0</v>
      </c>
      <c r="B2324" s="1">
        <v>29.0</v>
      </c>
      <c r="C2324" s="1">
        <v>92.0</v>
      </c>
      <c r="D2324" s="1">
        <v>42.0</v>
      </c>
      <c r="F2324" s="1" t="str">
        <f>LOOKUP(A2324, NPCs!A:A, NPCs!C:C)</f>
        <v>Ancient Warrior</v>
      </c>
      <c r="G2324" s="1" t="str">
        <f>LOOKUP(B2324, Maps!A:A, Maps!B:B)</f>
        <v>The Ancients Dungeon</v>
      </c>
    </row>
    <row r="2325" ht="15.75" customHeight="1">
      <c r="A2325" s="1">
        <v>75.0</v>
      </c>
      <c r="B2325" s="1">
        <v>29.0</v>
      </c>
      <c r="C2325" s="1">
        <v>84.0</v>
      </c>
      <c r="D2325" s="1">
        <v>41.0</v>
      </c>
      <c r="F2325" s="1" t="str">
        <f>LOOKUP(A2325, NPCs!A:A, NPCs!C:C)</f>
        <v>Ancient Warrior</v>
      </c>
      <c r="G2325" s="1" t="str">
        <f>LOOKUP(B2325, Maps!A:A, Maps!B:B)</f>
        <v>The Ancients Dungeon</v>
      </c>
    </row>
    <row r="2326" ht="15.75" customHeight="1">
      <c r="A2326" s="1">
        <v>75.0</v>
      </c>
      <c r="B2326" s="1">
        <v>29.0</v>
      </c>
      <c r="C2326" s="1">
        <v>81.0</v>
      </c>
      <c r="D2326" s="1">
        <v>41.0</v>
      </c>
      <c r="F2326" s="1" t="str">
        <f>LOOKUP(A2326, NPCs!A:A, NPCs!C:C)</f>
        <v>Ancient Warrior</v>
      </c>
      <c r="G2326" s="1" t="str">
        <f>LOOKUP(B2326, Maps!A:A, Maps!B:B)</f>
        <v>The Ancients Dungeon</v>
      </c>
    </row>
    <row r="2327" ht="15.75" customHeight="1">
      <c r="A2327" s="1">
        <v>75.0</v>
      </c>
      <c r="B2327" s="1">
        <v>29.0</v>
      </c>
      <c r="C2327" s="1">
        <v>81.0</v>
      </c>
      <c r="D2327" s="1">
        <v>33.0</v>
      </c>
      <c r="F2327" s="1" t="str">
        <f>LOOKUP(A2327, NPCs!A:A, NPCs!C:C)</f>
        <v>Ancient Warrior</v>
      </c>
      <c r="G2327" s="1" t="str">
        <f>LOOKUP(B2327, Maps!A:A, Maps!B:B)</f>
        <v>The Ancients Dungeon</v>
      </c>
    </row>
    <row r="2328" ht="15.75" customHeight="1">
      <c r="A2328" s="1">
        <v>75.0</v>
      </c>
      <c r="B2328" s="1">
        <v>29.0</v>
      </c>
      <c r="C2328" s="1">
        <v>84.0</v>
      </c>
      <c r="D2328" s="1">
        <v>33.0</v>
      </c>
      <c r="F2328" s="1" t="str">
        <f>LOOKUP(A2328, NPCs!A:A, NPCs!C:C)</f>
        <v>Ancient Warrior</v>
      </c>
      <c r="G2328" s="1" t="str">
        <f>LOOKUP(B2328, Maps!A:A, Maps!B:B)</f>
        <v>The Ancients Dungeon</v>
      </c>
    </row>
    <row r="2329" ht="15.75" customHeight="1">
      <c r="A2329" s="1">
        <v>75.0</v>
      </c>
      <c r="B2329" s="1">
        <v>29.0</v>
      </c>
      <c r="C2329" s="1">
        <v>82.0</v>
      </c>
      <c r="D2329" s="1">
        <v>30.0</v>
      </c>
      <c r="F2329" s="1" t="str">
        <f>LOOKUP(A2329, NPCs!A:A, NPCs!C:C)</f>
        <v>Ancient Warrior</v>
      </c>
      <c r="G2329" s="1" t="str">
        <f>LOOKUP(B2329, Maps!A:A, Maps!B:B)</f>
        <v>The Ancients Dungeon</v>
      </c>
    </row>
    <row r="2330" ht="15.75" customHeight="1">
      <c r="A2330" s="1">
        <v>75.0</v>
      </c>
      <c r="B2330" s="1">
        <v>29.0</v>
      </c>
      <c r="C2330" s="1">
        <v>76.0</v>
      </c>
      <c r="D2330" s="1">
        <v>27.0</v>
      </c>
      <c r="F2330" s="1" t="str">
        <f>LOOKUP(A2330, NPCs!A:A, NPCs!C:C)</f>
        <v>Ancient Warrior</v>
      </c>
      <c r="G2330" s="1" t="str">
        <f>LOOKUP(B2330, Maps!A:A, Maps!B:B)</f>
        <v>The Ancients Dungeon</v>
      </c>
    </row>
    <row r="2331" ht="15.75" customHeight="1">
      <c r="A2331" s="1">
        <v>75.0</v>
      </c>
      <c r="B2331" s="1">
        <v>29.0</v>
      </c>
      <c r="C2331" s="1">
        <v>87.0</v>
      </c>
      <c r="D2331" s="1">
        <v>25.0</v>
      </c>
      <c r="F2331" s="1" t="str">
        <f>LOOKUP(A2331, NPCs!A:A, NPCs!C:C)</f>
        <v>Ancient Warrior</v>
      </c>
      <c r="G2331" s="1" t="str">
        <f>LOOKUP(B2331, Maps!A:A, Maps!B:B)</f>
        <v>The Ancients Dungeon</v>
      </c>
    </row>
    <row r="2332" ht="15.75" customHeight="1">
      <c r="A2332" s="1">
        <v>75.0</v>
      </c>
      <c r="B2332" s="1">
        <v>29.0</v>
      </c>
      <c r="C2332" s="1">
        <v>89.0</v>
      </c>
      <c r="D2332" s="1">
        <v>25.0</v>
      </c>
      <c r="F2332" s="1" t="str">
        <f>LOOKUP(A2332, NPCs!A:A, NPCs!C:C)</f>
        <v>Ancient Warrior</v>
      </c>
      <c r="G2332" s="1" t="str">
        <f>LOOKUP(B2332, Maps!A:A, Maps!B:B)</f>
        <v>The Ancients Dungeon</v>
      </c>
    </row>
    <row r="2333" ht="15.75" customHeight="1">
      <c r="A2333" s="1">
        <v>75.0</v>
      </c>
      <c r="B2333" s="1">
        <v>29.0</v>
      </c>
      <c r="C2333" s="1">
        <v>93.0</v>
      </c>
      <c r="D2333" s="1">
        <v>25.0</v>
      </c>
      <c r="F2333" s="1" t="str">
        <f>LOOKUP(A2333, NPCs!A:A, NPCs!C:C)</f>
        <v>Ancient Warrior</v>
      </c>
      <c r="G2333" s="1" t="str">
        <f>LOOKUP(B2333, Maps!A:A, Maps!B:B)</f>
        <v>The Ancients Dungeon</v>
      </c>
    </row>
    <row r="2334" ht="15.75" customHeight="1">
      <c r="A2334" s="1">
        <v>75.0</v>
      </c>
      <c r="B2334" s="1">
        <v>29.0</v>
      </c>
      <c r="C2334" s="1">
        <v>95.0</v>
      </c>
      <c r="D2334" s="1">
        <v>25.0</v>
      </c>
      <c r="F2334" s="1" t="str">
        <f>LOOKUP(A2334, NPCs!A:A, NPCs!C:C)</f>
        <v>Ancient Warrior</v>
      </c>
      <c r="G2334" s="1" t="str">
        <f>LOOKUP(B2334, Maps!A:A, Maps!B:B)</f>
        <v>The Ancients Dungeon</v>
      </c>
    </row>
    <row r="2335" ht="15.75" customHeight="1">
      <c r="A2335" s="1">
        <v>75.0</v>
      </c>
      <c r="B2335" s="1">
        <v>29.0</v>
      </c>
      <c r="C2335" s="1">
        <v>95.0</v>
      </c>
      <c r="D2335" s="1">
        <v>29.0</v>
      </c>
      <c r="F2335" s="1" t="str">
        <f>LOOKUP(A2335, NPCs!A:A, NPCs!C:C)</f>
        <v>Ancient Warrior</v>
      </c>
      <c r="G2335" s="1" t="str">
        <f>LOOKUP(B2335, Maps!A:A, Maps!B:B)</f>
        <v>The Ancients Dungeon</v>
      </c>
    </row>
    <row r="2336" ht="15.75" customHeight="1">
      <c r="A2336" s="1">
        <v>75.0</v>
      </c>
      <c r="B2336" s="1">
        <v>29.0</v>
      </c>
      <c r="C2336" s="1">
        <v>97.0</v>
      </c>
      <c r="D2336" s="1">
        <v>29.0</v>
      </c>
      <c r="F2336" s="1" t="str">
        <f>LOOKUP(A2336, NPCs!A:A, NPCs!C:C)</f>
        <v>Ancient Warrior</v>
      </c>
      <c r="G2336" s="1" t="str">
        <f>LOOKUP(B2336, Maps!A:A, Maps!B:B)</f>
        <v>The Ancients Dungeon</v>
      </c>
    </row>
    <row r="2337" ht="15.75" customHeight="1">
      <c r="A2337" s="1">
        <v>75.0</v>
      </c>
      <c r="B2337" s="1">
        <v>29.0</v>
      </c>
      <c r="C2337" s="1">
        <v>91.0</v>
      </c>
      <c r="D2337" s="1">
        <v>29.0</v>
      </c>
      <c r="F2337" s="1" t="str">
        <f>LOOKUP(A2337, NPCs!A:A, NPCs!C:C)</f>
        <v>Ancient Warrior</v>
      </c>
      <c r="G2337" s="1" t="str">
        <f>LOOKUP(B2337, Maps!A:A, Maps!B:B)</f>
        <v>The Ancients Dungeon</v>
      </c>
    </row>
    <row r="2338" ht="15.75" customHeight="1">
      <c r="A2338" s="1">
        <v>75.0</v>
      </c>
      <c r="B2338" s="1">
        <v>29.0</v>
      </c>
      <c r="C2338" s="1">
        <v>89.0</v>
      </c>
      <c r="D2338" s="1">
        <v>29.0</v>
      </c>
      <c r="F2338" s="1" t="str">
        <f>LOOKUP(A2338, NPCs!A:A, NPCs!C:C)</f>
        <v>Ancient Warrior</v>
      </c>
      <c r="G2338" s="1" t="str">
        <f>LOOKUP(B2338, Maps!A:A, Maps!B:B)</f>
        <v>The Ancients Dungeon</v>
      </c>
    </row>
    <row r="2339" ht="15.75" customHeight="1">
      <c r="A2339" s="1">
        <v>75.0</v>
      </c>
      <c r="B2339" s="1">
        <v>29.0</v>
      </c>
      <c r="C2339" s="1">
        <v>87.0</v>
      </c>
      <c r="D2339" s="1">
        <v>14.0</v>
      </c>
      <c r="F2339" s="1" t="str">
        <f>LOOKUP(A2339, NPCs!A:A, NPCs!C:C)</f>
        <v>Ancient Warrior</v>
      </c>
      <c r="G2339" s="1" t="str">
        <f>LOOKUP(B2339, Maps!A:A, Maps!B:B)</f>
        <v>The Ancients Dungeon</v>
      </c>
    </row>
    <row r="2340" ht="15.75" customHeight="1">
      <c r="A2340" s="1">
        <v>75.0</v>
      </c>
      <c r="B2340" s="1">
        <v>29.0</v>
      </c>
      <c r="C2340" s="1">
        <v>87.0</v>
      </c>
      <c r="D2340" s="1">
        <v>12.0</v>
      </c>
      <c r="F2340" s="1" t="str">
        <f>LOOKUP(A2340, NPCs!A:A, NPCs!C:C)</f>
        <v>Ancient Warrior</v>
      </c>
      <c r="G2340" s="1" t="str">
        <f>LOOKUP(B2340, Maps!A:A, Maps!B:B)</f>
        <v>The Ancients Dungeon</v>
      </c>
    </row>
    <row r="2341" ht="15.75" customHeight="1">
      <c r="A2341" s="1">
        <v>75.0</v>
      </c>
      <c r="B2341" s="1">
        <v>29.0</v>
      </c>
      <c r="C2341" s="1">
        <v>87.0</v>
      </c>
      <c r="D2341" s="1">
        <v>10.0</v>
      </c>
      <c r="F2341" s="1" t="str">
        <f>LOOKUP(A2341, NPCs!A:A, NPCs!C:C)</f>
        <v>Ancient Warrior</v>
      </c>
      <c r="G2341" s="1" t="str">
        <f>LOOKUP(B2341, Maps!A:A, Maps!B:B)</f>
        <v>The Ancients Dungeon</v>
      </c>
    </row>
    <row r="2342" ht="15.75" customHeight="1">
      <c r="A2342" s="1">
        <v>75.0</v>
      </c>
      <c r="B2342" s="1">
        <v>29.0</v>
      </c>
      <c r="C2342" s="1">
        <v>87.0</v>
      </c>
      <c r="D2342" s="1">
        <v>8.0</v>
      </c>
      <c r="F2342" s="1" t="str">
        <f>LOOKUP(A2342, NPCs!A:A, NPCs!C:C)</f>
        <v>Ancient Warrior</v>
      </c>
      <c r="G2342" s="1" t="str">
        <f>LOOKUP(B2342, Maps!A:A, Maps!B:B)</f>
        <v>The Ancients Dungeon</v>
      </c>
    </row>
    <row r="2343" ht="15.75" customHeight="1">
      <c r="A2343" s="1">
        <v>75.0</v>
      </c>
      <c r="B2343" s="1">
        <v>29.0</v>
      </c>
      <c r="C2343" s="1">
        <v>93.0</v>
      </c>
      <c r="D2343" s="1">
        <v>8.0</v>
      </c>
      <c r="F2343" s="1" t="str">
        <f>LOOKUP(A2343, NPCs!A:A, NPCs!C:C)</f>
        <v>Ancient Warrior</v>
      </c>
      <c r="G2343" s="1" t="str">
        <f>LOOKUP(B2343, Maps!A:A, Maps!B:B)</f>
        <v>The Ancients Dungeon</v>
      </c>
    </row>
    <row r="2344" ht="15.75" customHeight="1">
      <c r="A2344" s="1">
        <v>75.0</v>
      </c>
      <c r="B2344" s="1">
        <v>29.0</v>
      </c>
      <c r="C2344" s="1">
        <v>93.0</v>
      </c>
      <c r="D2344" s="1">
        <v>10.0</v>
      </c>
      <c r="F2344" s="1" t="str">
        <f>LOOKUP(A2344, NPCs!A:A, NPCs!C:C)</f>
        <v>Ancient Warrior</v>
      </c>
      <c r="G2344" s="1" t="str">
        <f>LOOKUP(B2344, Maps!A:A, Maps!B:B)</f>
        <v>The Ancients Dungeon</v>
      </c>
    </row>
    <row r="2345" ht="15.75" customHeight="1">
      <c r="A2345" s="1">
        <v>75.0</v>
      </c>
      <c r="B2345" s="1">
        <v>29.0</v>
      </c>
      <c r="C2345" s="1">
        <v>93.0</v>
      </c>
      <c r="D2345" s="1">
        <v>12.0</v>
      </c>
      <c r="F2345" s="1" t="str">
        <f>LOOKUP(A2345, NPCs!A:A, NPCs!C:C)</f>
        <v>Ancient Warrior</v>
      </c>
      <c r="G2345" s="1" t="str">
        <f>LOOKUP(B2345, Maps!A:A, Maps!B:B)</f>
        <v>The Ancients Dungeon</v>
      </c>
    </row>
    <row r="2346" ht="15.75" customHeight="1">
      <c r="A2346" s="1">
        <v>75.0</v>
      </c>
      <c r="B2346" s="1">
        <v>29.0</v>
      </c>
      <c r="C2346" s="1">
        <v>93.0</v>
      </c>
      <c r="D2346" s="1">
        <v>14.0</v>
      </c>
      <c r="F2346" s="1" t="str">
        <f>LOOKUP(A2346, NPCs!A:A, NPCs!C:C)</f>
        <v>Ancient Warrior</v>
      </c>
      <c r="G2346" s="1" t="str">
        <f>LOOKUP(B2346, Maps!A:A, Maps!B:B)</f>
        <v>The Ancients Dungeon</v>
      </c>
    </row>
    <row r="2347" ht="15.75" customHeight="1">
      <c r="A2347" s="1">
        <v>75.0</v>
      </c>
      <c r="B2347" s="1">
        <v>29.0</v>
      </c>
      <c r="C2347" s="1">
        <v>76.0</v>
      </c>
      <c r="D2347" s="1">
        <v>6.0</v>
      </c>
      <c r="F2347" s="1" t="str">
        <f>LOOKUP(A2347, NPCs!A:A, NPCs!C:C)</f>
        <v>Ancient Warrior</v>
      </c>
      <c r="G2347" s="1" t="str">
        <f>LOOKUP(B2347, Maps!A:A, Maps!B:B)</f>
        <v>The Ancients Dungeon</v>
      </c>
    </row>
    <row r="2348" ht="15.75" customHeight="1">
      <c r="A2348" s="1">
        <v>75.0</v>
      </c>
      <c r="B2348" s="1">
        <v>29.0</v>
      </c>
      <c r="C2348" s="1">
        <v>74.0</v>
      </c>
      <c r="D2348" s="1">
        <v>6.0</v>
      </c>
      <c r="F2348" s="1" t="str">
        <f>LOOKUP(A2348, NPCs!A:A, NPCs!C:C)</f>
        <v>Ancient Warrior</v>
      </c>
      <c r="G2348" s="1" t="str">
        <f>LOOKUP(B2348, Maps!A:A, Maps!B:B)</f>
        <v>The Ancients Dungeon</v>
      </c>
    </row>
    <row r="2349" ht="15.75" customHeight="1">
      <c r="A2349" s="1">
        <v>75.0</v>
      </c>
      <c r="B2349" s="1">
        <v>29.0</v>
      </c>
      <c r="C2349" s="1">
        <v>65.0</v>
      </c>
      <c r="D2349" s="1">
        <v>10.0</v>
      </c>
      <c r="F2349" s="1" t="str">
        <f>LOOKUP(A2349, NPCs!A:A, NPCs!C:C)</f>
        <v>Ancient Warrior</v>
      </c>
      <c r="G2349" s="1" t="str">
        <f>LOOKUP(B2349, Maps!A:A, Maps!B:B)</f>
        <v>The Ancients Dungeon</v>
      </c>
    </row>
    <row r="2350" ht="15.75" customHeight="1">
      <c r="A2350" s="1">
        <v>75.0</v>
      </c>
      <c r="B2350" s="1">
        <v>29.0</v>
      </c>
      <c r="C2350" s="1">
        <v>63.0</v>
      </c>
      <c r="D2350" s="1">
        <v>10.0</v>
      </c>
      <c r="F2350" s="1" t="str">
        <f>LOOKUP(A2350, NPCs!A:A, NPCs!C:C)</f>
        <v>Ancient Warrior</v>
      </c>
      <c r="G2350" s="1" t="str">
        <f>LOOKUP(B2350, Maps!A:A, Maps!B:B)</f>
        <v>The Ancients Dungeon</v>
      </c>
    </row>
    <row r="2351" ht="15.75" customHeight="1">
      <c r="A2351" s="1">
        <v>76.0</v>
      </c>
      <c r="B2351" s="1">
        <v>29.0</v>
      </c>
      <c r="C2351" s="1">
        <v>57.0</v>
      </c>
      <c r="D2351" s="1">
        <v>15.0</v>
      </c>
      <c r="F2351" s="1" t="str">
        <f>LOOKUP(A2351, NPCs!A:A, NPCs!C:C)</f>
        <v>Elite Ancient Warrior</v>
      </c>
      <c r="G2351" s="1" t="str">
        <f>LOOKUP(B2351, Maps!A:A, Maps!B:B)</f>
        <v>The Ancients Dungeon</v>
      </c>
    </row>
    <row r="2352" ht="15.75" customHeight="1">
      <c r="A2352" s="1">
        <v>76.0</v>
      </c>
      <c r="B2352" s="1">
        <v>29.0</v>
      </c>
      <c r="C2352" s="1">
        <v>77.0</v>
      </c>
      <c r="D2352" s="1">
        <v>7.0</v>
      </c>
      <c r="F2352" s="1" t="str">
        <f>LOOKUP(A2352, NPCs!A:A, NPCs!C:C)</f>
        <v>Elite Ancient Warrior</v>
      </c>
      <c r="G2352" s="1" t="str">
        <f>LOOKUP(B2352, Maps!A:A, Maps!B:B)</f>
        <v>The Ancients Dungeon</v>
      </c>
    </row>
    <row r="2353" ht="15.75" customHeight="1">
      <c r="A2353" s="1">
        <v>76.0</v>
      </c>
      <c r="B2353" s="1">
        <v>29.0</v>
      </c>
      <c r="C2353" s="1">
        <v>90.0</v>
      </c>
      <c r="D2353" s="1">
        <v>11.0</v>
      </c>
      <c r="F2353" s="1" t="str">
        <f>LOOKUP(A2353, NPCs!A:A, NPCs!C:C)</f>
        <v>Elite Ancient Warrior</v>
      </c>
      <c r="G2353" s="1" t="str">
        <f>LOOKUP(B2353, Maps!A:A, Maps!B:B)</f>
        <v>The Ancients Dungeon</v>
      </c>
    </row>
    <row r="2354" ht="15.75" customHeight="1">
      <c r="A2354" s="1">
        <v>76.0</v>
      </c>
      <c r="B2354" s="1">
        <v>29.0</v>
      </c>
      <c r="C2354" s="1">
        <v>97.0</v>
      </c>
      <c r="D2354" s="1">
        <v>26.0</v>
      </c>
      <c r="F2354" s="1" t="str">
        <f>LOOKUP(A2354, NPCs!A:A, NPCs!C:C)</f>
        <v>Elite Ancient Warrior</v>
      </c>
      <c r="G2354" s="1" t="str">
        <f>LOOKUP(B2354, Maps!A:A, Maps!B:B)</f>
        <v>The Ancients Dungeon</v>
      </c>
    </row>
    <row r="2355" ht="15.75" customHeight="1">
      <c r="A2355" s="1">
        <v>76.0</v>
      </c>
      <c r="B2355" s="1">
        <v>29.0</v>
      </c>
      <c r="C2355" s="1">
        <v>88.0</v>
      </c>
      <c r="D2355" s="1">
        <v>41.0</v>
      </c>
      <c r="F2355" s="1" t="str">
        <f>LOOKUP(A2355, NPCs!A:A, NPCs!C:C)</f>
        <v>Elite Ancient Warrior</v>
      </c>
      <c r="G2355" s="1" t="str">
        <f>LOOKUP(B2355, Maps!A:A, Maps!B:B)</f>
        <v>The Ancients Dungeon</v>
      </c>
    </row>
    <row r="2356" ht="15.75" customHeight="1">
      <c r="A2356" s="1">
        <v>76.0</v>
      </c>
      <c r="B2356" s="1">
        <v>29.0</v>
      </c>
      <c r="C2356" s="1">
        <v>89.0</v>
      </c>
      <c r="D2356" s="1">
        <v>54.0</v>
      </c>
      <c r="F2356" s="1" t="str">
        <f>LOOKUP(A2356, NPCs!A:A, NPCs!C:C)</f>
        <v>Elite Ancient Warrior</v>
      </c>
      <c r="G2356" s="1" t="str">
        <f>LOOKUP(B2356, Maps!A:A, Maps!B:B)</f>
        <v>The Ancients Dungeon</v>
      </c>
    </row>
    <row r="2357" ht="15.75" customHeight="1">
      <c r="A2357" s="1">
        <v>76.0</v>
      </c>
      <c r="B2357" s="1">
        <v>29.0</v>
      </c>
      <c r="C2357" s="1">
        <v>93.0</v>
      </c>
      <c r="D2357" s="1">
        <v>76.0</v>
      </c>
      <c r="F2357" s="1" t="str">
        <f>LOOKUP(A2357, NPCs!A:A, NPCs!C:C)</f>
        <v>Elite Ancient Warrior</v>
      </c>
      <c r="G2357" s="1" t="str">
        <f>LOOKUP(B2357, Maps!A:A, Maps!B:B)</f>
        <v>The Ancients Dungeon</v>
      </c>
    </row>
    <row r="2358" ht="15.75" customHeight="1">
      <c r="A2358" s="1">
        <v>76.0</v>
      </c>
      <c r="B2358" s="1">
        <v>29.0</v>
      </c>
      <c r="C2358" s="1">
        <v>89.0</v>
      </c>
      <c r="D2358" s="1">
        <v>93.0</v>
      </c>
      <c r="F2358" s="1" t="str">
        <f>LOOKUP(A2358, NPCs!A:A, NPCs!C:C)</f>
        <v>Elite Ancient Warrior</v>
      </c>
      <c r="G2358" s="1" t="str">
        <f>LOOKUP(B2358, Maps!A:A, Maps!B:B)</f>
        <v>The Ancients Dungeon</v>
      </c>
    </row>
    <row r="2359" ht="15.75" customHeight="1">
      <c r="A2359" s="1">
        <v>76.0</v>
      </c>
      <c r="B2359" s="1">
        <v>29.0</v>
      </c>
      <c r="C2359" s="1">
        <v>22.0</v>
      </c>
      <c r="D2359" s="1">
        <v>76.0</v>
      </c>
      <c r="F2359" s="1" t="str">
        <f>LOOKUP(A2359, NPCs!A:A, NPCs!C:C)</f>
        <v>Elite Ancient Warrior</v>
      </c>
      <c r="G2359" s="1" t="str">
        <f>LOOKUP(B2359, Maps!A:A, Maps!B:B)</f>
        <v>The Ancients Dungeon</v>
      </c>
    </row>
    <row r="2360" ht="15.75" customHeight="1">
      <c r="A2360" s="1">
        <v>76.0</v>
      </c>
      <c r="B2360" s="1">
        <v>29.0</v>
      </c>
      <c r="C2360" s="1">
        <v>9.0</v>
      </c>
      <c r="D2360" s="1">
        <v>95.0</v>
      </c>
      <c r="F2360" s="1" t="str">
        <f>LOOKUP(A2360, NPCs!A:A, NPCs!C:C)</f>
        <v>Elite Ancient Warrior</v>
      </c>
      <c r="G2360" s="1" t="str">
        <f>LOOKUP(B2360, Maps!A:A, Maps!B:B)</f>
        <v>The Ancients Dungeon</v>
      </c>
    </row>
    <row r="2361" ht="15.75" customHeight="1">
      <c r="A2361" s="1">
        <v>76.0</v>
      </c>
      <c r="B2361" s="1">
        <v>29.0</v>
      </c>
      <c r="C2361" s="1">
        <v>5.0</v>
      </c>
      <c r="D2361" s="1">
        <v>65.0</v>
      </c>
      <c r="F2361" s="1" t="str">
        <f>LOOKUP(A2361, NPCs!A:A, NPCs!C:C)</f>
        <v>Elite Ancient Warrior</v>
      </c>
      <c r="G2361" s="1" t="str">
        <f>LOOKUP(B2361, Maps!A:A, Maps!B:B)</f>
        <v>The Ancients Dungeon</v>
      </c>
    </row>
    <row r="2362" ht="15.75" customHeight="1">
      <c r="A2362" s="1">
        <v>76.0</v>
      </c>
      <c r="B2362" s="1">
        <v>29.0</v>
      </c>
      <c r="C2362" s="1">
        <v>20.0</v>
      </c>
      <c r="D2362" s="1">
        <v>53.0</v>
      </c>
      <c r="F2362" s="1" t="str">
        <f>LOOKUP(A2362, NPCs!A:A, NPCs!C:C)</f>
        <v>Elite Ancient Warrior</v>
      </c>
      <c r="G2362" s="1" t="str">
        <f>LOOKUP(B2362, Maps!A:A, Maps!B:B)</f>
        <v>The Ancients Dungeon</v>
      </c>
    </row>
    <row r="2363" ht="15.75" customHeight="1">
      <c r="A2363" s="1">
        <v>76.0</v>
      </c>
      <c r="B2363" s="1">
        <v>29.0</v>
      </c>
      <c r="C2363" s="1">
        <v>18.0</v>
      </c>
      <c r="D2363" s="1">
        <v>64.0</v>
      </c>
      <c r="F2363" s="1" t="str">
        <f>LOOKUP(A2363, NPCs!A:A, NPCs!C:C)</f>
        <v>Elite Ancient Warrior</v>
      </c>
      <c r="G2363" s="1" t="str">
        <f>LOOKUP(B2363, Maps!A:A, Maps!B:B)</f>
        <v>The Ancients Dungeon</v>
      </c>
    </row>
    <row r="2364" ht="15.75" customHeight="1">
      <c r="A2364" s="1">
        <v>76.0</v>
      </c>
      <c r="B2364" s="1">
        <v>29.0</v>
      </c>
      <c r="C2364" s="1">
        <v>16.0</v>
      </c>
      <c r="D2364" s="1">
        <v>64.0</v>
      </c>
      <c r="F2364" s="1" t="str">
        <f>LOOKUP(A2364, NPCs!A:A, NPCs!C:C)</f>
        <v>Elite Ancient Warrior</v>
      </c>
      <c r="G2364" s="1" t="str">
        <f>LOOKUP(B2364, Maps!A:A, Maps!B:B)</f>
        <v>The Ancients Dungeon</v>
      </c>
    </row>
    <row r="2365" ht="15.75" customHeight="1">
      <c r="A2365" s="1">
        <v>76.0</v>
      </c>
      <c r="B2365" s="1">
        <v>29.0</v>
      </c>
      <c r="C2365" s="1">
        <v>11.0</v>
      </c>
      <c r="D2365" s="1">
        <v>39.0</v>
      </c>
      <c r="F2365" s="1" t="str">
        <f>LOOKUP(A2365, NPCs!A:A, NPCs!C:C)</f>
        <v>Elite Ancient Warrior</v>
      </c>
      <c r="G2365" s="1" t="str">
        <f>LOOKUP(B2365, Maps!A:A, Maps!B:B)</f>
        <v>The Ancients Dungeon</v>
      </c>
    </row>
    <row r="2366" ht="15.75" customHeight="1">
      <c r="A2366" s="1">
        <v>76.0</v>
      </c>
      <c r="B2366" s="1">
        <v>29.0</v>
      </c>
      <c r="C2366" s="1">
        <v>18.0</v>
      </c>
      <c r="D2366" s="1">
        <v>16.0</v>
      </c>
      <c r="F2366" s="1" t="str">
        <f>LOOKUP(A2366, NPCs!A:A, NPCs!C:C)</f>
        <v>Elite Ancient Warrior</v>
      </c>
      <c r="G2366" s="1" t="str">
        <f>LOOKUP(B2366, Maps!A:A, Maps!B:B)</f>
        <v>The Ancients Dungeon</v>
      </c>
    </row>
    <row r="2367" ht="15.75" customHeight="1">
      <c r="A2367" s="1">
        <v>76.0</v>
      </c>
      <c r="B2367" s="1">
        <v>29.0</v>
      </c>
      <c r="C2367" s="1">
        <v>28.0</v>
      </c>
      <c r="D2367" s="1">
        <v>24.0</v>
      </c>
      <c r="F2367" s="1" t="str">
        <f>LOOKUP(A2367, NPCs!A:A, NPCs!C:C)</f>
        <v>Elite Ancient Warrior</v>
      </c>
      <c r="G2367" s="1" t="str">
        <f>LOOKUP(B2367, Maps!A:A, Maps!B:B)</f>
        <v>The Ancients Dungeon</v>
      </c>
    </row>
    <row r="2368" ht="15.75" customHeight="1">
      <c r="A2368" s="1">
        <v>76.0</v>
      </c>
      <c r="B2368" s="1">
        <v>29.0</v>
      </c>
      <c r="C2368" s="1">
        <v>35.0</v>
      </c>
      <c r="D2368" s="1">
        <v>16.0</v>
      </c>
      <c r="F2368" s="1" t="str">
        <f>LOOKUP(A2368, NPCs!A:A, NPCs!C:C)</f>
        <v>Elite Ancient Warrior</v>
      </c>
      <c r="G2368" s="1" t="str">
        <f>LOOKUP(B2368, Maps!A:A, Maps!B:B)</f>
        <v>The Ancients Dungeon</v>
      </c>
    </row>
    <row r="2369" ht="15.75" customHeight="1">
      <c r="A2369" s="1">
        <v>76.0</v>
      </c>
      <c r="B2369" s="1">
        <v>29.0</v>
      </c>
      <c r="C2369" s="1">
        <v>45.0</v>
      </c>
      <c r="D2369" s="1">
        <v>6.0</v>
      </c>
      <c r="F2369" s="1" t="str">
        <f>LOOKUP(A2369, NPCs!A:A, NPCs!C:C)</f>
        <v>Elite Ancient Warrior</v>
      </c>
      <c r="G2369" s="1" t="str">
        <f>LOOKUP(B2369, Maps!A:A, Maps!B:B)</f>
        <v>The Ancients Dungeon</v>
      </c>
    </row>
    <row r="2370" ht="15.75" customHeight="1">
      <c r="A2370" s="1">
        <v>77.0</v>
      </c>
      <c r="B2370" s="1">
        <v>29.0</v>
      </c>
      <c r="C2370" s="1">
        <v>80.0</v>
      </c>
      <c r="D2370" s="1">
        <v>28.0</v>
      </c>
      <c r="F2370" s="1" t="str">
        <f>LOOKUP(A2370, NPCs!A:A, NPCs!C:C)</f>
        <v>Comissioned Blacksmith</v>
      </c>
      <c r="G2370" s="1" t="str">
        <f>LOOKUP(B2370, Maps!A:A, Maps!B:B)</f>
        <v>The Ancients Dungeon</v>
      </c>
    </row>
    <row r="2371" ht="15.75" customHeight="1">
      <c r="A2371" s="1">
        <v>77.0</v>
      </c>
      <c r="B2371" s="1">
        <v>29.0</v>
      </c>
      <c r="C2371" s="1">
        <v>94.0</v>
      </c>
      <c r="D2371" s="1">
        <v>43.0</v>
      </c>
      <c r="F2371" s="1" t="str">
        <f>LOOKUP(A2371, NPCs!A:A, NPCs!C:C)</f>
        <v>Comissioned Blacksmith</v>
      </c>
      <c r="G2371" s="1" t="str">
        <f>LOOKUP(B2371, Maps!A:A, Maps!B:B)</f>
        <v>The Ancients Dungeon</v>
      </c>
    </row>
    <row r="2372" ht="15.75" customHeight="1">
      <c r="A2372" s="1">
        <v>77.0</v>
      </c>
      <c r="B2372" s="1">
        <v>29.0</v>
      </c>
      <c r="C2372" s="1">
        <v>94.0</v>
      </c>
      <c r="D2372" s="1">
        <v>90.0</v>
      </c>
      <c r="F2372" s="1" t="str">
        <f>LOOKUP(A2372, NPCs!A:A, NPCs!C:C)</f>
        <v>Comissioned Blacksmith</v>
      </c>
      <c r="G2372" s="1" t="str">
        <f>LOOKUP(B2372, Maps!A:A, Maps!B:B)</f>
        <v>The Ancients Dungeon</v>
      </c>
    </row>
    <row r="2373" ht="15.75" customHeight="1">
      <c r="A2373" s="1">
        <v>77.0</v>
      </c>
      <c r="B2373" s="1">
        <v>29.0</v>
      </c>
      <c r="C2373" s="1">
        <v>65.0</v>
      </c>
      <c r="D2373" s="1">
        <v>90.0</v>
      </c>
      <c r="F2373" s="1" t="str">
        <f>LOOKUP(A2373, NPCs!A:A, NPCs!C:C)</f>
        <v>Comissioned Blacksmith</v>
      </c>
      <c r="G2373" s="1" t="str">
        <f>LOOKUP(B2373, Maps!A:A, Maps!B:B)</f>
        <v>The Ancients Dungeon</v>
      </c>
    </row>
    <row r="2374" ht="15.75" customHeight="1">
      <c r="A2374" s="1">
        <v>77.0</v>
      </c>
      <c r="B2374" s="1">
        <v>29.0</v>
      </c>
      <c r="C2374" s="1">
        <v>2.0</v>
      </c>
      <c r="D2374" s="1">
        <v>70.0</v>
      </c>
      <c r="F2374" s="1" t="str">
        <f>LOOKUP(A2374, NPCs!A:A, NPCs!C:C)</f>
        <v>Comissioned Blacksmith</v>
      </c>
      <c r="G2374" s="1" t="str">
        <f>LOOKUP(B2374, Maps!A:A, Maps!B:B)</f>
        <v>The Ancients Dungeon</v>
      </c>
    </row>
    <row r="2375" ht="15.75" customHeight="1">
      <c r="A2375" s="1">
        <v>77.0</v>
      </c>
      <c r="B2375" s="1">
        <v>29.0</v>
      </c>
      <c r="C2375" s="1">
        <v>4.0</v>
      </c>
      <c r="D2375" s="1">
        <v>53.0</v>
      </c>
      <c r="F2375" s="1" t="str">
        <f>LOOKUP(A2375, NPCs!A:A, NPCs!C:C)</f>
        <v>Comissioned Blacksmith</v>
      </c>
      <c r="G2375" s="1" t="str">
        <f>LOOKUP(B2375, Maps!A:A, Maps!B:B)</f>
        <v>The Ancients Dungeon</v>
      </c>
    </row>
    <row r="2376" ht="15.75" customHeight="1">
      <c r="A2376" s="1">
        <v>78.0</v>
      </c>
      <c r="B2376" s="1">
        <v>29.0</v>
      </c>
      <c r="C2376" s="1">
        <v>82.0</v>
      </c>
      <c r="D2376" s="1">
        <v>57.0</v>
      </c>
      <c r="F2376" s="1" t="str">
        <f>LOOKUP(A2376, NPCs!A:A, NPCs!C:C)</f>
        <v>Comissioned Tailor</v>
      </c>
      <c r="G2376" s="1" t="str">
        <f>LOOKUP(B2376, Maps!A:A, Maps!B:B)</f>
        <v>The Ancients Dungeon</v>
      </c>
    </row>
    <row r="2377" ht="15.75" customHeight="1">
      <c r="A2377" s="1">
        <v>78.0</v>
      </c>
      <c r="B2377" s="1">
        <v>29.0</v>
      </c>
      <c r="C2377" s="1">
        <v>77.0</v>
      </c>
      <c r="D2377" s="1">
        <v>90.0</v>
      </c>
      <c r="F2377" s="1" t="str">
        <f>LOOKUP(A2377, NPCs!A:A, NPCs!C:C)</f>
        <v>Comissioned Tailor</v>
      </c>
      <c r="G2377" s="1" t="str">
        <f>LOOKUP(B2377, Maps!A:A, Maps!B:B)</f>
        <v>The Ancients Dungeon</v>
      </c>
    </row>
    <row r="2378" ht="15.75" customHeight="1">
      <c r="A2378" s="1">
        <v>78.0</v>
      </c>
      <c r="B2378" s="1">
        <v>29.0</v>
      </c>
      <c r="C2378" s="1">
        <v>14.0</v>
      </c>
      <c r="D2378" s="1">
        <v>81.0</v>
      </c>
      <c r="F2378" s="1" t="str">
        <f>LOOKUP(A2378, NPCs!A:A, NPCs!C:C)</f>
        <v>Comissioned Tailor</v>
      </c>
      <c r="G2378" s="1" t="str">
        <f>LOOKUP(B2378, Maps!A:A, Maps!B:B)</f>
        <v>The Ancients Dungeon</v>
      </c>
    </row>
    <row r="2379" ht="15.75" customHeight="1">
      <c r="A2379" s="1">
        <v>78.0</v>
      </c>
      <c r="B2379" s="1">
        <v>29.0</v>
      </c>
      <c r="C2379" s="1">
        <v>16.0</v>
      </c>
      <c r="D2379" s="1">
        <v>54.0</v>
      </c>
      <c r="F2379" s="1" t="str">
        <f>LOOKUP(A2379, NPCs!A:A, NPCs!C:C)</f>
        <v>Comissioned Tailor</v>
      </c>
      <c r="G2379" s="1" t="str">
        <f>LOOKUP(B2379, Maps!A:A, Maps!B:B)</f>
        <v>The Ancients Dungeon</v>
      </c>
    </row>
    <row r="2380" ht="15.75" customHeight="1">
      <c r="A2380" s="1">
        <v>78.0</v>
      </c>
      <c r="B2380" s="1">
        <v>29.0</v>
      </c>
      <c r="C2380" s="1">
        <v>17.0</v>
      </c>
      <c r="D2380" s="1">
        <v>66.0</v>
      </c>
      <c r="F2380" s="1" t="str">
        <f>LOOKUP(A2380, NPCs!A:A, NPCs!C:C)</f>
        <v>Comissioned Tailor</v>
      </c>
      <c r="G2380" s="1" t="str">
        <f>LOOKUP(B2380, Maps!A:A, Maps!B:B)</f>
        <v>The Ancients Dungeon</v>
      </c>
    </row>
    <row r="2381" ht="15.75" customHeight="1">
      <c r="A2381" s="1">
        <v>78.0</v>
      </c>
      <c r="B2381" s="1">
        <v>29.0</v>
      </c>
      <c r="C2381" s="1">
        <v>10.0</v>
      </c>
      <c r="D2381" s="1">
        <v>36.0</v>
      </c>
      <c r="F2381" s="1" t="str">
        <f>LOOKUP(A2381, NPCs!A:A, NPCs!C:C)</f>
        <v>Comissioned Tailor</v>
      </c>
      <c r="G2381" s="1" t="str">
        <f>LOOKUP(B2381, Maps!A:A, Maps!B:B)</f>
        <v>The Ancients Dungeon</v>
      </c>
    </row>
    <row r="2382" ht="15.75" customHeight="1">
      <c r="A2382" s="1">
        <v>79.0</v>
      </c>
      <c r="B2382" s="1">
        <v>29.0</v>
      </c>
      <c r="C2382" s="1">
        <v>92.0</v>
      </c>
      <c r="D2382" s="1">
        <v>70.0</v>
      </c>
      <c r="F2382" s="1" t="str">
        <f>LOOKUP(A2382, NPCs!A:A, NPCs!C:C)</f>
        <v>Dalph Von'Ownu</v>
      </c>
      <c r="G2382" s="1" t="str">
        <f>LOOKUP(B2382, Maps!A:A, Maps!B:B)</f>
        <v>The Ancients Dungeon</v>
      </c>
    </row>
    <row r="2383" ht="15.75" customHeight="1">
      <c r="A2383" s="1">
        <v>80.0</v>
      </c>
      <c r="B2383" s="1">
        <v>29.0</v>
      </c>
      <c r="C2383" s="1">
        <v>6.0</v>
      </c>
      <c r="D2383" s="1">
        <v>93.0</v>
      </c>
      <c r="F2383" s="1" t="str">
        <f>LOOKUP(A2383, NPCs!A:A, NPCs!C:C)</f>
        <v>Hairy Fairy Princess</v>
      </c>
      <c r="G2383" s="1" t="str">
        <f>LOOKUP(B2383, Maps!A:A, Maps!B:B)</f>
        <v>The Ancients Dungeon</v>
      </c>
    </row>
    <row r="2384" ht="15.75" customHeight="1">
      <c r="A2384" s="1">
        <v>81.0</v>
      </c>
      <c r="B2384" s="1">
        <v>29.0</v>
      </c>
      <c r="C2384" s="1">
        <v>89.0</v>
      </c>
      <c r="D2384" s="1">
        <v>7.0</v>
      </c>
      <c r="F2384" s="1" t="str">
        <f>LOOKUP(A2384, NPCs!A:A, NPCs!C:C)</f>
        <v>Lady Slither</v>
      </c>
      <c r="G2384" s="1" t="str">
        <f>LOOKUP(B2384, Maps!A:A, Maps!B:B)</f>
        <v>The Ancients Dungeon</v>
      </c>
    </row>
    <row r="2385" ht="15.75" customHeight="1">
      <c r="A2385" s="1">
        <v>82.0</v>
      </c>
      <c r="B2385" s="1">
        <v>29.0</v>
      </c>
      <c r="C2385" s="1">
        <v>91.0</v>
      </c>
      <c r="D2385" s="1">
        <v>7.0</v>
      </c>
      <c r="F2385" s="1" t="str">
        <f>LOOKUP(A2385, NPCs!A:A, NPCs!C:C)</f>
        <v>Sir Insidious</v>
      </c>
      <c r="G2385" s="1" t="str">
        <f>LOOKUP(B2385, Maps!A:A, Maps!B:B)</f>
        <v>The Ancients Dungeon</v>
      </c>
    </row>
    <row r="2386" ht="15.75" customHeight="1">
      <c r="A2386" s="1">
        <v>83.0</v>
      </c>
      <c r="B2386" s="1">
        <v>29.0</v>
      </c>
      <c r="C2386" s="1">
        <v>8.0</v>
      </c>
      <c r="D2386" s="1">
        <v>9.0</v>
      </c>
      <c r="F2386" s="1" t="str">
        <f>LOOKUP(A2386, NPCs!A:A, NPCs!C:C)</f>
        <v>Ztwel Tahp</v>
      </c>
      <c r="G2386" s="1" t="str">
        <f>LOOKUP(B2386, Maps!A:A, Maps!B:B)</f>
        <v>The Ancients Dungeon</v>
      </c>
    </row>
    <row r="2387" ht="15.75" customHeight="1">
      <c r="A2387" s="1">
        <v>84.0</v>
      </c>
      <c r="B2387" s="1">
        <v>36.0</v>
      </c>
      <c r="C2387" s="1">
        <v>38.0</v>
      </c>
      <c r="D2387" s="1">
        <v>35.0</v>
      </c>
      <c r="F2387" s="1" t="str">
        <f>LOOKUP(A2387, NPCs!A:A, NPCs!C:C)</f>
        <v>Hair Dye Guy</v>
      </c>
      <c r="G2387" s="1" t="str">
        <f>LOOKUP(B2387, Maps!A:A, Maps!B:B)</f>
        <v>Shops</v>
      </c>
    </row>
    <row r="2388" ht="15.75" customHeight="1">
      <c r="A2388" s="1">
        <v>85.0</v>
      </c>
      <c r="B2388" s="1">
        <v>36.0</v>
      </c>
      <c r="C2388" s="1">
        <v>33.0</v>
      </c>
      <c r="D2388" s="1">
        <v>38.0</v>
      </c>
      <c r="F2388" s="1" t="str">
        <f>LOOKUP(A2388, NPCs!A:A, NPCs!C:C)</f>
        <v>Hair 1</v>
      </c>
      <c r="G2388" s="1" t="str">
        <f>LOOKUP(B2388, Maps!A:A, Maps!B:B)</f>
        <v>Shops</v>
      </c>
    </row>
    <row r="2389" ht="15.75" customHeight="1">
      <c r="A2389" s="1">
        <v>86.0</v>
      </c>
      <c r="B2389" s="1">
        <v>36.0</v>
      </c>
      <c r="C2389" s="1">
        <v>34.0</v>
      </c>
      <c r="D2389" s="1">
        <v>38.0</v>
      </c>
      <c r="F2389" s="1" t="str">
        <f>LOOKUP(A2389, NPCs!A:A, NPCs!C:C)</f>
        <v>Hair 2</v>
      </c>
      <c r="G2389" s="1" t="str">
        <f>LOOKUP(B2389, Maps!A:A, Maps!B:B)</f>
        <v>Shops</v>
      </c>
    </row>
    <row r="2390" ht="15.75" customHeight="1">
      <c r="A2390" s="1">
        <v>87.0</v>
      </c>
      <c r="B2390" s="1">
        <v>36.0</v>
      </c>
      <c r="C2390" s="1">
        <v>35.0</v>
      </c>
      <c r="D2390" s="1">
        <v>38.0</v>
      </c>
      <c r="F2390" s="1" t="str">
        <f>LOOKUP(A2390, NPCs!A:A, NPCs!C:C)</f>
        <v>Hair 3</v>
      </c>
      <c r="G2390" s="1" t="str">
        <f>LOOKUP(B2390, Maps!A:A, Maps!B:B)</f>
        <v>Shops</v>
      </c>
    </row>
    <row r="2391" ht="15.75" customHeight="1">
      <c r="A2391" s="1">
        <v>88.0</v>
      </c>
      <c r="B2391" s="1">
        <v>36.0</v>
      </c>
      <c r="C2391" s="1">
        <v>36.0</v>
      </c>
      <c r="D2391" s="1">
        <v>38.0</v>
      </c>
      <c r="F2391" s="1" t="str">
        <f>LOOKUP(A2391, NPCs!A:A, NPCs!C:C)</f>
        <v>Hair 4</v>
      </c>
      <c r="G2391" s="1" t="str">
        <f>LOOKUP(B2391, Maps!A:A, Maps!B:B)</f>
        <v>Shops</v>
      </c>
    </row>
    <row r="2392" ht="15.75" customHeight="1">
      <c r="A2392" s="1">
        <v>89.0</v>
      </c>
      <c r="B2392" s="1">
        <v>36.0</v>
      </c>
      <c r="C2392" s="1">
        <v>40.0</v>
      </c>
      <c r="D2392" s="1">
        <v>38.0</v>
      </c>
      <c r="F2392" s="1" t="str">
        <f>LOOKUP(A2392, NPCs!A:A, NPCs!C:C)</f>
        <v>Hair 5</v>
      </c>
      <c r="G2392" s="1" t="str">
        <f>LOOKUP(B2392, Maps!A:A, Maps!B:B)</f>
        <v>Shops</v>
      </c>
    </row>
    <row r="2393" ht="15.75" customHeight="1">
      <c r="A2393" s="1">
        <v>90.0</v>
      </c>
      <c r="B2393" s="1">
        <v>36.0</v>
      </c>
      <c r="C2393" s="1">
        <v>41.0</v>
      </c>
      <c r="D2393" s="1">
        <v>38.0</v>
      </c>
      <c r="F2393" s="1" t="str">
        <f>LOOKUP(A2393, NPCs!A:A, NPCs!C:C)</f>
        <v>Hair 6</v>
      </c>
      <c r="G2393" s="1" t="str">
        <f>LOOKUP(B2393, Maps!A:A, Maps!B:B)</f>
        <v>Shops</v>
      </c>
    </row>
    <row r="2394" ht="15.75" customHeight="1">
      <c r="A2394" s="1">
        <v>91.0</v>
      </c>
      <c r="B2394" s="1">
        <v>36.0</v>
      </c>
      <c r="C2394" s="1">
        <v>42.0</v>
      </c>
      <c r="D2394" s="1">
        <v>38.0</v>
      </c>
      <c r="F2394" s="1" t="str">
        <f>LOOKUP(A2394, NPCs!A:A, NPCs!C:C)</f>
        <v>Hair 7</v>
      </c>
      <c r="G2394" s="1" t="str">
        <f>LOOKUP(B2394, Maps!A:A, Maps!B:B)</f>
        <v>Shops</v>
      </c>
    </row>
    <row r="2395" ht="15.75" customHeight="1">
      <c r="A2395" s="1">
        <v>92.0</v>
      </c>
      <c r="B2395" s="1">
        <v>36.0</v>
      </c>
      <c r="C2395" s="1">
        <v>33.0</v>
      </c>
      <c r="D2395" s="1">
        <v>42.0</v>
      </c>
      <c r="F2395" s="1" t="str">
        <f>LOOKUP(A2395, NPCs!A:A, NPCs!C:C)</f>
        <v>Face 1</v>
      </c>
      <c r="G2395" s="1" t="str">
        <f>LOOKUP(B2395, Maps!A:A, Maps!B:B)</f>
        <v>Shops</v>
      </c>
    </row>
    <row r="2396" ht="15.75" customHeight="1">
      <c r="A2396" s="1">
        <v>93.0</v>
      </c>
      <c r="B2396" s="1">
        <v>36.0</v>
      </c>
      <c r="C2396" s="1">
        <v>34.0</v>
      </c>
      <c r="D2396" s="1">
        <v>42.0</v>
      </c>
      <c r="F2396" s="1" t="str">
        <f>LOOKUP(A2396, NPCs!A:A, NPCs!C:C)</f>
        <v>Face 2</v>
      </c>
      <c r="G2396" s="1" t="str">
        <f>LOOKUP(B2396, Maps!A:A, Maps!B:B)</f>
        <v>Shops</v>
      </c>
    </row>
    <row r="2397" ht="15.75" customHeight="1">
      <c r="A2397" s="1">
        <v>94.0</v>
      </c>
      <c r="B2397" s="1">
        <v>36.0</v>
      </c>
      <c r="C2397" s="1">
        <v>35.0</v>
      </c>
      <c r="D2397" s="1">
        <v>42.0</v>
      </c>
      <c r="F2397" s="1" t="str">
        <f>LOOKUP(A2397, NPCs!A:A, NPCs!C:C)</f>
        <v>Face 3</v>
      </c>
      <c r="G2397" s="1" t="str">
        <f>LOOKUP(B2397, Maps!A:A, Maps!B:B)</f>
        <v>Shops</v>
      </c>
    </row>
    <row r="2398" ht="15.75" customHeight="1">
      <c r="A2398" s="1">
        <v>95.0</v>
      </c>
      <c r="B2398" s="1">
        <v>36.0</v>
      </c>
      <c r="C2398" s="1">
        <v>36.0</v>
      </c>
      <c r="D2398" s="1">
        <v>42.0</v>
      </c>
      <c r="F2398" s="1" t="str">
        <f>LOOKUP(A2398, NPCs!A:A, NPCs!C:C)</f>
        <v>Face 4</v>
      </c>
      <c r="G2398" s="1" t="str">
        <f>LOOKUP(B2398, Maps!A:A, Maps!B:B)</f>
        <v>Shops</v>
      </c>
    </row>
    <row r="2399" ht="15.75" customHeight="1">
      <c r="A2399" s="1">
        <v>96.0</v>
      </c>
      <c r="B2399" s="1">
        <v>36.0</v>
      </c>
      <c r="C2399" s="1">
        <v>33.0</v>
      </c>
      <c r="D2399" s="1">
        <v>35.0</v>
      </c>
      <c r="F2399" s="1" t="str">
        <f>LOOKUP(A2399, NPCs!A:A, NPCs!C:C)</f>
        <v>Male</v>
      </c>
      <c r="G2399" s="1" t="str">
        <f>LOOKUP(B2399, Maps!A:A, Maps!B:B)</f>
        <v>Shops</v>
      </c>
    </row>
    <row r="2400" ht="15.75" customHeight="1">
      <c r="A2400" s="1">
        <v>97.0</v>
      </c>
      <c r="B2400" s="1">
        <v>36.0</v>
      </c>
      <c r="C2400" s="1">
        <v>34.0</v>
      </c>
      <c r="D2400" s="1">
        <v>35.0</v>
      </c>
      <c r="F2400" s="1" t="str">
        <f>LOOKUP(A2400, NPCs!A:A, NPCs!C:C)</f>
        <v>Female</v>
      </c>
      <c r="G2400" s="1" t="str">
        <f>LOOKUP(B2400, Maps!A:A, Maps!B:B)</f>
        <v>Shops</v>
      </c>
    </row>
    <row r="2401" ht="15.75" customHeight="1">
      <c r="A2401" s="1">
        <v>98.0</v>
      </c>
      <c r="B2401" s="1">
        <v>36.0</v>
      </c>
      <c r="C2401" s="1">
        <v>7.0</v>
      </c>
      <c r="D2401" s="1">
        <v>66.0</v>
      </c>
      <c r="F2401" s="1" t="str">
        <f>LOOKUP(A2401, NPCs!A:A, NPCs!C:C)</f>
        <v>Magus Trainer</v>
      </c>
      <c r="G2401" s="1" t="str">
        <f>LOOKUP(B2401, Maps!A:A, Maps!B:B)</f>
        <v>Shops</v>
      </c>
    </row>
    <row r="2402" ht="15.75" customHeight="1">
      <c r="A2402" s="1">
        <v>99.0</v>
      </c>
      <c r="B2402" s="1">
        <v>36.0</v>
      </c>
      <c r="C2402" s="1">
        <v>35.0</v>
      </c>
      <c r="D2402" s="1">
        <v>94.0</v>
      </c>
      <c r="F2402" s="1" t="str">
        <f>LOOKUP(A2402, NPCs!A:A, NPCs!C:C)</f>
        <v>Priest Trainer</v>
      </c>
      <c r="G2402" s="1" t="str">
        <f>LOOKUP(B2402, Maps!A:A, Maps!B:B)</f>
        <v>Shops</v>
      </c>
    </row>
    <row r="2403" ht="15.75" customHeight="1">
      <c r="A2403" s="1">
        <v>100.0</v>
      </c>
      <c r="B2403" s="1">
        <v>36.0</v>
      </c>
      <c r="C2403" s="1">
        <v>84.0</v>
      </c>
      <c r="D2403" s="1">
        <v>6.0</v>
      </c>
      <c r="F2403" s="1" t="str">
        <f>LOOKUP(A2403, NPCs!A:A, NPCs!C:C)</f>
        <v>Potion Guy</v>
      </c>
      <c r="G2403" s="1" t="str">
        <f>LOOKUP(B2403, Maps!A:A, Maps!B:B)</f>
        <v>Shops</v>
      </c>
    </row>
    <row r="2404" ht="15.75" customHeight="1">
      <c r="A2404" s="1">
        <v>101.0</v>
      </c>
      <c r="B2404" s="1">
        <v>36.0</v>
      </c>
      <c r="C2404" s="1">
        <v>4.0</v>
      </c>
      <c r="D2404" s="1">
        <v>92.0</v>
      </c>
      <c r="F2404" s="1" t="str">
        <f>LOOKUP(A2404, NPCs!A:A, NPCs!C:C)</f>
        <v>Bronze Armor Guy</v>
      </c>
      <c r="G2404" s="1" t="str">
        <f>LOOKUP(B2404, Maps!A:A, Maps!B:B)</f>
        <v>Shops</v>
      </c>
    </row>
    <row r="2405" ht="15.75" customHeight="1">
      <c r="A2405" s="1">
        <v>102.0</v>
      </c>
      <c r="B2405" s="1">
        <v>36.0</v>
      </c>
      <c r="C2405" s="1">
        <v>7.0</v>
      </c>
      <c r="D2405" s="1">
        <v>92.0</v>
      </c>
      <c r="F2405" s="1" t="str">
        <f>LOOKUP(A2405, NPCs!A:A, NPCs!C:C)</f>
        <v>Iron Armor Guy</v>
      </c>
      <c r="G2405" s="1" t="str">
        <f>LOOKUP(B2405, Maps!A:A, Maps!B:B)</f>
        <v>Shops</v>
      </c>
    </row>
    <row r="2406" ht="15.75" customHeight="1">
      <c r="A2406" s="1">
        <v>103.0</v>
      </c>
      <c r="B2406" s="1">
        <v>36.0</v>
      </c>
      <c r="C2406" s="1">
        <v>9.0</v>
      </c>
      <c r="D2406" s="1">
        <v>92.0</v>
      </c>
      <c r="F2406" s="1" t="str">
        <f>LOOKUP(A2406, NPCs!A:A, NPCs!C:C)</f>
        <v>Steel Armor Guy</v>
      </c>
      <c r="G2406" s="1" t="str">
        <f>LOOKUP(B2406, Maps!A:A, Maps!B:B)</f>
        <v>Shops</v>
      </c>
    </row>
    <row r="2407" ht="15.75" customHeight="1">
      <c r="A2407" s="1">
        <v>104.0</v>
      </c>
      <c r="B2407" s="1">
        <v>36.0</v>
      </c>
      <c r="C2407" s="1">
        <v>5.0</v>
      </c>
      <c r="D2407" s="1">
        <v>37.0</v>
      </c>
      <c r="F2407" s="1" t="str">
        <f>LOOKUP(A2407, NPCs!A:A, NPCs!C:C)</f>
        <v>Shield Guy</v>
      </c>
      <c r="G2407" s="1" t="str">
        <f>LOOKUP(B2407, Maps!A:A, Maps!B:B)</f>
        <v>Shops</v>
      </c>
    </row>
    <row r="2408" ht="15.75" customHeight="1">
      <c r="A2408" s="1">
        <v>105.0</v>
      </c>
      <c r="B2408" s="1">
        <v>36.0</v>
      </c>
      <c r="C2408" s="1">
        <v>8.0</v>
      </c>
      <c r="D2408" s="1">
        <v>37.0</v>
      </c>
      <c r="F2408" s="1" t="str">
        <f>LOOKUP(A2408, NPCs!A:A, NPCs!C:C)</f>
        <v>Weapon Guy</v>
      </c>
      <c r="G2408" s="1" t="str">
        <f>LOOKUP(B2408, Maps!A:A, Maps!B:B)</f>
        <v>Shops</v>
      </c>
    </row>
    <row r="2409" ht="15.75" customHeight="1">
      <c r="A2409" s="1">
        <v>106.0</v>
      </c>
      <c r="B2409" s="1">
        <v>36.0</v>
      </c>
      <c r="C2409" s="1">
        <v>56.0</v>
      </c>
      <c r="D2409" s="1">
        <v>5.0</v>
      </c>
      <c r="F2409" s="1" t="str">
        <f>LOOKUP(A2409, NPCs!A:A, NPCs!C:C)</f>
        <v>Cloth Armor Guy</v>
      </c>
      <c r="G2409" s="1" t="str">
        <f>LOOKUP(B2409, Maps!A:A, Maps!B:B)</f>
        <v>Shops</v>
      </c>
    </row>
    <row r="2410" ht="15.75" customHeight="1">
      <c r="A2410" s="1">
        <v>107.0</v>
      </c>
      <c r="B2410" s="1">
        <v>36.0</v>
      </c>
      <c r="C2410" s="1">
        <v>57.0</v>
      </c>
      <c r="D2410" s="1">
        <v>5.0</v>
      </c>
      <c r="F2410" s="1" t="str">
        <f>LOOKUP(A2410, NPCs!A:A, NPCs!C:C)</f>
        <v>Leather Armor Guy</v>
      </c>
      <c r="G2410" s="1" t="str">
        <f>LOOKUP(B2410, Maps!A:A, Maps!B:B)</f>
        <v>Shops</v>
      </c>
    </row>
    <row r="2411" ht="15.75" customHeight="1">
      <c r="A2411" s="1">
        <v>108.0</v>
      </c>
      <c r="B2411" s="1">
        <v>36.0</v>
      </c>
      <c r="C2411" s="1">
        <v>59.0</v>
      </c>
      <c r="D2411" s="1">
        <v>5.0</v>
      </c>
      <c r="F2411" s="1" t="str">
        <f>LOOKUP(A2411, NPCs!A:A, NPCs!C:C)</f>
        <v>Silk Armor Guy</v>
      </c>
      <c r="G2411" s="1" t="str">
        <f>LOOKUP(B2411, Maps!A:A, Maps!B:B)</f>
        <v>Shops</v>
      </c>
    </row>
    <row r="2412" ht="15.75" customHeight="1">
      <c r="A2412" s="1">
        <v>114.0</v>
      </c>
      <c r="B2412" s="1">
        <v>17.0</v>
      </c>
      <c r="C2412" s="1">
        <v>8.0</v>
      </c>
      <c r="D2412" s="1">
        <v>82.0</v>
      </c>
      <c r="F2412" s="1" t="str">
        <f>LOOKUP(A2412, NPCs!A:A, NPCs!C:C)</f>
        <v>Melty</v>
      </c>
      <c r="G2412" s="1" t="str">
        <f>LOOKUP(B2412, Maps!A:A, Maps!B:B)</f>
        <v>Northern Arctic Lands</v>
      </c>
    </row>
    <row r="2413" ht="15.75" customHeight="1">
      <c r="A2413" s="1">
        <v>114.0</v>
      </c>
      <c r="B2413" s="1">
        <v>17.0</v>
      </c>
      <c r="C2413" s="1">
        <v>33.0</v>
      </c>
      <c r="D2413" s="1">
        <v>90.0</v>
      </c>
      <c r="F2413" s="1" t="str">
        <f>LOOKUP(A2413, NPCs!A:A, NPCs!C:C)</f>
        <v>Melty</v>
      </c>
      <c r="G2413" s="1" t="str">
        <f>LOOKUP(B2413, Maps!A:A, Maps!B:B)</f>
        <v>Northern Arctic Lands</v>
      </c>
    </row>
    <row r="2414" ht="15.75" customHeight="1">
      <c r="A2414" s="1">
        <v>114.0</v>
      </c>
      <c r="B2414" s="1">
        <v>17.0</v>
      </c>
      <c r="C2414" s="1">
        <v>25.0</v>
      </c>
      <c r="D2414" s="1">
        <v>82.0</v>
      </c>
      <c r="F2414" s="1" t="str">
        <f>LOOKUP(A2414, NPCs!A:A, NPCs!C:C)</f>
        <v>Melty</v>
      </c>
      <c r="G2414" s="1" t="str">
        <f>LOOKUP(B2414, Maps!A:A, Maps!B:B)</f>
        <v>Northern Arctic Lands</v>
      </c>
    </row>
    <row r="2415" ht="15.75" customHeight="1">
      <c r="A2415" s="1">
        <v>114.0</v>
      </c>
      <c r="B2415" s="1">
        <v>17.0</v>
      </c>
      <c r="C2415" s="1">
        <v>45.0</v>
      </c>
      <c r="D2415" s="1">
        <v>92.0</v>
      </c>
      <c r="F2415" s="1" t="str">
        <f>LOOKUP(A2415, NPCs!A:A, NPCs!C:C)</f>
        <v>Melty</v>
      </c>
      <c r="G2415" s="1" t="str">
        <f>LOOKUP(B2415, Maps!A:A, Maps!B:B)</f>
        <v>Northern Arctic Lands</v>
      </c>
    </row>
    <row r="2416" ht="15.75" customHeight="1">
      <c r="A2416" s="1">
        <v>114.0</v>
      </c>
      <c r="B2416" s="1">
        <v>17.0</v>
      </c>
      <c r="C2416" s="1">
        <v>45.0</v>
      </c>
      <c r="D2416" s="1">
        <v>88.0</v>
      </c>
      <c r="F2416" s="1" t="str">
        <f>LOOKUP(A2416, NPCs!A:A, NPCs!C:C)</f>
        <v>Melty</v>
      </c>
      <c r="G2416" s="1" t="str">
        <f>LOOKUP(B2416, Maps!A:A, Maps!B:B)</f>
        <v>Northern Arctic Lands</v>
      </c>
    </row>
    <row r="2417" ht="15.75" customHeight="1">
      <c r="A2417" s="1">
        <v>114.0</v>
      </c>
      <c r="B2417" s="1">
        <v>17.0</v>
      </c>
      <c r="C2417" s="1">
        <v>53.0</v>
      </c>
      <c r="D2417" s="1">
        <v>88.0</v>
      </c>
      <c r="F2417" s="1" t="str">
        <f>LOOKUP(A2417, NPCs!A:A, NPCs!C:C)</f>
        <v>Melty</v>
      </c>
      <c r="G2417" s="1" t="str">
        <f>LOOKUP(B2417, Maps!A:A, Maps!B:B)</f>
        <v>Northern Arctic Lands</v>
      </c>
    </row>
    <row r="2418" ht="15.75" customHeight="1">
      <c r="A2418" s="1">
        <v>114.0</v>
      </c>
      <c r="B2418" s="1">
        <v>17.0</v>
      </c>
      <c r="C2418" s="1">
        <v>51.0</v>
      </c>
      <c r="D2418" s="1">
        <v>77.0</v>
      </c>
      <c r="F2418" s="1" t="str">
        <f>LOOKUP(A2418, NPCs!A:A, NPCs!C:C)</f>
        <v>Melty</v>
      </c>
      <c r="G2418" s="1" t="str">
        <f>LOOKUP(B2418, Maps!A:A, Maps!B:B)</f>
        <v>Northern Arctic Lands</v>
      </c>
    </row>
    <row r="2419" ht="15.75" customHeight="1">
      <c r="A2419" s="1">
        <v>114.0</v>
      </c>
      <c r="B2419" s="1">
        <v>17.0</v>
      </c>
      <c r="C2419" s="1">
        <v>61.0</v>
      </c>
      <c r="D2419" s="1">
        <v>93.0</v>
      </c>
      <c r="F2419" s="1" t="str">
        <f>LOOKUP(A2419, NPCs!A:A, NPCs!C:C)</f>
        <v>Melty</v>
      </c>
      <c r="G2419" s="1" t="str">
        <f>LOOKUP(B2419, Maps!A:A, Maps!B:B)</f>
        <v>Northern Arctic Lands</v>
      </c>
    </row>
    <row r="2420" ht="15.75" customHeight="1">
      <c r="A2420" s="1">
        <v>114.0</v>
      </c>
      <c r="B2420" s="1">
        <v>17.0</v>
      </c>
      <c r="C2420" s="1">
        <v>78.0</v>
      </c>
      <c r="D2420" s="1">
        <v>74.0</v>
      </c>
      <c r="F2420" s="1" t="str">
        <f>LOOKUP(A2420, NPCs!A:A, NPCs!C:C)</f>
        <v>Melty</v>
      </c>
      <c r="G2420" s="1" t="str">
        <f>LOOKUP(B2420, Maps!A:A, Maps!B:B)</f>
        <v>Northern Arctic Lands</v>
      </c>
    </row>
    <row r="2421" ht="15.75" customHeight="1">
      <c r="A2421" s="1">
        <v>114.0</v>
      </c>
      <c r="B2421" s="1">
        <v>17.0</v>
      </c>
      <c r="C2421" s="1">
        <v>88.0</v>
      </c>
      <c r="D2421" s="1">
        <v>75.0</v>
      </c>
      <c r="F2421" s="1" t="str">
        <f>LOOKUP(A2421, NPCs!A:A, NPCs!C:C)</f>
        <v>Melty</v>
      </c>
      <c r="G2421" s="1" t="str">
        <f>LOOKUP(B2421, Maps!A:A, Maps!B:B)</f>
        <v>Northern Arctic Lands</v>
      </c>
    </row>
    <row r="2422" ht="15.75" customHeight="1">
      <c r="A2422" s="1">
        <v>114.0</v>
      </c>
      <c r="B2422" s="1">
        <v>17.0</v>
      </c>
      <c r="C2422" s="1">
        <v>23.0</v>
      </c>
      <c r="D2422" s="1">
        <v>45.0</v>
      </c>
      <c r="F2422" s="1" t="str">
        <f>LOOKUP(A2422, NPCs!A:A, NPCs!C:C)</f>
        <v>Melty</v>
      </c>
      <c r="G2422" s="1" t="str">
        <f>LOOKUP(B2422, Maps!A:A, Maps!B:B)</f>
        <v>Northern Arctic Lands</v>
      </c>
    </row>
    <row r="2423" ht="15.75" customHeight="1">
      <c r="A2423" s="1">
        <v>114.0</v>
      </c>
      <c r="B2423" s="1">
        <v>17.0</v>
      </c>
      <c r="C2423" s="1">
        <v>27.0</v>
      </c>
      <c r="D2423" s="1">
        <v>45.0</v>
      </c>
      <c r="F2423" s="1" t="str">
        <f>LOOKUP(A2423, NPCs!A:A, NPCs!C:C)</f>
        <v>Melty</v>
      </c>
      <c r="G2423" s="1" t="str">
        <f>LOOKUP(B2423, Maps!A:A, Maps!B:B)</f>
        <v>Northern Arctic Lands</v>
      </c>
    </row>
    <row r="2424" ht="15.75" customHeight="1">
      <c r="A2424" s="1">
        <v>114.0</v>
      </c>
      <c r="B2424" s="1">
        <v>17.0</v>
      </c>
      <c r="C2424" s="1">
        <v>28.0</v>
      </c>
      <c r="D2424" s="1">
        <v>30.0</v>
      </c>
      <c r="F2424" s="1" t="str">
        <f>LOOKUP(A2424, NPCs!A:A, NPCs!C:C)</f>
        <v>Melty</v>
      </c>
      <c r="G2424" s="1" t="str">
        <f>LOOKUP(B2424, Maps!A:A, Maps!B:B)</f>
        <v>Northern Arctic Lands</v>
      </c>
    </row>
    <row r="2425" ht="15.75" customHeight="1">
      <c r="A2425" s="1">
        <v>114.0</v>
      </c>
      <c r="B2425" s="1">
        <v>17.0</v>
      </c>
      <c r="C2425" s="1">
        <v>26.0</v>
      </c>
      <c r="D2425" s="1">
        <v>27.0</v>
      </c>
      <c r="F2425" s="1" t="str">
        <f>LOOKUP(A2425, NPCs!A:A, NPCs!C:C)</f>
        <v>Melty</v>
      </c>
      <c r="G2425" s="1" t="str">
        <f>LOOKUP(B2425, Maps!A:A, Maps!B:B)</f>
        <v>Northern Arctic Lands</v>
      </c>
    </row>
    <row r="2426" ht="15.75" customHeight="1">
      <c r="A2426" s="1">
        <v>114.0</v>
      </c>
      <c r="B2426" s="1">
        <v>17.0</v>
      </c>
      <c r="C2426" s="1">
        <v>29.0</v>
      </c>
      <c r="D2426" s="1">
        <v>25.0</v>
      </c>
      <c r="F2426" s="1" t="str">
        <f>LOOKUP(A2426, NPCs!A:A, NPCs!C:C)</f>
        <v>Melty</v>
      </c>
      <c r="G2426" s="1" t="str">
        <f>LOOKUP(B2426, Maps!A:A, Maps!B:B)</f>
        <v>Northern Arctic Lands</v>
      </c>
    </row>
    <row r="2427" ht="15.75" customHeight="1">
      <c r="A2427" s="1">
        <v>114.0</v>
      </c>
      <c r="B2427" s="1">
        <v>17.0</v>
      </c>
      <c r="C2427" s="1">
        <v>31.0</v>
      </c>
      <c r="D2427" s="1">
        <v>28.0</v>
      </c>
      <c r="F2427" s="1" t="str">
        <f>LOOKUP(A2427, NPCs!A:A, NPCs!C:C)</f>
        <v>Melty</v>
      </c>
      <c r="G2427" s="1" t="str">
        <f>LOOKUP(B2427, Maps!A:A, Maps!B:B)</f>
        <v>Northern Arctic Lands</v>
      </c>
    </row>
    <row r="2428" ht="15.75" customHeight="1">
      <c r="A2428" s="1">
        <v>114.0</v>
      </c>
      <c r="B2428" s="1">
        <v>17.0</v>
      </c>
      <c r="C2428" s="1">
        <v>10.0</v>
      </c>
      <c r="D2428" s="1">
        <v>51.0</v>
      </c>
      <c r="F2428" s="1" t="str">
        <f>LOOKUP(A2428, NPCs!A:A, NPCs!C:C)</f>
        <v>Melty</v>
      </c>
      <c r="G2428" s="1" t="str">
        <f>LOOKUP(B2428, Maps!A:A, Maps!B:B)</f>
        <v>Northern Arctic Lands</v>
      </c>
    </row>
    <row r="2429" ht="15.75" customHeight="1">
      <c r="A2429" s="1">
        <v>114.0</v>
      </c>
      <c r="B2429" s="1">
        <v>17.0</v>
      </c>
      <c r="C2429" s="1">
        <v>49.0</v>
      </c>
      <c r="D2429" s="1">
        <v>62.0</v>
      </c>
      <c r="F2429" s="1" t="str">
        <f>LOOKUP(A2429, NPCs!A:A, NPCs!C:C)</f>
        <v>Melty</v>
      </c>
      <c r="G2429" s="1" t="str">
        <f>LOOKUP(B2429, Maps!A:A, Maps!B:B)</f>
        <v>Northern Arctic Lands</v>
      </c>
    </row>
    <row r="2430" ht="15.75" customHeight="1">
      <c r="A2430" s="1">
        <v>114.0</v>
      </c>
      <c r="B2430" s="1">
        <v>17.0</v>
      </c>
      <c r="C2430" s="1">
        <v>51.0</v>
      </c>
      <c r="D2430" s="1">
        <v>62.0</v>
      </c>
      <c r="F2430" s="1" t="str">
        <f>LOOKUP(A2430, NPCs!A:A, NPCs!C:C)</f>
        <v>Melty</v>
      </c>
      <c r="G2430" s="1" t="str">
        <f>LOOKUP(B2430, Maps!A:A, Maps!B:B)</f>
        <v>Northern Arctic Lands</v>
      </c>
    </row>
    <row r="2431" ht="15.75" customHeight="1">
      <c r="A2431" s="1">
        <v>114.0</v>
      </c>
      <c r="B2431" s="1">
        <v>17.0</v>
      </c>
      <c r="C2431" s="1">
        <v>41.0</v>
      </c>
      <c r="D2431" s="1">
        <v>20.0</v>
      </c>
      <c r="F2431" s="1" t="str">
        <f>LOOKUP(A2431, NPCs!A:A, NPCs!C:C)</f>
        <v>Melty</v>
      </c>
      <c r="G2431" s="1" t="str">
        <f>LOOKUP(B2431, Maps!A:A, Maps!B:B)</f>
        <v>Northern Arctic Lands</v>
      </c>
    </row>
    <row r="2432" ht="15.75" customHeight="1">
      <c r="A2432" s="1">
        <v>114.0</v>
      </c>
      <c r="B2432" s="1">
        <v>17.0</v>
      </c>
      <c r="C2432" s="1">
        <v>39.0</v>
      </c>
      <c r="D2432" s="1">
        <v>22.0</v>
      </c>
      <c r="F2432" s="1" t="str">
        <f>LOOKUP(A2432, NPCs!A:A, NPCs!C:C)</f>
        <v>Melty</v>
      </c>
      <c r="G2432" s="1" t="str">
        <f>LOOKUP(B2432, Maps!A:A, Maps!B:B)</f>
        <v>Northern Arctic Lands</v>
      </c>
    </row>
    <row r="2433" ht="15.75" customHeight="1">
      <c r="A2433" s="1">
        <v>114.0</v>
      </c>
      <c r="B2433" s="1">
        <v>17.0</v>
      </c>
      <c r="C2433" s="1">
        <v>38.0</v>
      </c>
      <c r="D2433" s="1">
        <v>21.0</v>
      </c>
      <c r="F2433" s="1" t="str">
        <f>LOOKUP(A2433, NPCs!A:A, NPCs!C:C)</f>
        <v>Melty</v>
      </c>
      <c r="G2433" s="1" t="str">
        <f>LOOKUP(B2433, Maps!A:A, Maps!B:B)</f>
        <v>Northern Arctic Lands</v>
      </c>
    </row>
    <row r="2434" ht="15.75" customHeight="1">
      <c r="A2434" s="1">
        <v>114.0</v>
      </c>
      <c r="B2434" s="1">
        <v>17.0</v>
      </c>
      <c r="C2434" s="1">
        <v>48.0</v>
      </c>
      <c r="D2434" s="1">
        <v>15.0</v>
      </c>
      <c r="F2434" s="1" t="str">
        <f>LOOKUP(A2434, NPCs!A:A, NPCs!C:C)</f>
        <v>Melty</v>
      </c>
      <c r="G2434" s="1" t="str">
        <f>LOOKUP(B2434, Maps!A:A, Maps!B:B)</f>
        <v>Northern Arctic Lands</v>
      </c>
    </row>
    <row r="2435" ht="15.75" customHeight="1">
      <c r="A2435" s="1">
        <v>114.0</v>
      </c>
      <c r="B2435" s="1">
        <v>17.0</v>
      </c>
      <c r="C2435" s="1">
        <v>47.0</v>
      </c>
      <c r="D2435" s="1">
        <v>13.0</v>
      </c>
      <c r="F2435" s="1" t="str">
        <f>LOOKUP(A2435, NPCs!A:A, NPCs!C:C)</f>
        <v>Melty</v>
      </c>
      <c r="G2435" s="1" t="str">
        <f>LOOKUP(B2435, Maps!A:A, Maps!B:B)</f>
        <v>Northern Arctic Lands</v>
      </c>
    </row>
    <row r="2436" ht="15.75" customHeight="1">
      <c r="A2436" s="1">
        <v>114.0</v>
      </c>
      <c r="B2436" s="1">
        <v>17.0</v>
      </c>
      <c r="C2436" s="1">
        <v>52.0</v>
      </c>
      <c r="D2436" s="1">
        <v>15.0</v>
      </c>
      <c r="F2436" s="1" t="str">
        <f>LOOKUP(A2436, NPCs!A:A, NPCs!C:C)</f>
        <v>Melty</v>
      </c>
      <c r="G2436" s="1" t="str">
        <f>LOOKUP(B2436, Maps!A:A, Maps!B:B)</f>
        <v>Northern Arctic Lands</v>
      </c>
    </row>
    <row r="2437" ht="15.75" customHeight="1">
      <c r="A2437" s="1">
        <v>114.0</v>
      </c>
      <c r="B2437" s="1">
        <v>17.0</v>
      </c>
      <c r="C2437" s="1">
        <v>53.0</v>
      </c>
      <c r="D2437" s="1">
        <v>13.0</v>
      </c>
      <c r="F2437" s="1" t="str">
        <f>LOOKUP(A2437, NPCs!A:A, NPCs!C:C)</f>
        <v>Melty</v>
      </c>
      <c r="G2437" s="1" t="str">
        <f>LOOKUP(B2437, Maps!A:A, Maps!B:B)</f>
        <v>Northern Arctic Lands</v>
      </c>
    </row>
    <row r="2438" ht="15.75" customHeight="1">
      <c r="A2438" s="1">
        <v>114.0</v>
      </c>
      <c r="B2438" s="1">
        <v>17.0</v>
      </c>
      <c r="C2438" s="1">
        <v>95.0</v>
      </c>
      <c r="D2438" s="1">
        <v>80.0</v>
      </c>
      <c r="F2438" s="1" t="str">
        <f>LOOKUP(A2438, NPCs!A:A, NPCs!C:C)</f>
        <v>Melty</v>
      </c>
      <c r="G2438" s="1" t="str">
        <f>LOOKUP(B2438, Maps!A:A, Maps!B:B)</f>
        <v>Northern Arctic Lands</v>
      </c>
    </row>
    <row r="2439" ht="15.75" customHeight="1">
      <c r="A2439" s="1">
        <v>114.0</v>
      </c>
      <c r="B2439" s="1">
        <v>17.0</v>
      </c>
      <c r="C2439" s="1">
        <v>62.0</v>
      </c>
      <c r="D2439" s="1">
        <v>23.0</v>
      </c>
      <c r="F2439" s="1" t="str">
        <f>LOOKUP(A2439, NPCs!A:A, NPCs!C:C)</f>
        <v>Melty</v>
      </c>
      <c r="G2439" s="1" t="str">
        <f>LOOKUP(B2439, Maps!A:A, Maps!B:B)</f>
        <v>Northern Arctic Lands</v>
      </c>
    </row>
    <row r="2440" ht="15.75" customHeight="1">
      <c r="A2440" s="1">
        <v>114.0</v>
      </c>
      <c r="B2440" s="1">
        <v>17.0</v>
      </c>
      <c r="C2440" s="1">
        <v>60.0</v>
      </c>
      <c r="D2440" s="1">
        <v>23.0</v>
      </c>
      <c r="F2440" s="1" t="str">
        <f>LOOKUP(A2440, NPCs!A:A, NPCs!C:C)</f>
        <v>Melty</v>
      </c>
      <c r="G2440" s="1" t="str">
        <f>LOOKUP(B2440, Maps!A:A, Maps!B:B)</f>
        <v>Northern Arctic Lands</v>
      </c>
    </row>
    <row r="2441" ht="15.75" customHeight="1">
      <c r="A2441" s="1">
        <v>114.0</v>
      </c>
      <c r="B2441" s="1">
        <v>17.0</v>
      </c>
      <c r="C2441" s="1">
        <v>86.0</v>
      </c>
      <c r="D2441" s="1">
        <v>17.0</v>
      </c>
      <c r="F2441" s="1" t="str">
        <f>LOOKUP(A2441, NPCs!A:A, NPCs!C:C)</f>
        <v>Melty</v>
      </c>
      <c r="G2441" s="1" t="str">
        <f>LOOKUP(B2441, Maps!A:A, Maps!B:B)</f>
        <v>Northern Arctic Lands</v>
      </c>
    </row>
    <row r="2442" ht="15.75" customHeight="1">
      <c r="A2442" s="1">
        <v>114.0</v>
      </c>
      <c r="B2442" s="1">
        <v>17.0</v>
      </c>
      <c r="C2442" s="1">
        <v>89.0</v>
      </c>
      <c r="D2442" s="1">
        <v>16.0</v>
      </c>
      <c r="F2442" s="1" t="str">
        <f>LOOKUP(A2442, NPCs!A:A, NPCs!C:C)</f>
        <v>Melty</v>
      </c>
      <c r="G2442" s="1" t="str">
        <f>LOOKUP(B2442, Maps!A:A, Maps!B:B)</f>
        <v>Northern Arctic Lands</v>
      </c>
    </row>
    <row r="2443" ht="15.75" customHeight="1">
      <c r="A2443" s="1">
        <v>113.0</v>
      </c>
      <c r="B2443" s="1">
        <v>17.0</v>
      </c>
      <c r="C2443" s="1">
        <v>44.0</v>
      </c>
      <c r="D2443" s="1">
        <v>95.0</v>
      </c>
      <c r="F2443" s="1" t="str">
        <f>LOOKUP(A2443, NPCs!A:A, NPCs!C:C)</f>
        <v>Midnight Madness</v>
      </c>
      <c r="G2443" s="1" t="str">
        <f>LOOKUP(B2443, Maps!A:A, Maps!B:B)</f>
        <v>Northern Arctic Lands</v>
      </c>
    </row>
    <row r="2444" ht="15.75" customHeight="1">
      <c r="A2444" s="1">
        <v>113.0</v>
      </c>
      <c r="B2444" s="1">
        <v>17.0</v>
      </c>
      <c r="C2444" s="1">
        <v>39.0</v>
      </c>
      <c r="D2444" s="1">
        <v>94.0</v>
      </c>
      <c r="F2444" s="1" t="str">
        <f>LOOKUP(A2444, NPCs!A:A, NPCs!C:C)</f>
        <v>Midnight Madness</v>
      </c>
      <c r="G2444" s="1" t="str">
        <f>LOOKUP(B2444, Maps!A:A, Maps!B:B)</f>
        <v>Northern Arctic Lands</v>
      </c>
    </row>
    <row r="2445" ht="15.75" customHeight="1">
      <c r="A2445" s="1">
        <v>113.0</v>
      </c>
      <c r="B2445" s="1">
        <v>17.0</v>
      </c>
      <c r="C2445" s="1">
        <v>57.0</v>
      </c>
      <c r="D2445" s="1">
        <v>94.0</v>
      </c>
      <c r="F2445" s="1" t="str">
        <f>LOOKUP(A2445, NPCs!A:A, NPCs!C:C)</f>
        <v>Midnight Madness</v>
      </c>
      <c r="G2445" s="1" t="str">
        <f>LOOKUP(B2445, Maps!A:A, Maps!B:B)</f>
        <v>Northern Arctic Lands</v>
      </c>
    </row>
    <row r="2446" ht="15.75" customHeight="1">
      <c r="A2446" s="1">
        <v>113.0</v>
      </c>
      <c r="B2446" s="1">
        <v>17.0</v>
      </c>
      <c r="C2446" s="1">
        <v>60.0</v>
      </c>
      <c r="D2446" s="1">
        <v>98.0</v>
      </c>
      <c r="F2446" s="1" t="str">
        <f>LOOKUP(A2446, NPCs!A:A, NPCs!C:C)</f>
        <v>Midnight Madness</v>
      </c>
      <c r="G2446" s="1" t="str">
        <f>LOOKUP(B2446, Maps!A:A, Maps!B:B)</f>
        <v>Northern Arctic Lands</v>
      </c>
    </row>
    <row r="2447" ht="15.75" customHeight="1">
      <c r="A2447" s="1">
        <v>113.0</v>
      </c>
      <c r="B2447" s="1">
        <v>17.0</v>
      </c>
      <c r="C2447" s="1">
        <v>68.0</v>
      </c>
      <c r="D2447" s="1">
        <v>96.0</v>
      </c>
      <c r="F2447" s="1" t="str">
        <f>LOOKUP(A2447, NPCs!A:A, NPCs!C:C)</f>
        <v>Midnight Madness</v>
      </c>
      <c r="G2447" s="1" t="str">
        <f>LOOKUP(B2447, Maps!A:A, Maps!B:B)</f>
        <v>Northern Arctic Lands</v>
      </c>
    </row>
    <row r="2448" ht="15.75" customHeight="1">
      <c r="A2448" s="1">
        <v>113.0</v>
      </c>
      <c r="B2448" s="1">
        <v>17.0</v>
      </c>
      <c r="C2448" s="1">
        <v>75.0</v>
      </c>
      <c r="D2448" s="1">
        <v>98.0</v>
      </c>
      <c r="F2448" s="1" t="str">
        <f>LOOKUP(A2448, NPCs!A:A, NPCs!C:C)</f>
        <v>Midnight Madness</v>
      </c>
      <c r="G2448" s="1" t="str">
        <f>LOOKUP(B2448, Maps!A:A, Maps!B:B)</f>
        <v>Northern Arctic Lands</v>
      </c>
    </row>
    <row r="2449" ht="15.75" customHeight="1">
      <c r="A2449" s="1">
        <v>113.0</v>
      </c>
      <c r="B2449" s="1">
        <v>17.0</v>
      </c>
      <c r="C2449" s="1">
        <v>76.0</v>
      </c>
      <c r="D2449" s="1">
        <v>93.0</v>
      </c>
      <c r="F2449" s="1" t="str">
        <f>LOOKUP(A2449, NPCs!A:A, NPCs!C:C)</f>
        <v>Midnight Madness</v>
      </c>
      <c r="G2449" s="1" t="str">
        <f>LOOKUP(B2449, Maps!A:A, Maps!B:B)</f>
        <v>Northern Arctic Lands</v>
      </c>
    </row>
    <row r="2450" ht="15.75" customHeight="1">
      <c r="A2450" s="1">
        <v>113.0</v>
      </c>
      <c r="B2450" s="1">
        <v>17.0</v>
      </c>
      <c r="C2450" s="1">
        <v>73.0</v>
      </c>
      <c r="D2450" s="1">
        <v>90.0</v>
      </c>
      <c r="F2450" s="1" t="str">
        <f>LOOKUP(A2450, NPCs!A:A, NPCs!C:C)</f>
        <v>Midnight Madness</v>
      </c>
      <c r="G2450" s="1" t="str">
        <f>LOOKUP(B2450, Maps!A:A, Maps!B:B)</f>
        <v>Northern Arctic Lands</v>
      </c>
    </row>
    <row r="2451" ht="15.75" customHeight="1">
      <c r="A2451" s="1">
        <v>113.0</v>
      </c>
      <c r="B2451" s="1">
        <v>17.0</v>
      </c>
      <c r="C2451" s="1">
        <v>37.0</v>
      </c>
      <c r="D2451" s="1">
        <v>99.0</v>
      </c>
      <c r="F2451" s="1" t="str">
        <f>LOOKUP(A2451, NPCs!A:A, NPCs!C:C)</f>
        <v>Midnight Madness</v>
      </c>
      <c r="G2451" s="1" t="str">
        <f>LOOKUP(B2451, Maps!A:A, Maps!B:B)</f>
        <v>Northern Arctic Lands</v>
      </c>
    </row>
    <row r="2452" ht="15.75" customHeight="1">
      <c r="A2452" s="1">
        <v>113.0</v>
      </c>
      <c r="B2452" s="1">
        <v>17.0</v>
      </c>
      <c r="C2452" s="1">
        <v>27.0</v>
      </c>
      <c r="D2452" s="1">
        <v>99.0</v>
      </c>
      <c r="F2452" s="1" t="str">
        <f>LOOKUP(A2452, NPCs!A:A, NPCs!C:C)</f>
        <v>Midnight Madness</v>
      </c>
      <c r="G2452" s="1" t="str">
        <f>LOOKUP(B2452, Maps!A:A, Maps!B:B)</f>
        <v>Northern Arctic Lands</v>
      </c>
    </row>
    <row r="2453" ht="15.75" customHeight="1">
      <c r="A2453" s="1">
        <v>113.0</v>
      </c>
      <c r="B2453" s="1">
        <v>17.0</v>
      </c>
      <c r="C2453" s="1">
        <v>19.0</v>
      </c>
      <c r="D2453" s="1">
        <v>99.0</v>
      </c>
      <c r="F2453" s="1" t="str">
        <f>LOOKUP(A2453, NPCs!A:A, NPCs!C:C)</f>
        <v>Midnight Madness</v>
      </c>
      <c r="G2453" s="1" t="str">
        <f>LOOKUP(B2453, Maps!A:A, Maps!B:B)</f>
        <v>Northern Arctic Lands</v>
      </c>
    </row>
    <row r="2454" ht="15.75" customHeight="1">
      <c r="A2454" s="1">
        <v>113.0</v>
      </c>
      <c r="B2454" s="1">
        <v>17.0</v>
      </c>
      <c r="C2454" s="1">
        <v>12.0</v>
      </c>
      <c r="D2454" s="1">
        <v>98.0</v>
      </c>
      <c r="F2454" s="1" t="str">
        <f>LOOKUP(A2454, NPCs!A:A, NPCs!C:C)</f>
        <v>Midnight Madness</v>
      </c>
      <c r="G2454" s="1" t="str">
        <f>LOOKUP(B2454, Maps!A:A, Maps!B:B)</f>
        <v>Northern Arctic Lands</v>
      </c>
    </row>
    <row r="2455" ht="15.75" customHeight="1">
      <c r="A2455" s="1">
        <v>113.0</v>
      </c>
      <c r="B2455" s="1">
        <v>17.0</v>
      </c>
      <c r="C2455" s="1">
        <v>22.0</v>
      </c>
      <c r="D2455" s="1">
        <v>96.0</v>
      </c>
      <c r="F2455" s="1" t="str">
        <f>LOOKUP(A2455, NPCs!A:A, NPCs!C:C)</f>
        <v>Midnight Madness</v>
      </c>
      <c r="G2455" s="1" t="str">
        <f>LOOKUP(B2455, Maps!A:A, Maps!B:B)</f>
        <v>Northern Arctic Lands</v>
      </c>
    </row>
    <row r="2456" ht="15.75" customHeight="1">
      <c r="A2456" s="1">
        <v>113.0</v>
      </c>
      <c r="B2456" s="1">
        <v>17.0</v>
      </c>
      <c r="C2456" s="1">
        <v>28.0</v>
      </c>
      <c r="D2456" s="1">
        <v>93.0</v>
      </c>
      <c r="F2456" s="1" t="str">
        <f>LOOKUP(A2456, NPCs!A:A, NPCs!C:C)</f>
        <v>Midnight Madness</v>
      </c>
      <c r="G2456" s="1" t="str">
        <f>LOOKUP(B2456, Maps!A:A, Maps!B:B)</f>
        <v>Northern Arctic Lands</v>
      </c>
    </row>
    <row r="2457" ht="15.75" customHeight="1">
      <c r="A2457" s="1">
        <v>113.0</v>
      </c>
      <c r="B2457" s="1">
        <v>17.0</v>
      </c>
      <c r="C2457" s="1">
        <v>19.0</v>
      </c>
      <c r="D2457" s="1">
        <v>91.0</v>
      </c>
      <c r="F2457" s="1" t="str">
        <f>LOOKUP(A2457, NPCs!A:A, NPCs!C:C)</f>
        <v>Midnight Madness</v>
      </c>
      <c r="G2457" s="1" t="str">
        <f>LOOKUP(B2457, Maps!A:A, Maps!B:B)</f>
        <v>Northern Arctic Lands</v>
      </c>
    </row>
    <row r="2458" ht="15.75" customHeight="1">
      <c r="A2458" s="1">
        <v>113.0</v>
      </c>
      <c r="B2458" s="1">
        <v>17.0</v>
      </c>
      <c r="C2458" s="1">
        <v>13.0</v>
      </c>
      <c r="D2458" s="1">
        <v>91.0</v>
      </c>
      <c r="F2458" s="1" t="str">
        <f>LOOKUP(A2458, NPCs!A:A, NPCs!C:C)</f>
        <v>Midnight Madness</v>
      </c>
      <c r="G2458" s="1" t="str">
        <f>LOOKUP(B2458, Maps!A:A, Maps!B:B)</f>
        <v>Northern Arctic Lands</v>
      </c>
    </row>
    <row r="2459" ht="15.75" customHeight="1">
      <c r="A2459" s="1">
        <v>113.0</v>
      </c>
      <c r="B2459" s="1">
        <v>17.0</v>
      </c>
      <c r="C2459" s="1">
        <v>1.0</v>
      </c>
      <c r="D2459" s="1">
        <v>79.0</v>
      </c>
      <c r="F2459" s="1" t="str">
        <f>LOOKUP(A2459, NPCs!A:A, NPCs!C:C)</f>
        <v>Midnight Madness</v>
      </c>
      <c r="G2459" s="1" t="str">
        <f>LOOKUP(B2459, Maps!A:A, Maps!B:B)</f>
        <v>Northern Arctic Lands</v>
      </c>
    </row>
    <row r="2460" ht="15.75" customHeight="1">
      <c r="A2460" s="1">
        <v>113.0</v>
      </c>
      <c r="B2460" s="1">
        <v>17.0</v>
      </c>
      <c r="C2460" s="1">
        <v>5.0</v>
      </c>
      <c r="D2460" s="1">
        <v>81.0</v>
      </c>
      <c r="F2460" s="1" t="str">
        <f>LOOKUP(A2460, NPCs!A:A, NPCs!C:C)</f>
        <v>Midnight Madness</v>
      </c>
      <c r="G2460" s="1" t="str">
        <f>LOOKUP(B2460, Maps!A:A, Maps!B:B)</f>
        <v>Northern Arctic Lands</v>
      </c>
    </row>
    <row r="2461" ht="15.75" customHeight="1">
      <c r="A2461" s="1">
        <v>113.0</v>
      </c>
      <c r="B2461" s="1">
        <v>17.0</v>
      </c>
      <c r="C2461" s="1">
        <v>20.0</v>
      </c>
      <c r="D2461" s="1">
        <v>77.0</v>
      </c>
      <c r="F2461" s="1" t="str">
        <f>LOOKUP(A2461, NPCs!A:A, NPCs!C:C)</f>
        <v>Midnight Madness</v>
      </c>
      <c r="G2461" s="1" t="str">
        <f>LOOKUP(B2461, Maps!A:A, Maps!B:B)</f>
        <v>Northern Arctic Lands</v>
      </c>
    </row>
    <row r="2462" ht="15.75" customHeight="1">
      <c r="A2462" s="1">
        <v>113.0</v>
      </c>
      <c r="B2462" s="1">
        <v>17.0</v>
      </c>
      <c r="C2462" s="1">
        <v>27.0</v>
      </c>
      <c r="D2462" s="1">
        <v>88.0</v>
      </c>
      <c r="F2462" s="1" t="str">
        <f>LOOKUP(A2462, NPCs!A:A, NPCs!C:C)</f>
        <v>Midnight Madness</v>
      </c>
      <c r="G2462" s="1" t="str">
        <f>LOOKUP(B2462, Maps!A:A, Maps!B:B)</f>
        <v>Northern Arctic Lands</v>
      </c>
    </row>
    <row r="2463" ht="15.75" customHeight="1">
      <c r="A2463" s="1">
        <v>113.0</v>
      </c>
      <c r="B2463" s="1">
        <v>17.0</v>
      </c>
      <c r="C2463" s="1">
        <v>41.0</v>
      </c>
      <c r="D2463" s="1">
        <v>81.0</v>
      </c>
      <c r="F2463" s="1" t="str">
        <f>LOOKUP(A2463, NPCs!A:A, NPCs!C:C)</f>
        <v>Midnight Madness</v>
      </c>
      <c r="G2463" s="1" t="str">
        <f>LOOKUP(B2463, Maps!A:A, Maps!B:B)</f>
        <v>Northern Arctic Lands</v>
      </c>
    </row>
    <row r="2464" ht="15.75" customHeight="1">
      <c r="A2464" s="1">
        <v>113.0</v>
      </c>
      <c r="B2464" s="1">
        <v>17.0</v>
      </c>
      <c r="C2464" s="1">
        <v>48.0</v>
      </c>
      <c r="D2464" s="1">
        <v>83.0</v>
      </c>
      <c r="F2464" s="1" t="str">
        <f>LOOKUP(A2464, NPCs!A:A, NPCs!C:C)</f>
        <v>Midnight Madness</v>
      </c>
      <c r="G2464" s="1" t="str">
        <f>LOOKUP(B2464, Maps!A:A, Maps!B:B)</f>
        <v>Northern Arctic Lands</v>
      </c>
    </row>
    <row r="2465" ht="15.75" customHeight="1">
      <c r="A2465" s="1">
        <v>113.0</v>
      </c>
      <c r="B2465" s="1">
        <v>17.0</v>
      </c>
      <c r="C2465" s="1">
        <v>42.0</v>
      </c>
      <c r="D2465" s="1">
        <v>86.0</v>
      </c>
      <c r="F2465" s="1" t="str">
        <f>LOOKUP(A2465, NPCs!A:A, NPCs!C:C)</f>
        <v>Midnight Madness</v>
      </c>
      <c r="G2465" s="1" t="str">
        <f>LOOKUP(B2465, Maps!A:A, Maps!B:B)</f>
        <v>Northern Arctic Lands</v>
      </c>
    </row>
    <row r="2466" ht="15.75" customHeight="1">
      <c r="A2466" s="1">
        <v>113.0</v>
      </c>
      <c r="B2466" s="1">
        <v>17.0</v>
      </c>
      <c r="C2466" s="1">
        <v>61.0</v>
      </c>
      <c r="D2466" s="1">
        <v>86.0</v>
      </c>
      <c r="F2466" s="1" t="str">
        <f>LOOKUP(A2466, NPCs!A:A, NPCs!C:C)</f>
        <v>Midnight Madness</v>
      </c>
      <c r="G2466" s="1" t="str">
        <f>LOOKUP(B2466, Maps!A:A, Maps!B:B)</f>
        <v>Northern Arctic Lands</v>
      </c>
    </row>
    <row r="2467" ht="15.75" customHeight="1">
      <c r="A2467" s="1">
        <v>113.0</v>
      </c>
      <c r="B2467" s="1">
        <v>17.0</v>
      </c>
      <c r="C2467" s="1">
        <v>85.0</v>
      </c>
      <c r="D2467" s="1">
        <v>71.0</v>
      </c>
      <c r="F2467" s="1" t="str">
        <f>LOOKUP(A2467, NPCs!A:A, NPCs!C:C)</f>
        <v>Midnight Madness</v>
      </c>
      <c r="G2467" s="1" t="str">
        <f>LOOKUP(B2467, Maps!A:A, Maps!B:B)</f>
        <v>Northern Arctic Lands</v>
      </c>
    </row>
    <row r="2468" ht="15.75" customHeight="1">
      <c r="A2468" s="1">
        <v>113.0</v>
      </c>
      <c r="B2468" s="1">
        <v>17.0</v>
      </c>
      <c r="C2468" s="1">
        <v>71.0</v>
      </c>
      <c r="D2468" s="1">
        <v>70.0</v>
      </c>
      <c r="F2468" s="1" t="str">
        <f>LOOKUP(A2468, NPCs!A:A, NPCs!C:C)</f>
        <v>Midnight Madness</v>
      </c>
      <c r="G2468" s="1" t="str">
        <f>LOOKUP(B2468, Maps!A:A, Maps!B:B)</f>
        <v>Northern Arctic Lands</v>
      </c>
    </row>
    <row r="2469" ht="15.75" customHeight="1">
      <c r="A2469" s="1">
        <v>113.0</v>
      </c>
      <c r="B2469" s="1">
        <v>17.0</v>
      </c>
      <c r="C2469" s="1">
        <v>80.0</v>
      </c>
      <c r="D2469" s="1">
        <v>77.0</v>
      </c>
      <c r="F2469" s="1" t="str">
        <f>LOOKUP(A2469, NPCs!A:A, NPCs!C:C)</f>
        <v>Midnight Madness</v>
      </c>
      <c r="G2469" s="1" t="str">
        <f>LOOKUP(B2469, Maps!A:A, Maps!B:B)</f>
        <v>Northern Arctic Lands</v>
      </c>
    </row>
    <row r="2470" ht="15.75" customHeight="1">
      <c r="A2470" s="1">
        <v>113.0</v>
      </c>
      <c r="B2470" s="1">
        <v>17.0</v>
      </c>
      <c r="C2470" s="1">
        <v>31.0</v>
      </c>
      <c r="D2470" s="1">
        <v>63.0</v>
      </c>
      <c r="F2470" s="1" t="str">
        <f>LOOKUP(A2470, NPCs!A:A, NPCs!C:C)</f>
        <v>Midnight Madness</v>
      </c>
      <c r="G2470" s="1" t="str">
        <f>LOOKUP(B2470, Maps!A:A, Maps!B:B)</f>
        <v>Northern Arctic Lands</v>
      </c>
    </row>
    <row r="2471" ht="15.75" customHeight="1">
      <c r="A2471" s="1">
        <v>113.0</v>
      </c>
      <c r="B2471" s="1">
        <v>17.0</v>
      </c>
      <c r="C2471" s="1">
        <v>42.0</v>
      </c>
      <c r="D2471" s="1">
        <v>65.0</v>
      </c>
      <c r="F2471" s="1" t="str">
        <f>LOOKUP(A2471, NPCs!A:A, NPCs!C:C)</f>
        <v>Midnight Madness</v>
      </c>
      <c r="G2471" s="1" t="str">
        <f>LOOKUP(B2471, Maps!A:A, Maps!B:B)</f>
        <v>Northern Arctic Lands</v>
      </c>
    </row>
    <row r="2472" ht="15.75" customHeight="1">
      <c r="A2472" s="1">
        <v>113.0</v>
      </c>
      <c r="B2472" s="1">
        <v>17.0</v>
      </c>
      <c r="C2472" s="1">
        <v>42.0</v>
      </c>
      <c r="D2472" s="1">
        <v>57.0</v>
      </c>
      <c r="F2472" s="1" t="str">
        <f>LOOKUP(A2472, NPCs!A:A, NPCs!C:C)</f>
        <v>Midnight Madness</v>
      </c>
      <c r="G2472" s="1" t="str">
        <f>LOOKUP(B2472, Maps!A:A, Maps!B:B)</f>
        <v>Northern Arctic Lands</v>
      </c>
    </row>
    <row r="2473" ht="15.75" customHeight="1">
      <c r="A2473" s="1">
        <v>113.0</v>
      </c>
      <c r="B2473" s="1">
        <v>17.0</v>
      </c>
      <c r="C2473" s="1">
        <v>46.0</v>
      </c>
      <c r="D2473" s="1">
        <v>60.0</v>
      </c>
      <c r="F2473" s="1" t="str">
        <f>LOOKUP(A2473, NPCs!A:A, NPCs!C:C)</f>
        <v>Midnight Madness</v>
      </c>
      <c r="G2473" s="1" t="str">
        <f>LOOKUP(B2473, Maps!A:A, Maps!B:B)</f>
        <v>Northern Arctic Lands</v>
      </c>
    </row>
    <row r="2474" ht="15.75" customHeight="1">
      <c r="A2474" s="1">
        <v>113.0</v>
      </c>
      <c r="B2474" s="1">
        <v>17.0</v>
      </c>
      <c r="C2474" s="1">
        <v>54.0</v>
      </c>
      <c r="D2474" s="1">
        <v>58.0</v>
      </c>
      <c r="F2474" s="1" t="str">
        <f>LOOKUP(A2474, NPCs!A:A, NPCs!C:C)</f>
        <v>Midnight Madness</v>
      </c>
      <c r="G2474" s="1" t="str">
        <f>LOOKUP(B2474, Maps!A:A, Maps!B:B)</f>
        <v>Northern Arctic Lands</v>
      </c>
    </row>
    <row r="2475" ht="15.75" customHeight="1">
      <c r="A2475" s="1">
        <v>113.0</v>
      </c>
      <c r="B2475" s="1">
        <v>17.0</v>
      </c>
      <c r="C2475" s="1">
        <v>48.0</v>
      </c>
      <c r="D2475" s="1">
        <v>50.0</v>
      </c>
      <c r="F2475" s="1" t="str">
        <f>LOOKUP(A2475, NPCs!A:A, NPCs!C:C)</f>
        <v>Midnight Madness</v>
      </c>
      <c r="G2475" s="1" t="str">
        <f>LOOKUP(B2475, Maps!A:A, Maps!B:B)</f>
        <v>Northern Arctic Lands</v>
      </c>
    </row>
    <row r="2476" ht="15.75" customHeight="1">
      <c r="A2476" s="1">
        <v>113.0</v>
      </c>
      <c r="B2476" s="1">
        <v>17.0</v>
      </c>
      <c r="C2476" s="1">
        <v>52.0</v>
      </c>
      <c r="D2476" s="1">
        <v>50.0</v>
      </c>
      <c r="F2476" s="1" t="str">
        <f>LOOKUP(A2476, NPCs!A:A, NPCs!C:C)</f>
        <v>Midnight Madness</v>
      </c>
      <c r="G2476" s="1" t="str">
        <f>LOOKUP(B2476, Maps!A:A, Maps!B:B)</f>
        <v>Northern Arctic Lands</v>
      </c>
    </row>
    <row r="2477" ht="15.75" customHeight="1">
      <c r="A2477" s="1">
        <v>113.0</v>
      </c>
      <c r="B2477" s="1">
        <v>17.0</v>
      </c>
      <c r="C2477" s="1">
        <v>48.0</v>
      </c>
      <c r="D2477" s="1">
        <v>44.0</v>
      </c>
      <c r="F2477" s="1" t="str">
        <f>LOOKUP(A2477, NPCs!A:A, NPCs!C:C)</f>
        <v>Midnight Madness</v>
      </c>
      <c r="G2477" s="1" t="str">
        <f>LOOKUP(B2477, Maps!A:A, Maps!B:B)</f>
        <v>Northern Arctic Lands</v>
      </c>
    </row>
    <row r="2478" ht="15.75" customHeight="1">
      <c r="A2478" s="1">
        <v>113.0</v>
      </c>
      <c r="B2478" s="1">
        <v>17.0</v>
      </c>
      <c r="C2478" s="1">
        <v>52.0</v>
      </c>
      <c r="D2478" s="1">
        <v>44.0</v>
      </c>
      <c r="F2478" s="1" t="str">
        <f>LOOKUP(A2478, NPCs!A:A, NPCs!C:C)</f>
        <v>Midnight Madness</v>
      </c>
      <c r="G2478" s="1" t="str">
        <f>LOOKUP(B2478, Maps!A:A, Maps!B:B)</f>
        <v>Northern Arctic Lands</v>
      </c>
    </row>
    <row r="2479" ht="15.75" customHeight="1">
      <c r="A2479" s="1">
        <v>113.0</v>
      </c>
      <c r="B2479" s="1">
        <v>17.0</v>
      </c>
      <c r="C2479" s="1">
        <v>62.0</v>
      </c>
      <c r="D2479" s="1">
        <v>54.0</v>
      </c>
      <c r="F2479" s="1" t="str">
        <f>LOOKUP(A2479, NPCs!A:A, NPCs!C:C)</f>
        <v>Midnight Madness</v>
      </c>
      <c r="G2479" s="1" t="str">
        <f>LOOKUP(B2479, Maps!A:A, Maps!B:B)</f>
        <v>Northern Arctic Lands</v>
      </c>
    </row>
    <row r="2480" ht="15.75" customHeight="1">
      <c r="A2480" s="1">
        <v>113.0</v>
      </c>
      <c r="B2480" s="1">
        <v>17.0</v>
      </c>
      <c r="C2480" s="1">
        <v>60.0</v>
      </c>
      <c r="D2480" s="1">
        <v>33.0</v>
      </c>
      <c r="F2480" s="1" t="str">
        <f>LOOKUP(A2480, NPCs!A:A, NPCs!C:C)</f>
        <v>Midnight Madness</v>
      </c>
      <c r="G2480" s="1" t="str">
        <f>LOOKUP(B2480, Maps!A:A, Maps!B:B)</f>
        <v>Northern Arctic Lands</v>
      </c>
    </row>
    <row r="2481" ht="15.75" customHeight="1">
      <c r="A2481" s="1">
        <v>113.0</v>
      </c>
      <c r="B2481" s="1">
        <v>17.0</v>
      </c>
      <c r="C2481" s="1">
        <v>4.0</v>
      </c>
      <c r="D2481" s="1">
        <v>43.0</v>
      </c>
      <c r="F2481" s="1" t="str">
        <f>LOOKUP(A2481, NPCs!A:A, NPCs!C:C)</f>
        <v>Midnight Madness</v>
      </c>
      <c r="G2481" s="1" t="str">
        <f>LOOKUP(B2481, Maps!A:A, Maps!B:B)</f>
        <v>Northern Arctic Lands</v>
      </c>
    </row>
    <row r="2482" ht="15.75" customHeight="1">
      <c r="A2482" s="1">
        <v>113.0</v>
      </c>
      <c r="B2482" s="1">
        <v>17.0</v>
      </c>
      <c r="C2482" s="1">
        <v>9.0</v>
      </c>
      <c r="D2482" s="1">
        <v>43.0</v>
      </c>
      <c r="F2482" s="1" t="str">
        <f>LOOKUP(A2482, NPCs!A:A, NPCs!C:C)</f>
        <v>Midnight Madness</v>
      </c>
      <c r="G2482" s="1" t="str">
        <f>LOOKUP(B2482, Maps!A:A, Maps!B:B)</f>
        <v>Northern Arctic Lands</v>
      </c>
    </row>
    <row r="2483" ht="15.75" customHeight="1">
      <c r="A2483" s="1">
        <v>113.0</v>
      </c>
      <c r="B2483" s="1">
        <v>17.0</v>
      </c>
      <c r="C2483" s="1">
        <v>38.0</v>
      </c>
      <c r="D2483" s="1">
        <v>14.0</v>
      </c>
      <c r="F2483" s="1" t="str">
        <f>LOOKUP(A2483, NPCs!A:A, NPCs!C:C)</f>
        <v>Midnight Madness</v>
      </c>
      <c r="G2483" s="1" t="str">
        <f>LOOKUP(B2483, Maps!A:A, Maps!B:B)</f>
        <v>Northern Arctic Lands</v>
      </c>
    </row>
    <row r="2484" ht="15.75" customHeight="1">
      <c r="A2484" s="1">
        <v>113.0</v>
      </c>
      <c r="B2484" s="1">
        <v>17.0</v>
      </c>
      <c r="C2484" s="1">
        <v>33.0</v>
      </c>
      <c r="D2484" s="1">
        <v>35.0</v>
      </c>
      <c r="F2484" s="1" t="str">
        <f>LOOKUP(A2484, NPCs!A:A, NPCs!C:C)</f>
        <v>Midnight Madness</v>
      </c>
      <c r="G2484" s="1" t="str">
        <f>LOOKUP(B2484, Maps!A:A, Maps!B:B)</f>
        <v>Northern Arctic Lands</v>
      </c>
    </row>
    <row r="2485" ht="15.75" customHeight="1">
      <c r="A2485" s="1">
        <v>113.0</v>
      </c>
      <c r="B2485" s="1">
        <v>17.0</v>
      </c>
      <c r="C2485" s="1">
        <v>37.0</v>
      </c>
      <c r="D2485" s="1">
        <v>33.0</v>
      </c>
      <c r="F2485" s="1" t="str">
        <f>LOOKUP(A2485, NPCs!A:A, NPCs!C:C)</f>
        <v>Midnight Madness</v>
      </c>
      <c r="G2485" s="1" t="str">
        <f>LOOKUP(B2485, Maps!A:A, Maps!B:B)</f>
        <v>Northern Arctic Lands</v>
      </c>
    </row>
    <row r="2486" ht="15.75" customHeight="1">
      <c r="A2486" s="1">
        <v>113.0</v>
      </c>
      <c r="B2486" s="1">
        <v>17.0</v>
      </c>
      <c r="C2486" s="1">
        <v>41.0</v>
      </c>
      <c r="D2486" s="1">
        <v>30.0</v>
      </c>
      <c r="F2486" s="1" t="str">
        <f>LOOKUP(A2486, NPCs!A:A, NPCs!C:C)</f>
        <v>Midnight Madness</v>
      </c>
      <c r="G2486" s="1" t="str">
        <f>LOOKUP(B2486, Maps!A:A, Maps!B:B)</f>
        <v>Northern Arctic Lands</v>
      </c>
    </row>
    <row r="2487" ht="15.75" customHeight="1">
      <c r="A2487" s="1">
        <v>113.0</v>
      </c>
      <c r="B2487" s="1">
        <v>17.0</v>
      </c>
      <c r="C2487" s="1">
        <v>33.0</v>
      </c>
      <c r="D2487" s="1">
        <v>35.0</v>
      </c>
      <c r="F2487" s="1" t="str">
        <f>LOOKUP(A2487, NPCs!A:A, NPCs!C:C)</f>
        <v>Midnight Madness</v>
      </c>
      <c r="G2487" s="1" t="str">
        <f>LOOKUP(B2487, Maps!A:A, Maps!B:B)</f>
        <v>Northern Arctic Lands</v>
      </c>
    </row>
    <row r="2488" ht="15.75" customHeight="1">
      <c r="A2488" s="1">
        <v>113.0</v>
      </c>
      <c r="B2488" s="1">
        <v>17.0</v>
      </c>
      <c r="C2488" s="1">
        <v>37.0</v>
      </c>
      <c r="D2488" s="1">
        <v>33.0</v>
      </c>
      <c r="F2488" s="1" t="str">
        <f>LOOKUP(A2488, NPCs!A:A, NPCs!C:C)</f>
        <v>Midnight Madness</v>
      </c>
      <c r="G2488" s="1" t="str">
        <f>LOOKUP(B2488, Maps!A:A, Maps!B:B)</f>
        <v>Northern Arctic Lands</v>
      </c>
    </row>
    <row r="2489" ht="15.75" customHeight="1">
      <c r="A2489" s="1">
        <v>113.0</v>
      </c>
      <c r="B2489" s="1">
        <v>17.0</v>
      </c>
      <c r="C2489" s="1">
        <v>41.0</v>
      </c>
      <c r="D2489" s="1">
        <v>30.0</v>
      </c>
      <c r="F2489" s="1" t="str">
        <f>LOOKUP(A2489, NPCs!A:A, NPCs!C:C)</f>
        <v>Midnight Madness</v>
      </c>
      <c r="G2489" s="1" t="str">
        <f>LOOKUP(B2489, Maps!A:A, Maps!B:B)</f>
        <v>Northern Arctic Lands</v>
      </c>
    </row>
    <row r="2490" ht="15.75" customHeight="1">
      <c r="A2490" s="1">
        <v>113.0</v>
      </c>
      <c r="B2490" s="1">
        <v>17.0</v>
      </c>
      <c r="C2490" s="1">
        <v>65.0</v>
      </c>
      <c r="D2490" s="1">
        <v>66.0</v>
      </c>
      <c r="F2490" s="1" t="str">
        <f>LOOKUP(A2490, NPCs!A:A, NPCs!C:C)</f>
        <v>Midnight Madness</v>
      </c>
      <c r="G2490" s="1" t="str">
        <f>LOOKUP(B2490, Maps!A:A, Maps!B:B)</f>
        <v>Northern Arctic Lands</v>
      </c>
    </row>
    <row r="2491" ht="15.75" customHeight="1">
      <c r="A2491" s="1">
        <v>113.0</v>
      </c>
      <c r="B2491" s="1">
        <v>17.0</v>
      </c>
      <c r="C2491" s="1">
        <v>77.0</v>
      </c>
      <c r="D2491" s="1">
        <v>63.0</v>
      </c>
      <c r="F2491" s="1" t="str">
        <f>LOOKUP(A2491, NPCs!A:A, NPCs!C:C)</f>
        <v>Midnight Madness</v>
      </c>
      <c r="G2491" s="1" t="str">
        <f>LOOKUP(B2491, Maps!A:A, Maps!B:B)</f>
        <v>Northern Arctic Lands</v>
      </c>
    </row>
    <row r="2492" ht="15.75" customHeight="1">
      <c r="A2492" s="1">
        <v>113.0</v>
      </c>
      <c r="B2492" s="1">
        <v>17.0</v>
      </c>
      <c r="C2492" s="1">
        <v>85.0</v>
      </c>
      <c r="D2492" s="1">
        <v>63.0</v>
      </c>
      <c r="F2492" s="1" t="str">
        <f>LOOKUP(A2492, NPCs!A:A, NPCs!C:C)</f>
        <v>Midnight Madness</v>
      </c>
      <c r="G2492" s="1" t="str">
        <f>LOOKUP(B2492, Maps!A:A, Maps!B:B)</f>
        <v>Northern Arctic Lands</v>
      </c>
    </row>
    <row r="2493" ht="15.75" customHeight="1">
      <c r="A2493" s="1">
        <v>113.0</v>
      </c>
      <c r="B2493" s="1">
        <v>17.0</v>
      </c>
      <c r="C2493" s="1">
        <v>92.0</v>
      </c>
      <c r="D2493" s="1">
        <v>91.0</v>
      </c>
      <c r="F2493" s="1" t="str">
        <f>LOOKUP(A2493, NPCs!A:A, NPCs!C:C)</f>
        <v>Midnight Madness</v>
      </c>
      <c r="G2493" s="1" t="str">
        <f>LOOKUP(B2493, Maps!A:A, Maps!B:B)</f>
        <v>Northern Arctic Lands</v>
      </c>
    </row>
    <row r="2494" ht="15.75" customHeight="1">
      <c r="A2494" s="1">
        <v>113.0</v>
      </c>
      <c r="B2494" s="1">
        <v>17.0</v>
      </c>
      <c r="C2494" s="1">
        <v>83.0</v>
      </c>
      <c r="D2494" s="1">
        <v>94.0</v>
      </c>
      <c r="F2494" s="1" t="str">
        <f>LOOKUP(A2494, NPCs!A:A, NPCs!C:C)</f>
        <v>Midnight Madness</v>
      </c>
      <c r="G2494" s="1" t="str">
        <f>LOOKUP(B2494, Maps!A:A, Maps!B:B)</f>
        <v>Northern Arctic Lands</v>
      </c>
    </row>
    <row r="2495" ht="15.75" customHeight="1">
      <c r="A2495" s="1">
        <v>113.0</v>
      </c>
      <c r="B2495" s="1">
        <v>17.0</v>
      </c>
      <c r="C2495" s="1">
        <v>97.0</v>
      </c>
      <c r="D2495" s="1">
        <v>80.0</v>
      </c>
      <c r="F2495" s="1" t="str">
        <f>LOOKUP(A2495, NPCs!A:A, NPCs!C:C)</f>
        <v>Midnight Madness</v>
      </c>
      <c r="G2495" s="1" t="str">
        <f>LOOKUP(B2495, Maps!A:A, Maps!B:B)</f>
        <v>Northern Arctic Lands</v>
      </c>
    </row>
    <row r="2496" ht="15.75" customHeight="1">
      <c r="A2496" s="1">
        <v>113.0</v>
      </c>
      <c r="B2496" s="1">
        <v>17.0</v>
      </c>
      <c r="C2496" s="1">
        <v>97.0</v>
      </c>
      <c r="D2496" s="1">
        <v>83.0</v>
      </c>
      <c r="F2496" s="1" t="str">
        <f>LOOKUP(A2496, NPCs!A:A, NPCs!C:C)</f>
        <v>Midnight Madness</v>
      </c>
      <c r="G2496" s="1" t="str">
        <f>LOOKUP(B2496, Maps!A:A, Maps!B:B)</f>
        <v>Northern Arctic Lands</v>
      </c>
    </row>
    <row r="2497" ht="15.75" customHeight="1">
      <c r="A2497" s="1">
        <v>113.0</v>
      </c>
      <c r="B2497" s="1">
        <v>17.0</v>
      </c>
      <c r="C2497" s="1">
        <v>63.0</v>
      </c>
      <c r="D2497" s="1">
        <v>45.0</v>
      </c>
      <c r="F2497" s="1" t="str">
        <f>LOOKUP(A2497, NPCs!A:A, NPCs!C:C)</f>
        <v>Midnight Madness</v>
      </c>
      <c r="G2497" s="1" t="str">
        <f>LOOKUP(B2497, Maps!A:A, Maps!B:B)</f>
        <v>Northern Arctic Lands</v>
      </c>
    </row>
    <row r="2498" ht="15.75" customHeight="1">
      <c r="A2498" s="1">
        <v>112.0</v>
      </c>
      <c r="B2498" s="1">
        <v>17.0</v>
      </c>
      <c r="C2498" s="1">
        <v>5.0</v>
      </c>
      <c r="D2498" s="1">
        <v>86.0</v>
      </c>
      <c r="F2498" s="1" t="str">
        <f>LOOKUP(A2498, NPCs!A:A, NPCs!C:C)</f>
        <v>Snowball</v>
      </c>
      <c r="G2498" s="1" t="str">
        <f>LOOKUP(B2498, Maps!A:A, Maps!B:B)</f>
        <v>Northern Arctic Lands</v>
      </c>
    </row>
    <row r="2499" ht="15.75" customHeight="1">
      <c r="A2499" s="1">
        <v>112.0</v>
      </c>
      <c r="B2499" s="1">
        <v>17.0</v>
      </c>
      <c r="C2499" s="1">
        <v>50.0</v>
      </c>
      <c r="D2499" s="1">
        <v>85.0</v>
      </c>
      <c r="F2499" s="1" t="str">
        <f>LOOKUP(A2499, NPCs!A:A, NPCs!C:C)</f>
        <v>Snowball</v>
      </c>
      <c r="G2499" s="1" t="str">
        <f>LOOKUP(B2499, Maps!A:A, Maps!B:B)</f>
        <v>Northern Arctic Lands</v>
      </c>
    </row>
    <row r="2500" ht="15.75" customHeight="1">
      <c r="A2500" s="1">
        <v>112.0</v>
      </c>
      <c r="B2500" s="1">
        <v>17.0</v>
      </c>
      <c r="C2500" s="1">
        <v>45.0</v>
      </c>
      <c r="D2500" s="1">
        <v>78.0</v>
      </c>
      <c r="F2500" s="1" t="str">
        <f>LOOKUP(A2500, NPCs!A:A, NPCs!C:C)</f>
        <v>Snowball</v>
      </c>
      <c r="G2500" s="1" t="str">
        <f>LOOKUP(B2500, Maps!A:A, Maps!B:B)</f>
        <v>Northern Arctic Lands</v>
      </c>
    </row>
    <row r="2501" ht="15.75" customHeight="1">
      <c r="A2501" s="1">
        <v>112.0</v>
      </c>
      <c r="B2501" s="1">
        <v>17.0</v>
      </c>
      <c r="C2501" s="1">
        <v>39.0</v>
      </c>
      <c r="D2501" s="1">
        <v>76.0</v>
      </c>
      <c r="F2501" s="1" t="str">
        <f>LOOKUP(A2501, NPCs!A:A, NPCs!C:C)</f>
        <v>Snowball</v>
      </c>
      <c r="G2501" s="1" t="str">
        <f>LOOKUP(B2501, Maps!A:A, Maps!B:B)</f>
        <v>Northern Arctic Lands</v>
      </c>
    </row>
    <row r="2502" ht="15.75" customHeight="1">
      <c r="A2502" s="1">
        <v>112.0</v>
      </c>
      <c r="B2502" s="1">
        <v>17.0</v>
      </c>
      <c r="C2502" s="1">
        <v>86.0</v>
      </c>
      <c r="D2502" s="1">
        <v>89.0</v>
      </c>
      <c r="F2502" s="1" t="str">
        <f>LOOKUP(A2502, NPCs!A:A, NPCs!C:C)</f>
        <v>Snowball</v>
      </c>
      <c r="G2502" s="1" t="str">
        <f>LOOKUP(B2502, Maps!A:A, Maps!B:B)</f>
        <v>Northern Arctic Lands</v>
      </c>
    </row>
    <row r="2503" ht="15.75" customHeight="1">
      <c r="A2503" s="1">
        <v>112.0</v>
      </c>
      <c r="B2503" s="1">
        <v>17.0</v>
      </c>
      <c r="C2503" s="1">
        <v>84.0</v>
      </c>
      <c r="D2503" s="1">
        <v>95.0</v>
      </c>
      <c r="F2503" s="1" t="str">
        <f>LOOKUP(A2503, NPCs!A:A, NPCs!C:C)</f>
        <v>Snowball</v>
      </c>
      <c r="G2503" s="1" t="str">
        <f>LOOKUP(B2503, Maps!A:A, Maps!B:B)</f>
        <v>Northern Arctic Lands</v>
      </c>
    </row>
    <row r="2504" ht="15.75" customHeight="1">
      <c r="A2504" s="1">
        <v>112.0</v>
      </c>
      <c r="B2504" s="1">
        <v>17.0</v>
      </c>
      <c r="C2504" s="1">
        <v>91.0</v>
      </c>
      <c r="D2504" s="1">
        <v>95.0</v>
      </c>
      <c r="F2504" s="1" t="str">
        <f>LOOKUP(A2504, NPCs!A:A, NPCs!C:C)</f>
        <v>Snowball</v>
      </c>
      <c r="G2504" s="1" t="str">
        <f>LOOKUP(B2504, Maps!A:A, Maps!B:B)</f>
        <v>Northern Arctic Lands</v>
      </c>
    </row>
    <row r="2505" ht="15.75" customHeight="1">
      <c r="A2505" s="1">
        <v>112.0</v>
      </c>
      <c r="B2505" s="1">
        <v>17.0</v>
      </c>
      <c r="C2505" s="1">
        <v>94.0</v>
      </c>
      <c r="D2505" s="1">
        <v>85.0</v>
      </c>
      <c r="F2505" s="1" t="str">
        <f>LOOKUP(A2505, NPCs!A:A, NPCs!C:C)</f>
        <v>Snowball</v>
      </c>
      <c r="G2505" s="1" t="str">
        <f>LOOKUP(B2505, Maps!A:A, Maps!B:B)</f>
        <v>Northern Arctic Lands</v>
      </c>
    </row>
    <row r="2506" ht="15.75" customHeight="1">
      <c r="A2506" s="1">
        <v>112.0</v>
      </c>
      <c r="B2506" s="1">
        <v>17.0</v>
      </c>
      <c r="C2506" s="1">
        <v>87.0</v>
      </c>
      <c r="D2506" s="1">
        <v>82.0</v>
      </c>
      <c r="F2506" s="1" t="str">
        <f>LOOKUP(A2506, NPCs!A:A, NPCs!C:C)</f>
        <v>Snowball</v>
      </c>
      <c r="G2506" s="1" t="str">
        <f>LOOKUP(B2506, Maps!A:A, Maps!B:B)</f>
        <v>Northern Arctic Lands</v>
      </c>
    </row>
    <row r="2507" ht="15.75" customHeight="1">
      <c r="A2507" s="1">
        <v>112.0</v>
      </c>
      <c r="B2507" s="1">
        <v>17.0</v>
      </c>
      <c r="C2507" s="1">
        <v>71.0</v>
      </c>
      <c r="D2507" s="1">
        <v>74.0</v>
      </c>
      <c r="F2507" s="1" t="str">
        <f>LOOKUP(A2507, NPCs!A:A, NPCs!C:C)</f>
        <v>Snowball</v>
      </c>
      <c r="G2507" s="1" t="str">
        <f>LOOKUP(B2507, Maps!A:A, Maps!B:B)</f>
        <v>Northern Arctic Lands</v>
      </c>
    </row>
    <row r="2508" ht="15.75" customHeight="1">
      <c r="A2508" s="1">
        <v>112.0</v>
      </c>
      <c r="B2508" s="1">
        <v>17.0</v>
      </c>
      <c r="C2508" s="1">
        <v>73.0</v>
      </c>
      <c r="D2508" s="1">
        <v>77.0</v>
      </c>
      <c r="F2508" s="1" t="str">
        <f>LOOKUP(A2508, NPCs!A:A, NPCs!C:C)</f>
        <v>Snowball</v>
      </c>
      <c r="G2508" s="1" t="str">
        <f>LOOKUP(B2508, Maps!A:A, Maps!B:B)</f>
        <v>Northern Arctic Lands</v>
      </c>
    </row>
    <row r="2509" ht="15.75" customHeight="1">
      <c r="A2509" s="1">
        <v>112.0</v>
      </c>
      <c r="B2509" s="1">
        <v>17.0</v>
      </c>
      <c r="C2509" s="1">
        <v>84.0</v>
      </c>
      <c r="D2509" s="1">
        <v>74.0</v>
      </c>
      <c r="F2509" s="1" t="str">
        <f>LOOKUP(A2509, NPCs!A:A, NPCs!C:C)</f>
        <v>Snowball</v>
      </c>
      <c r="G2509" s="1" t="str">
        <f>LOOKUP(B2509, Maps!A:A, Maps!B:B)</f>
        <v>Northern Arctic Lands</v>
      </c>
    </row>
    <row r="2510" ht="15.75" customHeight="1">
      <c r="A2510" s="1">
        <v>112.0</v>
      </c>
      <c r="B2510" s="1">
        <v>17.0</v>
      </c>
      <c r="C2510" s="1">
        <v>31.0</v>
      </c>
      <c r="D2510" s="1">
        <v>83.0</v>
      </c>
      <c r="F2510" s="1" t="str">
        <f>LOOKUP(A2510, NPCs!A:A, NPCs!C:C)</f>
        <v>Snowball</v>
      </c>
      <c r="G2510" s="1" t="str">
        <f>LOOKUP(B2510, Maps!A:A, Maps!B:B)</f>
        <v>Northern Arctic Lands</v>
      </c>
    </row>
    <row r="2511" ht="15.75" customHeight="1">
      <c r="A2511" s="1">
        <v>112.0</v>
      </c>
      <c r="B2511" s="1">
        <v>17.0</v>
      </c>
      <c r="C2511" s="1">
        <v>19.0</v>
      </c>
      <c r="D2511" s="1">
        <v>80.0</v>
      </c>
      <c r="F2511" s="1" t="str">
        <f>LOOKUP(A2511, NPCs!A:A, NPCs!C:C)</f>
        <v>Snowball</v>
      </c>
      <c r="G2511" s="1" t="str">
        <f>LOOKUP(B2511, Maps!A:A, Maps!B:B)</f>
        <v>Northern Arctic Lands</v>
      </c>
    </row>
    <row r="2512" ht="15.75" customHeight="1">
      <c r="A2512" s="1">
        <v>112.0</v>
      </c>
      <c r="B2512" s="1">
        <v>17.0</v>
      </c>
      <c r="C2512" s="1">
        <v>19.0</v>
      </c>
      <c r="D2512" s="1">
        <v>75.0</v>
      </c>
      <c r="F2512" s="1" t="str">
        <f>LOOKUP(A2512, NPCs!A:A, NPCs!C:C)</f>
        <v>Snowball</v>
      </c>
      <c r="G2512" s="1" t="str">
        <f>LOOKUP(B2512, Maps!A:A, Maps!B:B)</f>
        <v>Northern Arctic Lands</v>
      </c>
    </row>
    <row r="2513" ht="15.75" customHeight="1">
      <c r="A2513" s="1">
        <v>112.0</v>
      </c>
      <c r="B2513" s="1">
        <v>17.0</v>
      </c>
      <c r="C2513" s="1">
        <v>26.0</v>
      </c>
      <c r="D2513" s="1">
        <v>74.0</v>
      </c>
      <c r="F2513" s="1" t="str">
        <f>LOOKUP(A2513, NPCs!A:A, NPCs!C:C)</f>
        <v>Snowball</v>
      </c>
      <c r="G2513" s="1" t="str">
        <f>LOOKUP(B2513, Maps!A:A, Maps!B:B)</f>
        <v>Northern Arctic Lands</v>
      </c>
    </row>
    <row r="2514" ht="15.75" customHeight="1">
      <c r="A2514" s="1">
        <v>112.0</v>
      </c>
      <c r="B2514" s="1">
        <v>17.0</v>
      </c>
      <c r="C2514" s="1">
        <v>32.0</v>
      </c>
      <c r="D2514" s="1">
        <v>76.0</v>
      </c>
      <c r="F2514" s="1" t="str">
        <f>LOOKUP(A2514, NPCs!A:A, NPCs!C:C)</f>
        <v>Snowball</v>
      </c>
      <c r="G2514" s="1" t="str">
        <f>LOOKUP(B2514, Maps!A:A, Maps!B:B)</f>
        <v>Northern Arctic Lands</v>
      </c>
    </row>
    <row r="2515" ht="15.75" customHeight="1">
      <c r="A2515" s="1">
        <v>112.0</v>
      </c>
      <c r="B2515" s="1">
        <v>17.0</v>
      </c>
      <c r="C2515" s="1">
        <v>35.0</v>
      </c>
      <c r="D2515" s="1">
        <v>69.0</v>
      </c>
      <c r="F2515" s="1" t="str">
        <f>LOOKUP(A2515, NPCs!A:A, NPCs!C:C)</f>
        <v>Snowball</v>
      </c>
      <c r="G2515" s="1" t="str">
        <f>LOOKUP(B2515, Maps!A:A, Maps!B:B)</f>
        <v>Northern Arctic Lands</v>
      </c>
    </row>
    <row r="2516" ht="15.75" customHeight="1">
      <c r="A2516" s="1">
        <v>112.0</v>
      </c>
      <c r="B2516" s="1">
        <v>17.0</v>
      </c>
      <c r="C2516" s="1">
        <v>15.0</v>
      </c>
      <c r="D2516" s="1">
        <v>71.0</v>
      </c>
      <c r="F2516" s="1" t="str">
        <f>LOOKUP(A2516, NPCs!A:A, NPCs!C:C)</f>
        <v>Snowball</v>
      </c>
      <c r="G2516" s="1" t="str">
        <f>LOOKUP(B2516, Maps!A:A, Maps!B:B)</f>
        <v>Northern Arctic Lands</v>
      </c>
    </row>
    <row r="2517" ht="15.75" customHeight="1">
      <c r="A2517" s="1">
        <v>112.0</v>
      </c>
      <c r="B2517" s="1">
        <v>17.0</v>
      </c>
      <c r="C2517" s="1">
        <v>10.0</v>
      </c>
      <c r="D2517" s="1">
        <v>71.0</v>
      </c>
      <c r="F2517" s="1" t="str">
        <f>LOOKUP(A2517, NPCs!A:A, NPCs!C:C)</f>
        <v>Snowball</v>
      </c>
      <c r="G2517" s="1" t="str">
        <f>LOOKUP(B2517, Maps!A:A, Maps!B:B)</f>
        <v>Northern Arctic Lands</v>
      </c>
    </row>
    <row r="2518" ht="15.75" customHeight="1">
      <c r="A2518" s="1">
        <v>112.0</v>
      </c>
      <c r="B2518" s="1">
        <v>17.0</v>
      </c>
      <c r="C2518" s="1">
        <v>10.0</v>
      </c>
      <c r="D2518" s="1">
        <v>68.0</v>
      </c>
      <c r="F2518" s="1" t="str">
        <f>LOOKUP(A2518, NPCs!A:A, NPCs!C:C)</f>
        <v>Snowball</v>
      </c>
      <c r="G2518" s="1" t="str">
        <f>LOOKUP(B2518, Maps!A:A, Maps!B:B)</f>
        <v>Northern Arctic Lands</v>
      </c>
    </row>
    <row r="2519" ht="15.75" customHeight="1">
      <c r="A2519" s="1">
        <v>112.0</v>
      </c>
      <c r="B2519" s="1">
        <v>17.0</v>
      </c>
      <c r="C2519" s="1">
        <v>3.0</v>
      </c>
      <c r="D2519" s="1">
        <v>71.0</v>
      </c>
      <c r="F2519" s="1" t="str">
        <f>LOOKUP(A2519, NPCs!A:A, NPCs!C:C)</f>
        <v>Snowball</v>
      </c>
      <c r="G2519" s="1" t="str">
        <f>LOOKUP(B2519, Maps!A:A, Maps!B:B)</f>
        <v>Northern Arctic Lands</v>
      </c>
    </row>
    <row r="2520" ht="15.75" customHeight="1">
      <c r="A2520" s="1">
        <v>112.0</v>
      </c>
      <c r="B2520" s="1">
        <v>17.0</v>
      </c>
      <c r="C2520" s="1">
        <v>5.0</v>
      </c>
      <c r="D2520" s="1">
        <v>61.0</v>
      </c>
      <c r="F2520" s="1" t="str">
        <f>LOOKUP(A2520, NPCs!A:A, NPCs!C:C)</f>
        <v>Snowball</v>
      </c>
      <c r="G2520" s="1" t="str">
        <f>LOOKUP(B2520, Maps!A:A, Maps!B:B)</f>
        <v>Northern Arctic Lands</v>
      </c>
    </row>
    <row r="2521" ht="15.75" customHeight="1">
      <c r="A2521" s="1">
        <v>112.0</v>
      </c>
      <c r="B2521" s="1">
        <v>17.0</v>
      </c>
      <c r="C2521" s="1">
        <v>13.0</v>
      </c>
      <c r="D2521" s="1">
        <v>62.0</v>
      </c>
      <c r="F2521" s="1" t="str">
        <f>LOOKUP(A2521, NPCs!A:A, NPCs!C:C)</f>
        <v>Snowball</v>
      </c>
      <c r="G2521" s="1" t="str">
        <f>LOOKUP(B2521, Maps!A:A, Maps!B:B)</f>
        <v>Northern Arctic Lands</v>
      </c>
    </row>
    <row r="2522" ht="15.75" customHeight="1">
      <c r="A2522" s="1">
        <v>112.0</v>
      </c>
      <c r="B2522" s="1">
        <v>17.0</v>
      </c>
      <c r="C2522" s="1">
        <v>21.0</v>
      </c>
      <c r="D2522" s="1">
        <v>65.0</v>
      </c>
      <c r="F2522" s="1" t="str">
        <f>LOOKUP(A2522, NPCs!A:A, NPCs!C:C)</f>
        <v>Snowball</v>
      </c>
      <c r="G2522" s="1" t="str">
        <f>LOOKUP(B2522, Maps!A:A, Maps!B:B)</f>
        <v>Northern Arctic Lands</v>
      </c>
    </row>
    <row r="2523" ht="15.75" customHeight="1">
      <c r="A2523" s="1">
        <v>112.0</v>
      </c>
      <c r="B2523" s="1">
        <v>17.0</v>
      </c>
      <c r="C2523" s="1">
        <v>31.0</v>
      </c>
      <c r="D2523" s="1">
        <v>62.0</v>
      </c>
      <c r="F2523" s="1" t="str">
        <f>LOOKUP(A2523, NPCs!A:A, NPCs!C:C)</f>
        <v>Snowball</v>
      </c>
      <c r="G2523" s="1" t="str">
        <f>LOOKUP(B2523, Maps!A:A, Maps!B:B)</f>
        <v>Northern Arctic Lands</v>
      </c>
    </row>
    <row r="2524" ht="15.75" customHeight="1">
      <c r="A2524" s="1">
        <v>112.0</v>
      </c>
      <c r="B2524" s="1">
        <v>17.0</v>
      </c>
      <c r="C2524" s="1">
        <v>37.0</v>
      </c>
      <c r="D2524" s="1">
        <v>64.0</v>
      </c>
      <c r="F2524" s="1" t="str">
        <f>LOOKUP(A2524, NPCs!A:A, NPCs!C:C)</f>
        <v>Snowball</v>
      </c>
      <c r="G2524" s="1" t="str">
        <f>LOOKUP(B2524, Maps!A:A, Maps!B:B)</f>
        <v>Northern Arctic Lands</v>
      </c>
    </row>
    <row r="2525" ht="15.75" customHeight="1">
      <c r="A2525" s="1">
        <v>112.0</v>
      </c>
      <c r="B2525" s="1">
        <v>17.0</v>
      </c>
      <c r="C2525" s="1">
        <v>17.0</v>
      </c>
      <c r="D2525" s="1">
        <v>57.0</v>
      </c>
      <c r="F2525" s="1" t="str">
        <f>LOOKUP(A2525, NPCs!A:A, NPCs!C:C)</f>
        <v>Snowball</v>
      </c>
      <c r="G2525" s="1" t="str">
        <f>LOOKUP(B2525, Maps!A:A, Maps!B:B)</f>
        <v>Northern Arctic Lands</v>
      </c>
    </row>
    <row r="2526" ht="15.75" customHeight="1">
      <c r="A2526" s="1">
        <v>112.0</v>
      </c>
      <c r="B2526" s="1">
        <v>17.0</v>
      </c>
      <c r="C2526" s="1">
        <v>26.0</v>
      </c>
      <c r="D2526" s="1">
        <v>54.0</v>
      </c>
      <c r="F2526" s="1" t="str">
        <f>LOOKUP(A2526, NPCs!A:A, NPCs!C:C)</f>
        <v>Snowball</v>
      </c>
      <c r="G2526" s="1" t="str">
        <f>LOOKUP(B2526, Maps!A:A, Maps!B:B)</f>
        <v>Northern Arctic Lands</v>
      </c>
    </row>
    <row r="2527" ht="15.75" customHeight="1">
      <c r="A2527" s="1">
        <v>112.0</v>
      </c>
      <c r="B2527" s="1">
        <v>17.0</v>
      </c>
      <c r="C2527" s="1">
        <v>35.0</v>
      </c>
      <c r="D2527" s="1">
        <v>53.0</v>
      </c>
      <c r="F2527" s="1" t="str">
        <f>LOOKUP(A2527, NPCs!A:A, NPCs!C:C)</f>
        <v>Snowball</v>
      </c>
      <c r="G2527" s="1" t="str">
        <f>LOOKUP(B2527, Maps!A:A, Maps!B:B)</f>
        <v>Northern Arctic Lands</v>
      </c>
    </row>
    <row r="2528" ht="15.75" customHeight="1">
      <c r="A2528" s="1">
        <v>112.0</v>
      </c>
      <c r="B2528" s="1">
        <v>17.0</v>
      </c>
      <c r="C2528" s="1">
        <v>38.0</v>
      </c>
      <c r="D2528" s="1">
        <v>50.0</v>
      </c>
      <c r="F2528" s="1" t="str">
        <f>LOOKUP(A2528, NPCs!A:A, NPCs!C:C)</f>
        <v>Snowball</v>
      </c>
      <c r="G2528" s="1" t="str">
        <f>LOOKUP(B2528, Maps!A:A, Maps!B:B)</f>
        <v>Northern Arctic Lands</v>
      </c>
    </row>
    <row r="2529" ht="15.75" customHeight="1">
      <c r="A2529" s="1">
        <v>112.0</v>
      </c>
      <c r="B2529" s="1">
        <v>17.0</v>
      </c>
      <c r="C2529" s="1">
        <v>25.0</v>
      </c>
      <c r="D2529" s="1">
        <v>45.0</v>
      </c>
      <c r="F2529" s="1" t="str">
        <f>LOOKUP(A2529, NPCs!A:A, NPCs!C:C)</f>
        <v>Snowball</v>
      </c>
      <c r="G2529" s="1" t="str">
        <f>LOOKUP(B2529, Maps!A:A, Maps!B:B)</f>
        <v>Northern Arctic Lands</v>
      </c>
    </row>
    <row r="2530" ht="15.75" customHeight="1">
      <c r="A2530" s="1">
        <v>112.0</v>
      </c>
      <c r="B2530" s="1">
        <v>17.0</v>
      </c>
      <c r="C2530" s="1">
        <v>18.0</v>
      </c>
      <c r="D2530" s="1">
        <v>49.0</v>
      </c>
      <c r="F2530" s="1" t="str">
        <f>LOOKUP(A2530, NPCs!A:A, NPCs!C:C)</f>
        <v>Snowball</v>
      </c>
      <c r="G2530" s="1" t="str">
        <f>LOOKUP(B2530, Maps!A:A, Maps!B:B)</f>
        <v>Northern Arctic Lands</v>
      </c>
    </row>
    <row r="2531" ht="15.75" customHeight="1">
      <c r="A2531" s="1">
        <v>112.0</v>
      </c>
      <c r="B2531" s="1">
        <v>17.0</v>
      </c>
      <c r="C2531" s="1">
        <v>2.0</v>
      </c>
      <c r="D2531" s="1">
        <v>48.0</v>
      </c>
      <c r="F2531" s="1" t="str">
        <f>LOOKUP(A2531, NPCs!A:A, NPCs!C:C)</f>
        <v>Snowball</v>
      </c>
      <c r="G2531" s="1" t="str">
        <f>LOOKUP(B2531, Maps!A:A, Maps!B:B)</f>
        <v>Northern Arctic Lands</v>
      </c>
    </row>
    <row r="2532" ht="15.75" customHeight="1">
      <c r="A2532" s="1">
        <v>112.0</v>
      </c>
      <c r="B2532" s="1">
        <v>17.0</v>
      </c>
      <c r="C2532" s="1">
        <v>2.0</v>
      </c>
      <c r="D2532" s="1">
        <v>53.0</v>
      </c>
      <c r="F2532" s="1" t="str">
        <f>LOOKUP(A2532, NPCs!A:A, NPCs!C:C)</f>
        <v>Snowball</v>
      </c>
      <c r="G2532" s="1" t="str">
        <f>LOOKUP(B2532, Maps!A:A, Maps!B:B)</f>
        <v>Northern Arctic Lands</v>
      </c>
    </row>
    <row r="2533" ht="15.75" customHeight="1">
      <c r="A2533" s="1">
        <v>112.0</v>
      </c>
      <c r="B2533" s="1">
        <v>17.0</v>
      </c>
      <c r="C2533" s="1">
        <v>5.0</v>
      </c>
      <c r="D2533" s="1">
        <v>32.0</v>
      </c>
      <c r="F2533" s="1" t="str">
        <f>LOOKUP(A2533, NPCs!A:A, NPCs!C:C)</f>
        <v>Snowball</v>
      </c>
      <c r="G2533" s="1" t="str">
        <f>LOOKUP(B2533, Maps!A:A, Maps!B:B)</f>
        <v>Northern Arctic Lands</v>
      </c>
    </row>
    <row r="2534" ht="15.75" customHeight="1">
      <c r="A2534" s="1">
        <v>112.0</v>
      </c>
      <c r="B2534" s="1">
        <v>17.0</v>
      </c>
      <c r="C2534" s="1">
        <v>13.0</v>
      </c>
      <c r="D2534" s="1">
        <v>34.0</v>
      </c>
      <c r="F2534" s="1" t="str">
        <f>LOOKUP(A2534, NPCs!A:A, NPCs!C:C)</f>
        <v>Snowball</v>
      </c>
      <c r="G2534" s="1" t="str">
        <f>LOOKUP(B2534, Maps!A:A, Maps!B:B)</f>
        <v>Northern Arctic Lands</v>
      </c>
    </row>
    <row r="2535" ht="15.75" customHeight="1">
      <c r="A2535" s="1">
        <v>112.0</v>
      </c>
      <c r="B2535" s="1">
        <v>17.0</v>
      </c>
      <c r="C2535" s="1">
        <v>48.0</v>
      </c>
      <c r="D2535" s="1">
        <v>37.0</v>
      </c>
      <c r="F2535" s="1" t="str">
        <f>LOOKUP(A2535, NPCs!A:A, NPCs!C:C)</f>
        <v>Snowball</v>
      </c>
      <c r="G2535" s="1" t="str">
        <f>LOOKUP(B2535, Maps!A:A, Maps!B:B)</f>
        <v>Northern Arctic Lands</v>
      </c>
    </row>
    <row r="2536" ht="15.75" customHeight="1">
      <c r="A2536" s="1">
        <v>112.0</v>
      </c>
      <c r="B2536" s="1">
        <v>17.0</v>
      </c>
      <c r="C2536" s="1">
        <v>52.0</v>
      </c>
      <c r="D2536" s="1">
        <v>37.0</v>
      </c>
      <c r="F2536" s="1" t="str">
        <f>LOOKUP(A2536, NPCs!A:A, NPCs!C:C)</f>
        <v>Snowball</v>
      </c>
      <c r="G2536" s="1" t="str">
        <f>LOOKUP(B2536, Maps!A:A, Maps!B:B)</f>
        <v>Northern Arctic Lands</v>
      </c>
    </row>
    <row r="2537" ht="15.75" customHeight="1">
      <c r="A2537" s="1">
        <v>112.0</v>
      </c>
      <c r="B2537" s="1">
        <v>17.0</v>
      </c>
      <c r="C2537" s="1">
        <v>48.0</v>
      </c>
      <c r="D2537" s="1">
        <v>30.0</v>
      </c>
      <c r="F2537" s="1" t="str">
        <f>LOOKUP(A2537, NPCs!A:A, NPCs!C:C)</f>
        <v>Snowball</v>
      </c>
      <c r="G2537" s="1" t="str">
        <f>LOOKUP(B2537, Maps!A:A, Maps!B:B)</f>
        <v>Northern Arctic Lands</v>
      </c>
    </row>
    <row r="2538" ht="15.75" customHeight="1">
      <c r="A2538" s="1">
        <v>112.0</v>
      </c>
      <c r="B2538" s="1">
        <v>17.0</v>
      </c>
      <c r="C2538" s="1">
        <v>52.0</v>
      </c>
      <c r="D2538" s="1">
        <v>30.0</v>
      </c>
      <c r="F2538" s="1" t="str">
        <f>LOOKUP(A2538, NPCs!A:A, NPCs!C:C)</f>
        <v>Snowball</v>
      </c>
      <c r="G2538" s="1" t="str">
        <f>LOOKUP(B2538, Maps!A:A, Maps!B:B)</f>
        <v>Northern Arctic Lands</v>
      </c>
    </row>
    <row r="2539" ht="15.75" customHeight="1">
      <c r="A2539" s="1">
        <v>112.0</v>
      </c>
      <c r="B2539" s="1">
        <v>17.0</v>
      </c>
      <c r="C2539" s="1">
        <v>48.0</v>
      </c>
      <c r="D2539" s="1">
        <v>22.0</v>
      </c>
      <c r="F2539" s="1" t="str">
        <f>LOOKUP(A2539, NPCs!A:A, NPCs!C:C)</f>
        <v>Snowball</v>
      </c>
      <c r="G2539" s="1" t="str">
        <f>LOOKUP(B2539, Maps!A:A, Maps!B:B)</f>
        <v>Northern Arctic Lands</v>
      </c>
    </row>
    <row r="2540" ht="15.75" customHeight="1">
      <c r="A2540" s="1">
        <v>112.0</v>
      </c>
      <c r="B2540" s="1">
        <v>17.0</v>
      </c>
      <c r="C2540" s="1">
        <v>52.0</v>
      </c>
      <c r="D2540" s="1">
        <v>22.0</v>
      </c>
      <c r="F2540" s="1" t="str">
        <f>LOOKUP(A2540, NPCs!A:A, NPCs!C:C)</f>
        <v>Snowball</v>
      </c>
      <c r="G2540" s="1" t="str">
        <f>LOOKUP(B2540, Maps!A:A, Maps!B:B)</f>
        <v>Northern Arctic Lands</v>
      </c>
    </row>
    <row r="2541" ht="15.75" customHeight="1">
      <c r="A2541" s="1">
        <v>112.0</v>
      </c>
      <c r="B2541" s="1">
        <v>17.0</v>
      </c>
      <c r="C2541" s="1">
        <v>49.0</v>
      </c>
      <c r="D2541" s="1">
        <v>17.0</v>
      </c>
      <c r="F2541" s="1" t="str">
        <f>LOOKUP(A2541, NPCs!A:A, NPCs!C:C)</f>
        <v>Snowball</v>
      </c>
      <c r="G2541" s="1" t="str">
        <f>LOOKUP(B2541, Maps!A:A, Maps!B:B)</f>
        <v>Northern Arctic Lands</v>
      </c>
    </row>
    <row r="2542" ht="15.75" customHeight="1">
      <c r="A2542" s="1">
        <v>112.0</v>
      </c>
      <c r="B2542" s="1">
        <v>17.0</v>
      </c>
      <c r="C2542" s="1">
        <v>46.0</v>
      </c>
      <c r="D2542" s="1">
        <v>16.0</v>
      </c>
      <c r="F2542" s="1" t="str">
        <f>LOOKUP(A2542, NPCs!A:A, NPCs!C:C)</f>
        <v>Snowball</v>
      </c>
      <c r="G2542" s="1" t="str">
        <f>LOOKUP(B2542, Maps!A:A, Maps!B:B)</f>
        <v>Northern Arctic Lands</v>
      </c>
    </row>
    <row r="2543" ht="15.75" customHeight="1">
      <c r="A2543" s="1">
        <v>112.0</v>
      </c>
      <c r="B2543" s="1">
        <v>17.0</v>
      </c>
      <c r="C2543" s="1">
        <v>54.0</v>
      </c>
      <c r="D2543" s="1">
        <v>17.0</v>
      </c>
      <c r="F2543" s="1" t="str">
        <f>LOOKUP(A2543, NPCs!A:A, NPCs!C:C)</f>
        <v>Snowball</v>
      </c>
      <c r="G2543" s="1" t="str">
        <f>LOOKUP(B2543, Maps!A:A, Maps!B:B)</f>
        <v>Northern Arctic Lands</v>
      </c>
    </row>
    <row r="2544" ht="15.75" customHeight="1">
      <c r="A2544" s="1">
        <v>112.0</v>
      </c>
      <c r="B2544" s="1">
        <v>17.0</v>
      </c>
      <c r="C2544" s="1">
        <v>54.0</v>
      </c>
      <c r="D2544" s="1">
        <v>15.0</v>
      </c>
      <c r="F2544" s="1" t="str">
        <f>LOOKUP(A2544, NPCs!A:A, NPCs!C:C)</f>
        <v>Snowball</v>
      </c>
      <c r="G2544" s="1" t="str">
        <f>LOOKUP(B2544, Maps!A:A, Maps!B:B)</f>
        <v>Northern Arctic Lands</v>
      </c>
    </row>
    <row r="2545" ht="15.75" customHeight="1">
      <c r="A2545" s="1">
        <v>112.0</v>
      </c>
      <c r="B2545" s="1">
        <v>17.0</v>
      </c>
      <c r="C2545" s="1">
        <v>62.0</v>
      </c>
      <c r="D2545" s="1">
        <v>16.0</v>
      </c>
      <c r="F2545" s="1" t="str">
        <f>LOOKUP(A2545, NPCs!A:A, NPCs!C:C)</f>
        <v>Snowball</v>
      </c>
      <c r="G2545" s="1" t="str">
        <f>LOOKUP(B2545, Maps!A:A, Maps!B:B)</f>
        <v>Northern Arctic Lands</v>
      </c>
    </row>
    <row r="2546" ht="15.75" customHeight="1">
      <c r="A2546" s="1">
        <v>112.0</v>
      </c>
      <c r="B2546" s="1">
        <v>17.0</v>
      </c>
      <c r="C2546" s="1">
        <v>67.0</v>
      </c>
      <c r="D2546" s="1">
        <v>17.0</v>
      </c>
      <c r="F2546" s="1" t="str">
        <f>LOOKUP(A2546, NPCs!A:A, NPCs!C:C)</f>
        <v>Snowball</v>
      </c>
      <c r="G2546" s="1" t="str">
        <f>LOOKUP(B2546, Maps!A:A, Maps!B:B)</f>
        <v>Northern Arctic Lands</v>
      </c>
    </row>
    <row r="2547" ht="15.75" customHeight="1">
      <c r="A2547" s="1">
        <v>112.0</v>
      </c>
      <c r="B2547" s="1">
        <v>17.0</v>
      </c>
      <c r="C2547" s="1">
        <v>8.0</v>
      </c>
      <c r="D2547" s="1">
        <v>22.0</v>
      </c>
      <c r="F2547" s="1" t="str">
        <f>LOOKUP(A2547, NPCs!A:A, NPCs!C:C)</f>
        <v>Snowball</v>
      </c>
      <c r="G2547" s="1" t="str">
        <f>LOOKUP(B2547, Maps!A:A, Maps!B:B)</f>
        <v>Northern Arctic Lands</v>
      </c>
    </row>
    <row r="2548" ht="15.75" customHeight="1">
      <c r="A2548" s="1">
        <v>112.0</v>
      </c>
      <c r="B2548" s="1">
        <v>17.0</v>
      </c>
      <c r="C2548" s="1">
        <v>15.0</v>
      </c>
      <c r="D2548" s="1">
        <v>22.0</v>
      </c>
      <c r="F2548" s="1" t="str">
        <f>LOOKUP(A2548, NPCs!A:A, NPCs!C:C)</f>
        <v>Snowball</v>
      </c>
      <c r="G2548" s="1" t="str">
        <f>LOOKUP(B2548, Maps!A:A, Maps!B:B)</f>
        <v>Northern Arctic Lands</v>
      </c>
    </row>
    <row r="2549" ht="15.75" customHeight="1">
      <c r="A2549" s="1">
        <v>112.0</v>
      </c>
      <c r="B2549" s="1">
        <v>17.0</v>
      </c>
      <c r="C2549" s="1">
        <v>19.0</v>
      </c>
      <c r="D2549" s="1">
        <v>21.0</v>
      </c>
      <c r="F2549" s="1" t="str">
        <f>LOOKUP(A2549, NPCs!A:A, NPCs!C:C)</f>
        <v>Snowball</v>
      </c>
      <c r="G2549" s="1" t="str">
        <f>LOOKUP(B2549, Maps!A:A, Maps!B:B)</f>
        <v>Northern Arctic Lands</v>
      </c>
    </row>
    <row r="2550" ht="15.75" customHeight="1">
      <c r="A2550" s="1">
        <v>112.0</v>
      </c>
      <c r="B2550" s="1">
        <v>17.0</v>
      </c>
      <c r="C2550" s="1">
        <v>20.0</v>
      </c>
      <c r="D2550" s="1">
        <v>27.0</v>
      </c>
      <c r="F2550" s="1" t="str">
        <f>LOOKUP(A2550, NPCs!A:A, NPCs!C:C)</f>
        <v>Snowball</v>
      </c>
      <c r="G2550" s="1" t="str">
        <f>LOOKUP(B2550, Maps!A:A, Maps!B:B)</f>
        <v>Northern Arctic Lands</v>
      </c>
    </row>
    <row r="2551" ht="15.75" customHeight="1">
      <c r="A2551" s="1">
        <v>112.0</v>
      </c>
      <c r="B2551" s="1">
        <v>17.0</v>
      </c>
      <c r="C2551" s="1">
        <v>22.0</v>
      </c>
      <c r="D2551" s="1">
        <v>26.0</v>
      </c>
      <c r="F2551" s="1" t="str">
        <f>LOOKUP(A2551, NPCs!A:A, NPCs!C:C)</f>
        <v>Snowball</v>
      </c>
      <c r="G2551" s="1" t="str">
        <f>LOOKUP(B2551, Maps!A:A, Maps!B:B)</f>
        <v>Northern Arctic Lands</v>
      </c>
    </row>
    <row r="2552" ht="15.75" customHeight="1">
      <c r="A2552" s="1">
        <v>112.0</v>
      </c>
      <c r="B2552" s="1">
        <v>17.0</v>
      </c>
      <c r="C2552" s="1">
        <v>23.0</v>
      </c>
      <c r="D2552" s="1">
        <v>19.0</v>
      </c>
      <c r="F2552" s="1" t="str">
        <f>LOOKUP(A2552, NPCs!A:A, NPCs!C:C)</f>
        <v>Snowball</v>
      </c>
      <c r="G2552" s="1" t="str">
        <f>LOOKUP(B2552, Maps!A:A, Maps!B:B)</f>
        <v>Northern Arctic Lands</v>
      </c>
    </row>
    <row r="2553" ht="15.75" customHeight="1">
      <c r="A2553" s="1">
        <v>112.0</v>
      </c>
      <c r="B2553" s="1">
        <v>17.0</v>
      </c>
      <c r="C2553" s="1">
        <v>15.0</v>
      </c>
      <c r="D2553" s="1">
        <v>16.0</v>
      </c>
      <c r="F2553" s="1" t="str">
        <f>LOOKUP(A2553, NPCs!A:A, NPCs!C:C)</f>
        <v>Snowball</v>
      </c>
      <c r="G2553" s="1" t="str">
        <f>LOOKUP(B2553, Maps!A:A, Maps!B:B)</f>
        <v>Northern Arctic Lands</v>
      </c>
    </row>
    <row r="2554" ht="15.75" customHeight="1">
      <c r="A2554" s="1">
        <v>112.0</v>
      </c>
      <c r="B2554" s="1">
        <v>17.0</v>
      </c>
      <c r="C2554" s="1">
        <v>22.0</v>
      </c>
      <c r="D2554" s="1">
        <v>14.0</v>
      </c>
      <c r="F2554" s="1" t="str">
        <f>LOOKUP(A2554, NPCs!A:A, NPCs!C:C)</f>
        <v>Snowball</v>
      </c>
      <c r="G2554" s="1" t="str">
        <f>LOOKUP(B2554, Maps!A:A, Maps!B:B)</f>
        <v>Northern Arctic Lands</v>
      </c>
    </row>
    <row r="2555" ht="15.75" customHeight="1">
      <c r="A2555" s="1">
        <v>112.0</v>
      </c>
      <c r="B2555" s="1">
        <v>17.0</v>
      </c>
      <c r="C2555" s="1">
        <v>33.0</v>
      </c>
      <c r="D2555" s="1">
        <v>18.0</v>
      </c>
      <c r="F2555" s="1" t="str">
        <f>LOOKUP(A2555, NPCs!A:A, NPCs!C:C)</f>
        <v>Snowball</v>
      </c>
      <c r="G2555" s="1" t="str">
        <f>LOOKUP(B2555, Maps!A:A, Maps!B:B)</f>
        <v>Northern Arctic Lands</v>
      </c>
    </row>
    <row r="2556" ht="15.75" customHeight="1">
      <c r="A2556" s="1">
        <v>112.0</v>
      </c>
      <c r="B2556" s="1">
        <v>17.0</v>
      </c>
      <c r="C2556" s="1">
        <v>60.0</v>
      </c>
      <c r="D2556" s="1">
        <v>61.0</v>
      </c>
      <c r="F2556" s="1" t="str">
        <f>LOOKUP(A2556, NPCs!A:A, NPCs!C:C)</f>
        <v>Snowball</v>
      </c>
      <c r="G2556" s="1" t="str">
        <f>LOOKUP(B2556, Maps!A:A, Maps!B:B)</f>
        <v>Northern Arctic Lands</v>
      </c>
    </row>
    <row r="2557" ht="15.75" customHeight="1">
      <c r="A2557" s="1">
        <v>112.0</v>
      </c>
      <c r="B2557" s="1">
        <v>17.0</v>
      </c>
      <c r="C2557" s="1">
        <v>98.0</v>
      </c>
      <c r="D2557" s="1">
        <v>71.0</v>
      </c>
      <c r="F2557" s="1" t="str">
        <f>LOOKUP(A2557, NPCs!A:A, NPCs!C:C)</f>
        <v>Snowball</v>
      </c>
      <c r="G2557" s="1" t="str">
        <f>LOOKUP(B2557, Maps!A:A, Maps!B:B)</f>
        <v>Northern Arctic Lands</v>
      </c>
    </row>
    <row r="2558" ht="15.75" customHeight="1">
      <c r="A2558" s="1">
        <v>112.0</v>
      </c>
      <c r="B2558" s="1">
        <v>17.0</v>
      </c>
      <c r="C2558" s="1">
        <v>92.0</v>
      </c>
      <c r="D2558" s="1">
        <v>68.0</v>
      </c>
      <c r="F2558" s="1" t="str">
        <f>LOOKUP(A2558, NPCs!A:A, NPCs!C:C)</f>
        <v>Snowball</v>
      </c>
      <c r="G2558" s="1" t="str">
        <f>LOOKUP(B2558, Maps!A:A, Maps!B:B)</f>
        <v>Northern Arctic Lands</v>
      </c>
    </row>
    <row r="2559" ht="15.75" customHeight="1">
      <c r="A2559" s="1">
        <v>112.0</v>
      </c>
      <c r="B2559" s="1">
        <v>17.0</v>
      </c>
      <c r="C2559" s="1">
        <v>76.0</v>
      </c>
      <c r="D2559" s="1">
        <v>58.0</v>
      </c>
      <c r="F2559" s="1" t="str">
        <f>LOOKUP(A2559, NPCs!A:A, NPCs!C:C)</f>
        <v>Snowball</v>
      </c>
      <c r="G2559" s="1" t="str">
        <f>LOOKUP(B2559, Maps!A:A, Maps!B:B)</f>
        <v>Northern Arctic Lands</v>
      </c>
    </row>
    <row r="2560" ht="15.75" customHeight="1">
      <c r="A2560" s="1">
        <v>112.0</v>
      </c>
      <c r="B2560" s="1">
        <v>17.0</v>
      </c>
      <c r="C2560" s="1">
        <v>66.0</v>
      </c>
      <c r="D2560" s="1">
        <v>38.0</v>
      </c>
      <c r="F2560" s="1" t="str">
        <f>LOOKUP(A2560, NPCs!A:A, NPCs!C:C)</f>
        <v>Snowball</v>
      </c>
      <c r="G2560" s="1" t="str">
        <f>LOOKUP(B2560, Maps!A:A, Maps!B:B)</f>
        <v>Northern Arctic Lands</v>
      </c>
    </row>
    <row r="2561" ht="15.75" customHeight="1">
      <c r="A2561" s="1">
        <v>112.0</v>
      </c>
      <c r="B2561" s="1">
        <v>17.0</v>
      </c>
      <c r="C2561" s="1">
        <v>72.0</v>
      </c>
      <c r="D2561" s="1">
        <v>35.0</v>
      </c>
      <c r="F2561" s="1" t="str">
        <f>LOOKUP(A2561, NPCs!A:A, NPCs!C:C)</f>
        <v>Snowball</v>
      </c>
      <c r="G2561" s="1" t="str">
        <f>LOOKUP(B2561, Maps!A:A, Maps!B:B)</f>
        <v>Northern Arctic Lands</v>
      </c>
    </row>
    <row r="2562" ht="15.75" customHeight="1">
      <c r="A2562" s="1">
        <v>112.0</v>
      </c>
      <c r="B2562" s="1">
        <v>17.0</v>
      </c>
      <c r="C2562" s="1">
        <v>79.0</v>
      </c>
      <c r="D2562" s="1">
        <v>34.0</v>
      </c>
      <c r="F2562" s="1" t="str">
        <f>LOOKUP(A2562, NPCs!A:A, NPCs!C:C)</f>
        <v>Snowball</v>
      </c>
      <c r="G2562" s="1" t="str">
        <f>LOOKUP(B2562, Maps!A:A, Maps!B:B)</f>
        <v>Northern Arctic Lands</v>
      </c>
    </row>
    <row r="2563" ht="15.75" customHeight="1">
      <c r="A2563" s="1">
        <v>112.0</v>
      </c>
      <c r="B2563" s="1">
        <v>17.0</v>
      </c>
      <c r="C2563" s="1">
        <v>84.0</v>
      </c>
      <c r="D2563" s="1">
        <v>38.0</v>
      </c>
      <c r="F2563" s="1" t="str">
        <f>LOOKUP(A2563, NPCs!A:A, NPCs!C:C)</f>
        <v>Snowball</v>
      </c>
      <c r="G2563" s="1" t="str">
        <f>LOOKUP(B2563, Maps!A:A, Maps!B:B)</f>
        <v>Northern Arctic Lands</v>
      </c>
    </row>
    <row r="2564" ht="15.75" customHeight="1">
      <c r="A2564" s="1">
        <v>112.0</v>
      </c>
      <c r="B2564" s="1">
        <v>17.0</v>
      </c>
      <c r="C2564" s="1">
        <v>96.0</v>
      </c>
      <c r="D2564" s="1">
        <v>31.0</v>
      </c>
      <c r="F2564" s="1" t="str">
        <f>LOOKUP(A2564, NPCs!A:A, NPCs!C:C)</f>
        <v>Snowball</v>
      </c>
      <c r="G2564" s="1" t="str">
        <f>LOOKUP(B2564, Maps!A:A, Maps!B:B)</f>
        <v>Northern Arctic Lands</v>
      </c>
    </row>
    <row r="2565" ht="15.75" customHeight="1">
      <c r="A2565" s="1">
        <v>112.0</v>
      </c>
      <c r="B2565" s="1">
        <v>17.0</v>
      </c>
      <c r="C2565" s="1">
        <v>84.0</v>
      </c>
      <c r="D2565" s="1">
        <v>54.0</v>
      </c>
      <c r="F2565" s="1" t="str">
        <f>LOOKUP(A2565, NPCs!A:A, NPCs!C:C)</f>
        <v>Snowball</v>
      </c>
      <c r="G2565" s="1" t="str">
        <f>LOOKUP(B2565, Maps!A:A, Maps!B:B)</f>
        <v>Northern Arctic Lands</v>
      </c>
    </row>
    <row r="2566" ht="15.75" customHeight="1">
      <c r="A2566" s="1">
        <v>112.0</v>
      </c>
      <c r="B2566" s="1">
        <v>17.0</v>
      </c>
      <c r="C2566" s="1">
        <v>87.0</v>
      </c>
      <c r="D2566" s="1">
        <v>58.0</v>
      </c>
      <c r="F2566" s="1" t="str">
        <f>LOOKUP(A2566, NPCs!A:A, NPCs!C:C)</f>
        <v>Snowball</v>
      </c>
      <c r="G2566" s="1" t="str">
        <f>LOOKUP(B2566, Maps!A:A, Maps!B:B)</f>
        <v>Northern Arctic Lands</v>
      </c>
    </row>
    <row r="2567" ht="15.75" customHeight="1">
      <c r="A2567" s="1">
        <v>112.0</v>
      </c>
      <c r="B2567" s="1">
        <v>17.0</v>
      </c>
      <c r="C2567" s="1">
        <v>93.0</v>
      </c>
      <c r="D2567" s="1">
        <v>57.0</v>
      </c>
      <c r="F2567" s="1" t="str">
        <f>LOOKUP(A2567, NPCs!A:A, NPCs!C:C)</f>
        <v>Snowball</v>
      </c>
      <c r="G2567" s="1" t="str">
        <f>LOOKUP(B2567, Maps!A:A, Maps!B:B)</f>
        <v>Northern Arctic Lands</v>
      </c>
    </row>
    <row r="2568" ht="15.75" customHeight="1">
      <c r="A2568" s="1">
        <v>112.0</v>
      </c>
      <c r="B2568" s="1">
        <v>17.0</v>
      </c>
      <c r="C2568" s="1">
        <v>98.0</v>
      </c>
      <c r="D2568" s="1">
        <v>57.0</v>
      </c>
      <c r="F2568" s="1" t="str">
        <f>LOOKUP(A2568, NPCs!A:A, NPCs!C:C)</f>
        <v>Snowball</v>
      </c>
      <c r="G2568" s="1" t="str">
        <f>LOOKUP(B2568, Maps!A:A, Maps!B:B)</f>
        <v>Northern Arctic Lands</v>
      </c>
    </row>
    <row r="2569" ht="15.75" customHeight="1">
      <c r="A2569" s="1">
        <v>112.0</v>
      </c>
      <c r="B2569" s="1">
        <v>17.0</v>
      </c>
      <c r="C2569" s="1">
        <v>95.0</v>
      </c>
      <c r="D2569" s="1">
        <v>53.0</v>
      </c>
      <c r="F2569" s="1" t="str">
        <f>LOOKUP(A2569, NPCs!A:A, NPCs!C:C)</f>
        <v>Snowball</v>
      </c>
      <c r="G2569" s="1" t="str">
        <f>LOOKUP(B2569, Maps!A:A, Maps!B:B)</f>
        <v>Northern Arctic Lands</v>
      </c>
    </row>
    <row r="2570" ht="15.75" customHeight="1">
      <c r="A2570" s="1">
        <v>112.0</v>
      </c>
      <c r="B2570" s="1">
        <v>17.0</v>
      </c>
      <c r="C2570" s="1">
        <v>85.0</v>
      </c>
      <c r="D2570" s="1">
        <v>30.0</v>
      </c>
      <c r="F2570" s="1" t="str">
        <f>LOOKUP(A2570, NPCs!A:A, NPCs!C:C)</f>
        <v>Snowball</v>
      </c>
      <c r="G2570" s="1" t="str">
        <f>LOOKUP(B2570, Maps!A:A, Maps!B:B)</f>
        <v>Northern Arctic Lands</v>
      </c>
    </row>
    <row r="2571" ht="15.75" customHeight="1">
      <c r="A2571" s="1">
        <v>112.0</v>
      </c>
      <c r="B2571" s="1">
        <v>17.0</v>
      </c>
      <c r="C2571" s="1">
        <v>80.0</v>
      </c>
      <c r="D2571" s="1">
        <v>26.0</v>
      </c>
      <c r="F2571" s="1" t="str">
        <f>LOOKUP(A2571, NPCs!A:A, NPCs!C:C)</f>
        <v>Snowball</v>
      </c>
      <c r="G2571" s="1" t="str">
        <f>LOOKUP(B2571, Maps!A:A, Maps!B:B)</f>
        <v>Northern Arctic Lands</v>
      </c>
    </row>
    <row r="2572" ht="15.75" customHeight="1">
      <c r="A2572" s="1">
        <v>112.0</v>
      </c>
      <c r="B2572" s="1">
        <v>17.0</v>
      </c>
      <c r="C2572" s="1">
        <v>69.0</v>
      </c>
      <c r="D2572" s="1">
        <v>28.0</v>
      </c>
      <c r="F2572" s="1" t="str">
        <f>LOOKUP(A2572, NPCs!A:A, NPCs!C:C)</f>
        <v>Snowball</v>
      </c>
      <c r="G2572" s="1" t="str">
        <f>LOOKUP(B2572, Maps!A:A, Maps!B:B)</f>
        <v>Northern Arctic Lands</v>
      </c>
    </row>
    <row r="2573" ht="15.75" customHeight="1">
      <c r="A2573" s="1">
        <v>112.0</v>
      </c>
      <c r="B2573" s="1">
        <v>17.0</v>
      </c>
      <c r="C2573" s="1">
        <v>75.0</v>
      </c>
      <c r="D2573" s="1">
        <v>24.0</v>
      </c>
      <c r="F2573" s="1" t="str">
        <f>LOOKUP(A2573, NPCs!A:A, NPCs!C:C)</f>
        <v>Snowball</v>
      </c>
      <c r="G2573" s="1" t="str">
        <f>LOOKUP(B2573, Maps!A:A, Maps!B:B)</f>
        <v>Northern Arctic Lands</v>
      </c>
    </row>
    <row r="2574" ht="15.75" customHeight="1">
      <c r="A2574" s="1">
        <v>112.0</v>
      </c>
      <c r="B2574" s="1">
        <v>17.0</v>
      </c>
      <c r="C2574" s="1">
        <v>86.0</v>
      </c>
      <c r="D2574" s="1">
        <v>24.0</v>
      </c>
      <c r="F2574" s="1" t="str">
        <f>LOOKUP(A2574, NPCs!A:A, NPCs!C:C)</f>
        <v>Snowball</v>
      </c>
      <c r="G2574" s="1" t="str">
        <f>LOOKUP(B2574, Maps!A:A, Maps!B:B)</f>
        <v>Northern Arctic Lands</v>
      </c>
    </row>
    <row r="2575" ht="15.75" customHeight="1">
      <c r="A2575" s="1">
        <v>112.0</v>
      </c>
      <c r="B2575" s="1">
        <v>17.0</v>
      </c>
      <c r="C2575" s="1">
        <v>94.0</v>
      </c>
      <c r="D2575" s="1">
        <v>24.0</v>
      </c>
      <c r="F2575" s="1" t="str">
        <f>LOOKUP(A2575, NPCs!A:A, NPCs!C:C)</f>
        <v>Snowball</v>
      </c>
      <c r="G2575" s="1" t="str">
        <f>LOOKUP(B2575, Maps!A:A, Maps!B:B)</f>
        <v>Northern Arctic Lands</v>
      </c>
    </row>
    <row r="2576" ht="15.75" customHeight="1">
      <c r="A2576" s="1">
        <v>112.0</v>
      </c>
      <c r="B2576" s="1">
        <v>17.0</v>
      </c>
      <c r="C2576" s="1">
        <v>79.0</v>
      </c>
      <c r="D2576" s="1">
        <v>16.0</v>
      </c>
      <c r="F2576" s="1" t="str">
        <f>LOOKUP(A2576, NPCs!A:A, NPCs!C:C)</f>
        <v>Snowball</v>
      </c>
      <c r="G2576" s="1" t="str">
        <f>LOOKUP(B2576, Maps!A:A, Maps!B:B)</f>
        <v>Northern Arctic Lands</v>
      </c>
    </row>
    <row r="2577" ht="15.75" customHeight="1">
      <c r="A2577" s="1">
        <v>112.0</v>
      </c>
      <c r="B2577" s="1">
        <v>17.0</v>
      </c>
      <c r="C2577" s="1">
        <v>92.0</v>
      </c>
      <c r="D2577" s="1">
        <v>10.0</v>
      </c>
      <c r="F2577" s="1" t="str">
        <f>LOOKUP(A2577, NPCs!A:A, NPCs!C:C)</f>
        <v>Snowball</v>
      </c>
      <c r="G2577" s="1" t="str">
        <f>LOOKUP(B2577, Maps!A:A, Maps!B:B)</f>
        <v>Northern Arctic Lands</v>
      </c>
    </row>
    <row r="2578" ht="15.75" customHeight="1">
      <c r="A2578" s="1">
        <v>112.0</v>
      </c>
      <c r="B2578" s="1">
        <v>17.0</v>
      </c>
      <c r="C2578" s="1">
        <v>90.0</v>
      </c>
      <c r="D2578" s="1">
        <v>5.0</v>
      </c>
      <c r="F2578" s="1" t="str">
        <f>LOOKUP(A2578, NPCs!A:A, NPCs!C:C)</f>
        <v>Snowball</v>
      </c>
      <c r="G2578" s="1" t="str">
        <f>LOOKUP(B2578, Maps!A:A, Maps!B:B)</f>
        <v>Northern Arctic Lands</v>
      </c>
    </row>
    <row r="2579" ht="15.75" customHeight="1">
      <c r="A2579" s="1">
        <v>112.0</v>
      </c>
      <c r="B2579" s="1">
        <v>17.0</v>
      </c>
      <c r="C2579" s="1">
        <v>85.0</v>
      </c>
      <c r="D2579" s="1">
        <v>8.0</v>
      </c>
      <c r="F2579" s="1" t="str">
        <f>LOOKUP(A2579, NPCs!A:A, NPCs!C:C)</f>
        <v>Snowball</v>
      </c>
      <c r="G2579" s="1" t="str">
        <f>LOOKUP(B2579, Maps!A:A, Maps!B:B)</f>
        <v>Northern Arctic Lands</v>
      </c>
    </row>
    <row r="2580" ht="15.75" customHeight="1">
      <c r="A2580" s="1">
        <v>112.0</v>
      </c>
      <c r="B2580" s="1">
        <v>17.0</v>
      </c>
      <c r="C2580" s="1">
        <v>80.0</v>
      </c>
      <c r="D2580" s="1">
        <v>8.0</v>
      </c>
      <c r="F2580" s="1" t="str">
        <f>LOOKUP(A2580, NPCs!A:A, NPCs!C:C)</f>
        <v>Snowball</v>
      </c>
      <c r="G2580" s="1" t="str">
        <f>LOOKUP(B2580, Maps!A:A, Maps!B:B)</f>
        <v>Northern Arctic Lands</v>
      </c>
    </row>
    <row r="2581" ht="15.75" customHeight="1">
      <c r="A2581" s="1">
        <v>112.0</v>
      </c>
      <c r="B2581" s="1">
        <v>17.0</v>
      </c>
      <c r="C2581" s="1">
        <v>72.0</v>
      </c>
      <c r="D2581" s="1">
        <v>6.0</v>
      </c>
      <c r="F2581" s="1" t="str">
        <f>LOOKUP(A2581, NPCs!A:A, NPCs!C:C)</f>
        <v>Snowball</v>
      </c>
      <c r="G2581" s="1" t="str">
        <f>LOOKUP(B2581, Maps!A:A, Maps!B:B)</f>
        <v>Northern Arctic Lands</v>
      </c>
    </row>
    <row r="2582" ht="15.75" customHeight="1">
      <c r="A2582" s="1">
        <v>112.0</v>
      </c>
      <c r="B2582" s="1">
        <v>17.0</v>
      </c>
      <c r="C2582" s="1">
        <v>71.0</v>
      </c>
      <c r="D2582" s="1">
        <v>10.0</v>
      </c>
      <c r="F2582" s="1" t="str">
        <f>LOOKUP(A2582, NPCs!A:A, NPCs!C:C)</f>
        <v>Snowball</v>
      </c>
      <c r="G2582" s="1" t="str">
        <f>LOOKUP(B2582, Maps!A:A, Maps!B:B)</f>
        <v>Northern Arctic Lands</v>
      </c>
    </row>
    <row r="2583" ht="15.75" customHeight="1">
      <c r="A2583" s="1">
        <v>110.0</v>
      </c>
      <c r="B2583" s="1">
        <v>17.0</v>
      </c>
      <c r="C2583" s="1">
        <v>99.0</v>
      </c>
      <c r="D2583" s="1">
        <v>82.0</v>
      </c>
      <c r="F2583" s="1" t="str">
        <f>LOOKUP(A2583, NPCs!A:A, NPCs!C:C)</f>
        <v>Carrots</v>
      </c>
      <c r="G2583" s="1" t="str">
        <f>LOOKUP(B2583, Maps!A:A, Maps!B:B)</f>
        <v>Northern Arctic Lands</v>
      </c>
    </row>
    <row r="2584" ht="15.75" customHeight="1">
      <c r="A2584" s="1">
        <v>111.0</v>
      </c>
      <c r="B2584" s="1">
        <v>17.0</v>
      </c>
      <c r="C2584" s="1">
        <v>50.0</v>
      </c>
      <c r="D2584" s="1">
        <v>13.0</v>
      </c>
      <c r="F2584" s="1" t="str">
        <f>LOOKUP(A2584, NPCs!A:A, NPCs!C:C)</f>
        <v>Fluffzilla</v>
      </c>
      <c r="G2584" s="1" t="str">
        <f>LOOKUP(B2584, Maps!A:A, Maps!B:B)</f>
        <v>Northern Arctic Lands</v>
      </c>
    </row>
    <row r="2585" ht="15.75" customHeight="1">
      <c r="A2585" s="1">
        <v>115.0</v>
      </c>
      <c r="B2585" s="1">
        <v>2.0</v>
      </c>
      <c r="C2585" s="1">
        <v>97.0</v>
      </c>
      <c r="D2585" s="1">
        <v>94.0</v>
      </c>
      <c r="F2585" s="1" t="str">
        <f>LOOKUP(A2585, NPCs!A:A, NPCs!C:C)</f>
        <v>Unloved</v>
      </c>
      <c r="G2585" s="1" t="str">
        <f>LOOKUP(B2585, Maps!A:A, Maps!B:B)</f>
        <v>Its the Bat Cave Robin</v>
      </c>
    </row>
    <row r="2586" ht="15.75" customHeight="1">
      <c r="A2586" s="1">
        <v>115.0</v>
      </c>
      <c r="B2586" s="1">
        <v>2.0</v>
      </c>
      <c r="C2586" s="1">
        <v>94.0</v>
      </c>
      <c r="D2586" s="1">
        <v>94.0</v>
      </c>
      <c r="F2586" s="1" t="str">
        <f>LOOKUP(A2586, NPCs!A:A, NPCs!C:C)</f>
        <v>Unloved</v>
      </c>
      <c r="G2586" s="1" t="str">
        <f>LOOKUP(B2586, Maps!A:A, Maps!B:B)</f>
        <v>Its the Bat Cave Robin</v>
      </c>
    </row>
    <row r="2587" ht="15.75" customHeight="1">
      <c r="A2587" s="1">
        <v>115.0</v>
      </c>
      <c r="B2587" s="1">
        <v>2.0</v>
      </c>
      <c r="C2587" s="1">
        <v>94.0</v>
      </c>
      <c r="D2587" s="1">
        <v>90.0</v>
      </c>
      <c r="F2587" s="1" t="str">
        <f>LOOKUP(A2587, NPCs!A:A, NPCs!C:C)</f>
        <v>Unloved</v>
      </c>
      <c r="G2587" s="1" t="str">
        <f>LOOKUP(B2587, Maps!A:A, Maps!B:B)</f>
        <v>Its the Bat Cave Robin</v>
      </c>
    </row>
    <row r="2588" ht="15.75" customHeight="1">
      <c r="A2588" s="1">
        <v>115.0</v>
      </c>
      <c r="B2588" s="1">
        <v>2.0</v>
      </c>
      <c r="C2588" s="1">
        <v>90.0</v>
      </c>
      <c r="D2588" s="1">
        <v>88.0</v>
      </c>
      <c r="F2588" s="1" t="str">
        <f>LOOKUP(A2588, NPCs!A:A, NPCs!C:C)</f>
        <v>Unloved</v>
      </c>
      <c r="G2588" s="1" t="str">
        <f>LOOKUP(B2588, Maps!A:A, Maps!B:B)</f>
        <v>Its the Bat Cave Robin</v>
      </c>
    </row>
    <row r="2589" ht="15.75" customHeight="1">
      <c r="A2589" s="1">
        <v>115.0</v>
      </c>
      <c r="B2589" s="1">
        <v>2.0</v>
      </c>
      <c r="C2589" s="1">
        <v>90.0</v>
      </c>
      <c r="D2589" s="1">
        <v>83.0</v>
      </c>
      <c r="F2589" s="1" t="str">
        <f>LOOKUP(A2589, NPCs!A:A, NPCs!C:C)</f>
        <v>Unloved</v>
      </c>
      <c r="G2589" s="1" t="str">
        <f>LOOKUP(B2589, Maps!A:A, Maps!B:B)</f>
        <v>Its the Bat Cave Robin</v>
      </c>
    </row>
    <row r="2590" ht="15.75" customHeight="1">
      <c r="A2590" s="1">
        <v>115.0</v>
      </c>
      <c r="B2590" s="1">
        <v>2.0</v>
      </c>
      <c r="C2590" s="1">
        <v>90.0</v>
      </c>
      <c r="D2590" s="1">
        <v>77.0</v>
      </c>
      <c r="F2590" s="1" t="str">
        <f>LOOKUP(A2590, NPCs!A:A, NPCs!C:C)</f>
        <v>Unloved</v>
      </c>
      <c r="G2590" s="1" t="str">
        <f>LOOKUP(B2590, Maps!A:A, Maps!B:B)</f>
        <v>Its the Bat Cave Robin</v>
      </c>
    </row>
    <row r="2591" ht="15.75" customHeight="1">
      <c r="A2591" s="1">
        <v>115.0</v>
      </c>
      <c r="B2591" s="1">
        <v>2.0</v>
      </c>
      <c r="C2591" s="1">
        <v>90.0</v>
      </c>
      <c r="D2591" s="1">
        <v>71.0</v>
      </c>
      <c r="F2591" s="1" t="str">
        <f>LOOKUP(A2591, NPCs!A:A, NPCs!C:C)</f>
        <v>Unloved</v>
      </c>
      <c r="G2591" s="1" t="str">
        <f>LOOKUP(B2591, Maps!A:A, Maps!B:B)</f>
        <v>Its the Bat Cave Robin</v>
      </c>
    </row>
    <row r="2592" ht="15.75" customHeight="1">
      <c r="A2592" s="1">
        <v>115.0</v>
      </c>
      <c r="B2592" s="1">
        <v>2.0</v>
      </c>
      <c r="C2592" s="1">
        <v>91.0</v>
      </c>
      <c r="D2592" s="1">
        <v>69.0</v>
      </c>
      <c r="F2592" s="1" t="str">
        <f>LOOKUP(A2592, NPCs!A:A, NPCs!C:C)</f>
        <v>Unloved</v>
      </c>
      <c r="G2592" s="1" t="str">
        <f>LOOKUP(B2592, Maps!A:A, Maps!B:B)</f>
        <v>Its the Bat Cave Robin</v>
      </c>
    </row>
    <row r="2593" ht="15.75" customHeight="1">
      <c r="A2593" s="1">
        <v>115.0</v>
      </c>
      <c r="B2593" s="1">
        <v>2.0</v>
      </c>
      <c r="C2593" s="1">
        <v>91.0</v>
      </c>
      <c r="D2593" s="1">
        <v>67.0</v>
      </c>
      <c r="F2593" s="1" t="str">
        <f>LOOKUP(A2593, NPCs!A:A, NPCs!C:C)</f>
        <v>Unloved</v>
      </c>
      <c r="G2593" s="1" t="str">
        <f>LOOKUP(B2593, Maps!A:A, Maps!B:B)</f>
        <v>Its the Bat Cave Robin</v>
      </c>
    </row>
    <row r="2594" ht="15.75" customHeight="1">
      <c r="A2594" s="1">
        <v>115.0</v>
      </c>
      <c r="B2594" s="1">
        <v>2.0</v>
      </c>
      <c r="C2594" s="1">
        <v>93.0</v>
      </c>
      <c r="D2594" s="1">
        <v>68.0</v>
      </c>
      <c r="F2594" s="1" t="str">
        <f>LOOKUP(A2594, NPCs!A:A, NPCs!C:C)</f>
        <v>Unloved</v>
      </c>
      <c r="G2594" s="1" t="str">
        <f>LOOKUP(B2594, Maps!A:A, Maps!B:B)</f>
        <v>Its the Bat Cave Robin</v>
      </c>
    </row>
    <row r="2595" ht="15.75" customHeight="1">
      <c r="A2595" s="1">
        <v>115.0</v>
      </c>
      <c r="B2595" s="1">
        <v>2.0</v>
      </c>
      <c r="C2595" s="1">
        <v>93.0</v>
      </c>
      <c r="D2595" s="1">
        <v>70.0</v>
      </c>
      <c r="F2595" s="1" t="str">
        <f>LOOKUP(A2595, NPCs!A:A, NPCs!C:C)</f>
        <v>Unloved</v>
      </c>
      <c r="G2595" s="1" t="str">
        <f>LOOKUP(B2595, Maps!A:A, Maps!B:B)</f>
        <v>Its the Bat Cave Robin</v>
      </c>
    </row>
    <row r="2596" ht="15.75" customHeight="1">
      <c r="A2596" s="1">
        <v>115.0</v>
      </c>
      <c r="B2596" s="1">
        <v>2.0</v>
      </c>
      <c r="C2596" s="1">
        <v>95.0</v>
      </c>
      <c r="D2596" s="1">
        <v>69.0</v>
      </c>
      <c r="F2596" s="1" t="str">
        <f>LOOKUP(A2596, NPCs!A:A, NPCs!C:C)</f>
        <v>Unloved</v>
      </c>
      <c r="G2596" s="1" t="str">
        <f>LOOKUP(B2596, Maps!A:A, Maps!B:B)</f>
        <v>Its the Bat Cave Robin</v>
      </c>
    </row>
    <row r="2597" ht="15.75" customHeight="1">
      <c r="A2597" s="1">
        <v>115.0</v>
      </c>
      <c r="B2597" s="1">
        <v>2.0</v>
      </c>
      <c r="C2597" s="1">
        <v>95.0</v>
      </c>
      <c r="D2597" s="1">
        <v>67.0</v>
      </c>
      <c r="F2597" s="1" t="str">
        <f>LOOKUP(A2597, NPCs!A:A, NPCs!C:C)</f>
        <v>Unloved</v>
      </c>
      <c r="G2597" s="1" t="str">
        <f>LOOKUP(B2597, Maps!A:A, Maps!B:B)</f>
        <v>Its the Bat Cave Robin</v>
      </c>
    </row>
    <row r="2598" ht="15.75" customHeight="1">
      <c r="A2598" s="1">
        <v>115.0</v>
      </c>
      <c r="B2598" s="1">
        <v>2.0</v>
      </c>
      <c r="C2598" s="1">
        <v>93.0</v>
      </c>
      <c r="D2598" s="1">
        <v>66.0</v>
      </c>
      <c r="F2598" s="1" t="str">
        <f>LOOKUP(A2598, NPCs!A:A, NPCs!C:C)</f>
        <v>Unloved</v>
      </c>
      <c r="G2598" s="1" t="str">
        <f>LOOKUP(B2598, Maps!A:A, Maps!B:B)</f>
        <v>Its the Bat Cave Robin</v>
      </c>
    </row>
    <row r="2599" ht="15.75" customHeight="1">
      <c r="A2599" s="1">
        <v>115.0</v>
      </c>
      <c r="B2599" s="1">
        <v>2.0</v>
      </c>
      <c r="C2599" s="1">
        <v>95.0</v>
      </c>
      <c r="D2599" s="1">
        <v>64.0</v>
      </c>
      <c r="F2599" s="1" t="str">
        <f>LOOKUP(A2599, NPCs!A:A, NPCs!C:C)</f>
        <v>Unloved</v>
      </c>
      <c r="G2599" s="1" t="str">
        <f>LOOKUP(B2599, Maps!A:A, Maps!B:B)</f>
        <v>Its the Bat Cave Robin</v>
      </c>
    </row>
    <row r="2600" ht="15.75" customHeight="1">
      <c r="A2600" s="1">
        <v>115.0</v>
      </c>
      <c r="B2600" s="1">
        <v>2.0</v>
      </c>
      <c r="C2600" s="1">
        <v>89.0</v>
      </c>
      <c r="D2600" s="1">
        <v>61.0</v>
      </c>
      <c r="F2600" s="1" t="str">
        <f>LOOKUP(A2600, NPCs!A:A, NPCs!C:C)</f>
        <v>Unloved</v>
      </c>
      <c r="G2600" s="1" t="str">
        <f>LOOKUP(B2600, Maps!A:A, Maps!B:B)</f>
        <v>Its the Bat Cave Robin</v>
      </c>
    </row>
    <row r="2601" ht="15.75" customHeight="1">
      <c r="A2601" s="1">
        <v>115.0</v>
      </c>
      <c r="B2601" s="1">
        <v>2.0</v>
      </c>
      <c r="C2601" s="1">
        <v>88.0</v>
      </c>
      <c r="D2601" s="1">
        <v>61.0</v>
      </c>
      <c r="F2601" s="1" t="str">
        <f>LOOKUP(A2601, NPCs!A:A, NPCs!C:C)</f>
        <v>Unloved</v>
      </c>
      <c r="G2601" s="1" t="str">
        <f>LOOKUP(B2601, Maps!A:A, Maps!B:B)</f>
        <v>Its the Bat Cave Robin</v>
      </c>
    </row>
    <row r="2602" ht="15.75" customHeight="1">
      <c r="A2602" s="1">
        <v>115.0</v>
      </c>
      <c r="B2602" s="1">
        <v>2.0</v>
      </c>
      <c r="C2602" s="1">
        <v>82.0</v>
      </c>
      <c r="D2602" s="1">
        <v>61.0</v>
      </c>
      <c r="F2602" s="1" t="str">
        <f>LOOKUP(A2602, NPCs!A:A, NPCs!C:C)</f>
        <v>Unloved</v>
      </c>
      <c r="G2602" s="1" t="str">
        <f>LOOKUP(B2602, Maps!A:A, Maps!B:B)</f>
        <v>Its the Bat Cave Robin</v>
      </c>
    </row>
    <row r="2603" ht="15.75" customHeight="1">
      <c r="A2603" s="1">
        <v>115.0</v>
      </c>
      <c r="B2603" s="1">
        <v>2.0</v>
      </c>
      <c r="C2603" s="1">
        <v>80.0</v>
      </c>
      <c r="D2603" s="1">
        <v>62.0</v>
      </c>
      <c r="F2603" s="1" t="str">
        <f>LOOKUP(A2603, NPCs!A:A, NPCs!C:C)</f>
        <v>Unloved</v>
      </c>
      <c r="G2603" s="1" t="str">
        <f>LOOKUP(B2603, Maps!A:A, Maps!B:B)</f>
        <v>Its the Bat Cave Robin</v>
      </c>
    </row>
    <row r="2604" ht="15.75" customHeight="1">
      <c r="A2604" s="1">
        <v>115.0</v>
      </c>
      <c r="B2604" s="1">
        <v>2.0</v>
      </c>
      <c r="C2604" s="1">
        <v>80.0</v>
      </c>
      <c r="D2604" s="1">
        <v>60.0</v>
      </c>
      <c r="F2604" s="1" t="str">
        <f>LOOKUP(A2604, NPCs!A:A, NPCs!C:C)</f>
        <v>Unloved</v>
      </c>
      <c r="G2604" s="1" t="str">
        <f>LOOKUP(B2604, Maps!A:A, Maps!B:B)</f>
        <v>Its the Bat Cave Robin</v>
      </c>
    </row>
    <row r="2605" ht="15.75" customHeight="1">
      <c r="A2605" s="1">
        <v>115.0</v>
      </c>
      <c r="B2605" s="1">
        <v>2.0</v>
      </c>
      <c r="C2605" s="1">
        <v>78.0</v>
      </c>
      <c r="D2605" s="1">
        <v>53.0</v>
      </c>
      <c r="F2605" s="1" t="str">
        <f>LOOKUP(A2605, NPCs!A:A, NPCs!C:C)</f>
        <v>Unloved</v>
      </c>
      <c r="G2605" s="1" t="str">
        <f>LOOKUP(B2605, Maps!A:A, Maps!B:B)</f>
        <v>Its the Bat Cave Robin</v>
      </c>
    </row>
    <row r="2606" ht="15.75" customHeight="1">
      <c r="A2606" s="1">
        <v>115.0</v>
      </c>
      <c r="B2606" s="1">
        <v>2.0</v>
      </c>
      <c r="C2606" s="1">
        <v>84.0</v>
      </c>
      <c r="D2606" s="1">
        <v>52.0</v>
      </c>
      <c r="F2606" s="1" t="str">
        <f>LOOKUP(A2606, NPCs!A:A, NPCs!C:C)</f>
        <v>Unloved</v>
      </c>
      <c r="G2606" s="1" t="str">
        <f>LOOKUP(B2606, Maps!A:A, Maps!B:B)</f>
        <v>Its the Bat Cave Robin</v>
      </c>
    </row>
    <row r="2607" ht="15.75" customHeight="1">
      <c r="A2607" s="1">
        <v>115.0</v>
      </c>
      <c r="B2607" s="1">
        <v>2.0</v>
      </c>
      <c r="C2607" s="1">
        <v>84.0</v>
      </c>
      <c r="D2607" s="1">
        <v>54.0</v>
      </c>
      <c r="F2607" s="1" t="str">
        <f>LOOKUP(A2607, NPCs!A:A, NPCs!C:C)</f>
        <v>Unloved</v>
      </c>
      <c r="G2607" s="1" t="str">
        <f>LOOKUP(B2607, Maps!A:A, Maps!B:B)</f>
        <v>Its the Bat Cave Robin</v>
      </c>
    </row>
    <row r="2608" ht="15.75" customHeight="1">
      <c r="A2608" s="1">
        <v>115.0</v>
      </c>
      <c r="B2608" s="1">
        <v>2.0</v>
      </c>
      <c r="C2608" s="1">
        <v>89.0</v>
      </c>
      <c r="D2608" s="1">
        <v>52.0</v>
      </c>
      <c r="F2608" s="1" t="str">
        <f>LOOKUP(A2608, NPCs!A:A, NPCs!C:C)</f>
        <v>Unloved</v>
      </c>
      <c r="G2608" s="1" t="str">
        <f>LOOKUP(B2608, Maps!A:A, Maps!B:B)</f>
        <v>Its the Bat Cave Robin</v>
      </c>
    </row>
    <row r="2609" ht="15.75" customHeight="1">
      <c r="A2609" s="1">
        <v>115.0</v>
      </c>
      <c r="B2609" s="1">
        <v>2.0</v>
      </c>
      <c r="C2609" s="1">
        <v>90.0</v>
      </c>
      <c r="D2609" s="1">
        <v>50.0</v>
      </c>
      <c r="F2609" s="1" t="str">
        <f>LOOKUP(A2609, NPCs!A:A, NPCs!C:C)</f>
        <v>Unloved</v>
      </c>
      <c r="G2609" s="1" t="str">
        <f>LOOKUP(B2609, Maps!A:A, Maps!B:B)</f>
        <v>Its the Bat Cave Robin</v>
      </c>
    </row>
    <row r="2610" ht="15.75" customHeight="1">
      <c r="A2610" s="1">
        <v>115.0</v>
      </c>
      <c r="B2610" s="1">
        <v>2.0</v>
      </c>
      <c r="C2610" s="1">
        <v>92.0</v>
      </c>
      <c r="D2610" s="1">
        <v>50.0</v>
      </c>
      <c r="F2610" s="1" t="str">
        <f>LOOKUP(A2610, NPCs!A:A, NPCs!C:C)</f>
        <v>Unloved</v>
      </c>
      <c r="G2610" s="1" t="str">
        <f>LOOKUP(B2610, Maps!A:A, Maps!B:B)</f>
        <v>Its the Bat Cave Robin</v>
      </c>
    </row>
    <row r="2611" ht="15.75" customHeight="1">
      <c r="A2611" s="1">
        <v>115.0</v>
      </c>
      <c r="B2611" s="1">
        <v>2.0</v>
      </c>
      <c r="C2611" s="1">
        <v>90.0</v>
      </c>
      <c r="D2611" s="1">
        <v>47.0</v>
      </c>
      <c r="F2611" s="1" t="str">
        <f>LOOKUP(A2611, NPCs!A:A, NPCs!C:C)</f>
        <v>Unloved</v>
      </c>
      <c r="G2611" s="1" t="str">
        <f>LOOKUP(B2611, Maps!A:A, Maps!B:B)</f>
        <v>Its the Bat Cave Robin</v>
      </c>
    </row>
    <row r="2612" ht="15.75" customHeight="1">
      <c r="A2612" s="1">
        <v>115.0</v>
      </c>
      <c r="B2612" s="1">
        <v>2.0</v>
      </c>
      <c r="C2612" s="1">
        <v>78.0</v>
      </c>
      <c r="D2612" s="1">
        <v>67.0</v>
      </c>
      <c r="F2612" s="1" t="str">
        <f>LOOKUP(A2612, NPCs!A:A, NPCs!C:C)</f>
        <v>Unloved</v>
      </c>
      <c r="G2612" s="1" t="str">
        <f>LOOKUP(B2612, Maps!A:A, Maps!B:B)</f>
        <v>Its the Bat Cave Robin</v>
      </c>
    </row>
    <row r="2613" ht="15.75" customHeight="1">
      <c r="A2613" s="1">
        <v>115.0</v>
      </c>
      <c r="B2613" s="1">
        <v>2.0</v>
      </c>
      <c r="C2613" s="1">
        <v>78.0</v>
      </c>
      <c r="D2613" s="1">
        <v>69.0</v>
      </c>
      <c r="F2613" s="1" t="str">
        <f>LOOKUP(A2613, NPCs!A:A, NPCs!C:C)</f>
        <v>Unloved</v>
      </c>
      <c r="G2613" s="1" t="str">
        <f>LOOKUP(B2613, Maps!A:A, Maps!B:B)</f>
        <v>Its the Bat Cave Robin</v>
      </c>
    </row>
    <row r="2614" ht="15.75" customHeight="1">
      <c r="A2614" s="1">
        <v>115.0</v>
      </c>
      <c r="B2614" s="1">
        <v>2.0</v>
      </c>
      <c r="C2614" s="1">
        <v>41.0</v>
      </c>
      <c r="D2614" s="1">
        <v>72.0</v>
      </c>
      <c r="F2614" s="1" t="str">
        <f>LOOKUP(A2614, NPCs!A:A, NPCs!C:C)</f>
        <v>Unloved</v>
      </c>
      <c r="G2614" s="1" t="str">
        <f>LOOKUP(B2614, Maps!A:A, Maps!B:B)</f>
        <v>Its the Bat Cave Robin</v>
      </c>
    </row>
    <row r="2615" ht="15.75" customHeight="1">
      <c r="A2615" s="1">
        <v>115.0</v>
      </c>
      <c r="B2615" s="1">
        <v>2.0</v>
      </c>
      <c r="C2615" s="1">
        <v>42.0</v>
      </c>
      <c r="D2615" s="1">
        <v>71.0</v>
      </c>
      <c r="F2615" s="1" t="str">
        <f>LOOKUP(A2615, NPCs!A:A, NPCs!C:C)</f>
        <v>Unloved</v>
      </c>
      <c r="G2615" s="1" t="str">
        <f>LOOKUP(B2615, Maps!A:A, Maps!B:B)</f>
        <v>Its the Bat Cave Robin</v>
      </c>
    </row>
    <row r="2616" ht="15.75" customHeight="1">
      <c r="A2616" s="1">
        <v>115.0</v>
      </c>
      <c r="B2616" s="1">
        <v>2.0</v>
      </c>
      <c r="C2616" s="1">
        <v>41.0</v>
      </c>
      <c r="D2616" s="1">
        <v>70.0</v>
      </c>
      <c r="F2616" s="1" t="str">
        <f>LOOKUP(A2616, NPCs!A:A, NPCs!C:C)</f>
        <v>Unloved</v>
      </c>
      <c r="G2616" s="1" t="str">
        <f>LOOKUP(B2616, Maps!A:A, Maps!B:B)</f>
        <v>Its the Bat Cave Robin</v>
      </c>
    </row>
    <row r="2617" ht="15.75" customHeight="1">
      <c r="A2617" s="1">
        <v>115.0</v>
      </c>
      <c r="B2617" s="1">
        <v>2.0</v>
      </c>
      <c r="C2617" s="1">
        <v>44.0</v>
      </c>
      <c r="D2617" s="1">
        <v>67.0</v>
      </c>
      <c r="F2617" s="1" t="str">
        <f>LOOKUP(A2617, NPCs!A:A, NPCs!C:C)</f>
        <v>Unloved</v>
      </c>
      <c r="G2617" s="1" t="str">
        <f>LOOKUP(B2617, Maps!A:A, Maps!B:B)</f>
        <v>Its the Bat Cave Robin</v>
      </c>
    </row>
    <row r="2618" ht="15.75" customHeight="1">
      <c r="A2618" s="1">
        <v>115.0</v>
      </c>
      <c r="B2618" s="1">
        <v>2.0</v>
      </c>
      <c r="C2618" s="1">
        <v>52.0</v>
      </c>
      <c r="D2618" s="1">
        <v>68.0</v>
      </c>
      <c r="F2618" s="1" t="str">
        <f>LOOKUP(A2618, NPCs!A:A, NPCs!C:C)</f>
        <v>Unloved</v>
      </c>
      <c r="G2618" s="1" t="str">
        <f>LOOKUP(B2618, Maps!A:A, Maps!B:B)</f>
        <v>Its the Bat Cave Robin</v>
      </c>
    </row>
    <row r="2619" ht="15.75" customHeight="1">
      <c r="A2619" s="1">
        <v>115.0</v>
      </c>
      <c r="B2619" s="1">
        <v>2.0</v>
      </c>
      <c r="C2619" s="1">
        <v>59.0</v>
      </c>
      <c r="D2619" s="1">
        <v>68.0</v>
      </c>
      <c r="F2619" s="1" t="str">
        <f>LOOKUP(A2619, NPCs!A:A, NPCs!C:C)</f>
        <v>Unloved</v>
      </c>
      <c r="G2619" s="1" t="str">
        <f>LOOKUP(B2619, Maps!A:A, Maps!B:B)</f>
        <v>Its the Bat Cave Robin</v>
      </c>
    </row>
    <row r="2620" ht="15.75" customHeight="1">
      <c r="A2620" s="1">
        <v>115.0</v>
      </c>
      <c r="B2620" s="1">
        <v>2.0</v>
      </c>
      <c r="C2620" s="1">
        <v>65.0</v>
      </c>
      <c r="D2620" s="1">
        <v>68.0</v>
      </c>
      <c r="F2620" s="1" t="str">
        <f>LOOKUP(A2620, NPCs!A:A, NPCs!C:C)</f>
        <v>Unloved</v>
      </c>
      <c r="G2620" s="1" t="str">
        <f>LOOKUP(B2620, Maps!A:A, Maps!B:B)</f>
        <v>Its the Bat Cave Robin</v>
      </c>
    </row>
    <row r="2621" ht="15.75" customHeight="1">
      <c r="A2621" s="1">
        <v>115.0</v>
      </c>
      <c r="B2621" s="1">
        <v>2.0</v>
      </c>
      <c r="C2621" s="1">
        <v>71.0</v>
      </c>
      <c r="D2621" s="1">
        <v>68.0</v>
      </c>
      <c r="F2621" s="1" t="str">
        <f>LOOKUP(A2621, NPCs!A:A, NPCs!C:C)</f>
        <v>Unloved</v>
      </c>
      <c r="G2621" s="1" t="str">
        <f>LOOKUP(B2621, Maps!A:A, Maps!B:B)</f>
        <v>Its the Bat Cave Robin</v>
      </c>
    </row>
    <row r="2622" ht="15.75" customHeight="1">
      <c r="A2622" s="1">
        <v>115.0</v>
      </c>
      <c r="B2622" s="1">
        <v>2.0</v>
      </c>
      <c r="C2622" s="1">
        <v>85.0</v>
      </c>
      <c r="D2622" s="1">
        <v>92.0</v>
      </c>
      <c r="F2622" s="1" t="str">
        <f>LOOKUP(A2622, NPCs!A:A, NPCs!C:C)</f>
        <v>Unloved</v>
      </c>
      <c r="G2622" s="1" t="str">
        <f>LOOKUP(B2622, Maps!A:A, Maps!B:B)</f>
        <v>Its the Bat Cave Robin</v>
      </c>
    </row>
    <row r="2623" ht="15.75" customHeight="1">
      <c r="A2623" s="1">
        <v>115.0</v>
      </c>
      <c r="B2623" s="1">
        <v>2.0</v>
      </c>
      <c r="C2623" s="1">
        <v>81.0</v>
      </c>
      <c r="D2623" s="1">
        <v>90.0</v>
      </c>
      <c r="F2623" s="1" t="str">
        <f>LOOKUP(A2623, NPCs!A:A, NPCs!C:C)</f>
        <v>Unloved</v>
      </c>
      <c r="G2623" s="1" t="str">
        <f>LOOKUP(B2623, Maps!A:A, Maps!B:B)</f>
        <v>Its the Bat Cave Robin</v>
      </c>
    </row>
    <row r="2624" ht="15.75" customHeight="1">
      <c r="A2624" s="1">
        <v>115.0</v>
      </c>
      <c r="B2624" s="1">
        <v>2.0</v>
      </c>
      <c r="C2624" s="1">
        <v>77.0</v>
      </c>
      <c r="D2624" s="1">
        <v>91.0</v>
      </c>
      <c r="F2624" s="1" t="str">
        <f>LOOKUP(A2624, NPCs!A:A, NPCs!C:C)</f>
        <v>Unloved</v>
      </c>
      <c r="G2624" s="1" t="str">
        <f>LOOKUP(B2624, Maps!A:A, Maps!B:B)</f>
        <v>Its the Bat Cave Robin</v>
      </c>
    </row>
    <row r="2625" ht="15.75" customHeight="1">
      <c r="A2625" s="1">
        <v>115.0</v>
      </c>
      <c r="B2625" s="1">
        <v>2.0</v>
      </c>
      <c r="C2625" s="1">
        <v>71.0</v>
      </c>
      <c r="D2625" s="1">
        <v>89.0</v>
      </c>
      <c r="F2625" s="1" t="str">
        <f>LOOKUP(A2625, NPCs!A:A, NPCs!C:C)</f>
        <v>Unloved</v>
      </c>
      <c r="G2625" s="1" t="str">
        <f>LOOKUP(B2625, Maps!A:A, Maps!B:B)</f>
        <v>Its the Bat Cave Robin</v>
      </c>
    </row>
    <row r="2626" ht="15.75" customHeight="1">
      <c r="A2626" s="1">
        <v>115.0</v>
      </c>
      <c r="B2626" s="1">
        <v>2.0</v>
      </c>
      <c r="C2626" s="1">
        <v>71.0</v>
      </c>
      <c r="D2626" s="1">
        <v>79.0</v>
      </c>
      <c r="F2626" s="1" t="str">
        <f>LOOKUP(A2626, NPCs!A:A, NPCs!C:C)</f>
        <v>Unloved</v>
      </c>
      <c r="G2626" s="1" t="str">
        <f>LOOKUP(B2626, Maps!A:A, Maps!B:B)</f>
        <v>Its the Bat Cave Robin</v>
      </c>
    </row>
    <row r="2627" ht="15.75" customHeight="1">
      <c r="A2627" s="1">
        <v>115.0</v>
      </c>
      <c r="B2627" s="1">
        <v>2.0</v>
      </c>
      <c r="C2627" s="1">
        <v>67.0</v>
      </c>
      <c r="D2627" s="1">
        <v>77.0</v>
      </c>
      <c r="F2627" s="1" t="str">
        <f>LOOKUP(A2627, NPCs!A:A, NPCs!C:C)</f>
        <v>Unloved</v>
      </c>
      <c r="G2627" s="1" t="str">
        <f>LOOKUP(B2627, Maps!A:A, Maps!B:B)</f>
        <v>Its the Bat Cave Robin</v>
      </c>
    </row>
    <row r="2628" ht="15.75" customHeight="1">
      <c r="A2628" s="1">
        <v>115.0</v>
      </c>
      <c r="B2628" s="1">
        <v>2.0</v>
      </c>
      <c r="C2628" s="1">
        <v>59.0</v>
      </c>
      <c r="D2628" s="1">
        <v>77.0</v>
      </c>
      <c r="F2628" s="1" t="str">
        <f>LOOKUP(A2628, NPCs!A:A, NPCs!C:C)</f>
        <v>Unloved</v>
      </c>
      <c r="G2628" s="1" t="str">
        <f>LOOKUP(B2628, Maps!A:A, Maps!B:B)</f>
        <v>Its the Bat Cave Robin</v>
      </c>
    </row>
    <row r="2629" ht="15.75" customHeight="1">
      <c r="A2629" s="1">
        <v>115.0</v>
      </c>
      <c r="B2629" s="1">
        <v>2.0</v>
      </c>
      <c r="C2629" s="1">
        <v>57.0</v>
      </c>
      <c r="D2629" s="1">
        <v>82.0</v>
      </c>
      <c r="F2629" s="1" t="str">
        <f>LOOKUP(A2629, NPCs!A:A, NPCs!C:C)</f>
        <v>Unloved</v>
      </c>
      <c r="G2629" s="1" t="str">
        <f>LOOKUP(B2629, Maps!A:A, Maps!B:B)</f>
        <v>Its the Bat Cave Robin</v>
      </c>
    </row>
    <row r="2630" ht="15.75" customHeight="1">
      <c r="A2630" s="1">
        <v>115.0</v>
      </c>
      <c r="B2630" s="1">
        <v>2.0</v>
      </c>
      <c r="C2630" s="1">
        <v>49.0</v>
      </c>
      <c r="D2630" s="1">
        <v>85.0</v>
      </c>
      <c r="F2630" s="1" t="str">
        <f>LOOKUP(A2630, NPCs!A:A, NPCs!C:C)</f>
        <v>Unloved</v>
      </c>
      <c r="G2630" s="1" t="str">
        <f>LOOKUP(B2630, Maps!A:A, Maps!B:B)</f>
        <v>Its the Bat Cave Robin</v>
      </c>
    </row>
    <row r="2631" ht="15.75" customHeight="1">
      <c r="A2631" s="1">
        <v>115.0</v>
      </c>
      <c r="B2631" s="1">
        <v>2.0</v>
      </c>
      <c r="C2631" s="1">
        <v>47.0</v>
      </c>
      <c r="D2631" s="1">
        <v>83.0</v>
      </c>
      <c r="F2631" s="1" t="str">
        <f>LOOKUP(A2631, NPCs!A:A, NPCs!C:C)</f>
        <v>Unloved</v>
      </c>
      <c r="G2631" s="1" t="str">
        <f>LOOKUP(B2631, Maps!A:A, Maps!B:B)</f>
        <v>Its the Bat Cave Robin</v>
      </c>
    </row>
    <row r="2632" ht="15.75" customHeight="1">
      <c r="A2632" s="1">
        <v>115.0</v>
      </c>
      <c r="B2632" s="1">
        <v>2.0</v>
      </c>
      <c r="C2632" s="1">
        <v>46.0</v>
      </c>
      <c r="D2632" s="1">
        <v>85.0</v>
      </c>
      <c r="F2632" s="1" t="str">
        <f>LOOKUP(A2632, NPCs!A:A, NPCs!C:C)</f>
        <v>Unloved</v>
      </c>
      <c r="G2632" s="1" t="str">
        <f>LOOKUP(B2632, Maps!A:A, Maps!B:B)</f>
        <v>Its the Bat Cave Robin</v>
      </c>
    </row>
    <row r="2633" ht="15.75" customHeight="1">
      <c r="A2633" s="1">
        <v>115.0</v>
      </c>
      <c r="B2633" s="1">
        <v>2.0</v>
      </c>
      <c r="C2633" s="1">
        <v>47.0</v>
      </c>
      <c r="D2633" s="1">
        <v>91.0</v>
      </c>
      <c r="F2633" s="1" t="str">
        <f>LOOKUP(A2633, NPCs!A:A, NPCs!C:C)</f>
        <v>Unloved</v>
      </c>
      <c r="G2633" s="1" t="str">
        <f>LOOKUP(B2633, Maps!A:A, Maps!B:B)</f>
        <v>Its the Bat Cave Robin</v>
      </c>
    </row>
    <row r="2634" ht="15.75" customHeight="1">
      <c r="A2634" s="1">
        <v>115.0</v>
      </c>
      <c r="B2634" s="1">
        <v>2.0</v>
      </c>
      <c r="C2634" s="1">
        <v>49.0</v>
      </c>
      <c r="D2634" s="1">
        <v>96.0</v>
      </c>
      <c r="F2634" s="1" t="str">
        <f>LOOKUP(A2634, NPCs!A:A, NPCs!C:C)</f>
        <v>Unloved</v>
      </c>
      <c r="G2634" s="1" t="str">
        <f>LOOKUP(B2634, Maps!A:A, Maps!B:B)</f>
        <v>Its the Bat Cave Robin</v>
      </c>
    </row>
    <row r="2635" ht="15.75" customHeight="1">
      <c r="A2635" s="1">
        <v>115.0</v>
      </c>
      <c r="B2635" s="1">
        <v>2.0</v>
      </c>
      <c r="C2635" s="1">
        <v>56.0</v>
      </c>
      <c r="D2635" s="1">
        <v>97.0</v>
      </c>
      <c r="F2635" s="1" t="str">
        <f>LOOKUP(A2635, NPCs!A:A, NPCs!C:C)</f>
        <v>Unloved</v>
      </c>
      <c r="G2635" s="1" t="str">
        <f>LOOKUP(B2635, Maps!A:A, Maps!B:B)</f>
        <v>Its the Bat Cave Robin</v>
      </c>
    </row>
    <row r="2636" ht="15.75" customHeight="1">
      <c r="A2636" s="1">
        <v>115.0</v>
      </c>
      <c r="B2636" s="1">
        <v>2.0</v>
      </c>
      <c r="C2636" s="1">
        <v>62.0</v>
      </c>
      <c r="D2636" s="1">
        <v>96.0</v>
      </c>
      <c r="F2636" s="1" t="str">
        <f>LOOKUP(A2636, NPCs!A:A, NPCs!C:C)</f>
        <v>Unloved</v>
      </c>
      <c r="G2636" s="1" t="str">
        <f>LOOKUP(B2636, Maps!A:A, Maps!B:B)</f>
        <v>Its the Bat Cave Robin</v>
      </c>
    </row>
    <row r="2637" ht="15.75" customHeight="1">
      <c r="A2637" s="1">
        <v>115.0</v>
      </c>
      <c r="B2637" s="1">
        <v>2.0</v>
      </c>
      <c r="C2637" s="1">
        <v>68.0</v>
      </c>
      <c r="D2637" s="1">
        <v>98.0</v>
      </c>
      <c r="F2637" s="1" t="str">
        <f>LOOKUP(A2637, NPCs!A:A, NPCs!C:C)</f>
        <v>Unloved</v>
      </c>
      <c r="G2637" s="1" t="str">
        <f>LOOKUP(B2637, Maps!A:A, Maps!B:B)</f>
        <v>Its the Bat Cave Robin</v>
      </c>
    </row>
    <row r="2638" ht="15.75" customHeight="1">
      <c r="A2638" s="1">
        <v>115.0</v>
      </c>
      <c r="B2638" s="1">
        <v>2.0</v>
      </c>
      <c r="C2638" s="1">
        <v>68.0</v>
      </c>
      <c r="D2638" s="1">
        <v>95.0</v>
      </c>
      <c r="F2638" s="1" t="str">
        <f>LOOKUP(A2638, NPCs!A:A, NPCs!C:C)</f>
        <v>Unloved</v>
      </c>
      <c r="G2638" s="1" t="str">
        <f>LOOKUP(B2638, Maps!A:A, Maps!B:B)</f>
        <v>Its the Bat Cave Robin</v>
      </c>
    </row>
    <row r="2639" ht="15.75" customHeight="1">
      <c r="A2639" s="1">
        <v>115.0</v>
      </c>
      <c r="B2639" s="1">
        <v>2.0</v>
      </c>
      <c r="C2639" s="1">
        <v>70.0</v>
      </c>
      <c r="D2639" s="1">
        <v>95.0</v>
      </c>
      <c r="F2639" s="1" t="str">
        <f>LOOKUP(A2639, NPCs!A:A, NPCs!C:C)</f>
        <v>Unloved</v>
      </c>
      <c r="G2639" s="1" t="str">
        <f>LOOKUP(B2639, Maps!A:A, Maps!B:B)</f>
        <v>Its the Bat Cave Robin</v>
      </c>
    </row>
    <row r="2640" ht="15.75" customHeight="1">
      <c r="A2640" s="1">
        <v>115.0</v>
      </c>
      <c r="B2640" s="1">
        <v>2.0</v>
      </c>
      <c r="C2640" s="1">
        <v>41.0</v>
      </c>
      <c r="D2640" s="1">
        <v>96.0</v>
      </c>
      <c r="F2640" s="1" t="str">
        <f>LOOKUP(A2640, NPCs!A:A, NPCs!C:C)</f>
        <v>Unloved</v>
      </c>
      <c r="G2640" s="1" t="str">
        <f>LOOKUP(B2640, Maps!A:A, Maps!B:B)</f>
        <v>Its the Bat Cave Robin</v>
      </c>
    </row>
    <row r="2641" ht="15.75" customHeight="1">
      <c r="A2641" s="1">
        <v>115.0</v>
      </c>
      <c r="B2641" s="1">
        <v>2.0</v>
      </c>
      <c r="C2641" s="1">
        <v>32.0</v>
      </c>
      <c r="D2641" s="1">
        <v>96.0</v>
      </c>
      <c r="F2641" s="1" t="str">
        <f>LOOKUP(A2641, NPCs!A:A, NPCs!C:C)</f>
        <v>Unloved</v>
      </c>
      <c r="G2641" s="1" t="str">
        <f>LOOKUP(B2641, Maps!A:A, Maps!B:B)</f>
        <v>Its the Bat Cave Robin</v>
      </c>
    </row>
    <row r="2642" ht="15.75" customHeight="1">
      <c r="A2642" s="1">
        <v>115.0</v>
      </c>
      <c r="B2642" s="1">
        <v>2.0</v>
      </c>
      <c r="C2642" s="1">
        <v>24.0</v>
      </c>
      <c r="D2642" s="1">
        <v>96.0</v>
      </c>
      <c r="F2642" s="1" t="str">
        <f>LOOKUP(A2642, NPCs!A:A, NPCs!C:C)</f>
        <v>Unloved</v>
      </c>
      <c r="G2642" s="1" t="str">
        <f>LOOKUP(B2642, Maps!A:A, Maps!B:B)</f>
        <v>Its the Bat Cave Robin</v>
      </c>
    </row>
    <row r="2643" ht="15.75" customHeight="1">
      <c r="A2643" s="1">
        <v>115.0</v>
      </c>
      <c r="B2643" s="1">
        <v>2.0</v>
      </c>
      <c r="C2643" s="1">
        <v>14.0</v>
      </c>
      <c r="D2643" s="1">
        <v>95.0</v>
      </c>
      <c r="F2643" s="1" t="str">
        <f>LOOKUP(A2643, NPCs!A:A, NPCs!C:C)</f>
        <v>Unloved</v>
      </c>
      <c r="G2643" s="1" t="str">
        <f>LOOKUP(B2643, Maps!A:A, Maps!B:B)</f>
        <v>Its the Bat Cave Robin</v>
      </c>
    </row>
    <row r="2644" ht="15.75" customHeight="1">
      <c r="A2644" s="1">
        <v>115.0</v>
      </c>
      <c r="B2644" s="1">
        <v>2.0</v>
      </c>
      <c r="C2644" s="1">
        <v>12.0</v>
      </c>
      <c r="D2644" s="1">
        <v>94.0</v>
      </c>
      <c r="F2644" s="1" t="str">
        <f>LOOKUP(A2644, NPCs!A:A, NPCs!C:C)</f>
        <v>Unloved</v>
      </c>
      <c r="G2644" s="1" t="str">
        <f>LOOKUP(B2644, Maps!A:A, Maps!B:B)</f>
        <v>Its the Bat Cave Robin</v>
      </c>
    </row>
    <row r="2645" ht="15.75" customHeight="1">
      <c r="A2645" s="1">
        <v>115.0</v>
      </c>
      <c r="B2645" s="1">
        <v>2.0</v>
      </c>
      <c r="C2645" s="1">
        <v>9.0</v>
      </c>
      <c r="D2645" s="1">
        <v>93.0</v>
      </c>
      <c r="F2645" s="1" t="str">
        <f>LOOKUP(A2645, NPCs!A:A, NPCs!C:C)</f>
        <v>Unloved</v>
      </c>
      <c r="G2645" s="1" t="str">
        <f>LOOKUP(B2645, Maps!A:A, Maps!B:B)</f>
        <v>Its the Bat Cave Robin</v>
      </c>
    </row>
    <row r="2646" ht="15.75" customHeight="1">
      <c r="A2646" s="1">
        <v>115.0</v>
      </c>
      <c r="B2646" s="1">
        <v>2.0</v>
      </c>
      <c r="C2646" s="1">
        <v>12.0</v>
      </c>
      <c r="D2646" s="1">
        <v>88.0</v>
      </c>
      <c r="F2646" s="1" t="str">
        <f>LOOKUP(A2646, NPCs!A:A, NPCs!C:C)</f>
        <v>Unloved</v>
      </c>
      <c r="G2646" s="1" t="str">
        <f>LOOKUP(B2646, Maps!A:A, Maps!B:B)</f>
        <v>Its the Bat Cave Robin</v>
      </c>
    </row>
    <row r="2647" ht="15.75" customHeight="1">
      <c r="A2647" s="1">
        <v>115.0</v>
      </c>
      <c r="B2647" s="1">
        <v>2.0</v>
      </c>
      <c r="C2647" s="1">
        <v>15.0</v>
      </c>
      <c r="D2647" s="1">
        <v>87.0</v>
      </c>
      <c r="F2647" s="1" t="str">
        <f>LOOKUP(A2647, NPCs!A:A, NPCs!C:C)</f>
        <v>Unloved</v>
      </c>
      <c r="G2647" s="1" t="str">
        <f>LOOKUP(B2647, Maps!A:A, Maps!B:B)</f>
        <v>Its the Bat Cave Robin</v>
      </c>
    </row>
    <row r="2648" ht="15.75" customHeight="1">
      <c r="A2648" s="1">
        <v>115.0</v>
      </c>
      <c r="B2648" s="1">
        <v>2.0</v>
      </c>
      <c r="C2648" s="1">
        <v>15.0</v>
      </c>
      <c r="D2648" s="1">
        <v>91.0</v>
      </c>
      <c r="F2648" s="1" t="str">
        <f>LOOKUP(A2648, NPCs!A:A, NPCs!C:C)</f>
        <v>Unloved</v>
      </c>
      <c r="G2648" s="1" t="str">
        <f>LOOKUP(B2648, Maps!A:A, Maps!B:B)</f>
        <v>Its the Bat Cave Robin</v>
      </c>
    </row>
    <row r="2649" ht="15.75" customHeight="1">
      <c r="A2649" s="1">
        <v>115.0</v>
      </c>
      <c r="B2649" s="1">
        <v>2.0</v>
      </c>
      <c r="C2649" s="1">
        <v>18.0</v>
      </c>
      <c r="D2649" s="1">
        <v>91.0</v>
      </c>
      <c r="F2649" s="1" t="str">
        <f>LOOKUP(A2649, NPCs!A:A, NPCs!C:C)</f>
        <v>Unloved</v>
      </c>
      <c r="G2649" s="1" t="str">
        <f>LOOKUP(B2649, Maps!A:A, Maps!B:B)</f>
        <v>Its the Bat Cave Robin</v>
      </c>
    </row>
    <row r="2650" ht="15.75" customHeight="1">
      <c r="A2650" s="1">
        <v>115.0</v>
      </c>
      <c r="B2650" s="1">
        <v>2.0</v>
      </c>
      <c r="C2650" s="1">
        <v>17.0</v>
      </c>
      <c r="D2650" s="1">
        <v>94.0</v>
      </c>
      <c r="F2650" s="1" t="str">
        <f>LOOKUP(A2650, NPCs!A:A, NPCs!C:C)</f>
        <v>Unloved</v>
      </c>
      <c r="G2650" s="1" t="str">
        <f>LOOKUP(B2650, Maps!A:A, Maps!B:B)</f>
        <v>Its the Bat Cave Robin</v>
      </c>
    </row>
    <row r="2651" ht="15.75" customHeight="1">
      <c r="A2651" s="1">
        <v>115.0</v>
      </c>
      <c r="B2651" s="1">
        <v>2.0</v>
      </c>
      <c r="C2651" s="1">
        <v>20.0</v>
      </c>
      <c r="D2651" s="1">
        <v>89.0</v>
      </c>
      <c r="F2651" s="1" t="str">
        <f>LOOKUP(A2651, NPCs!A:A, NPCs!C:C)</f>
        <v>Unloved</v>
      </c>
      <c r="G2651" s="1" t="str">
        <f>LOOKUP(B2651, Maps!A:A, Maps!B:B)</f>
        <v>Its the Bat Cave Robin</v>
      </c>
    </row>
    <row r="2652" ht="15.75" customHeight="1">
      <c r="A2652" s="1">
        <v>115.0</v>
      </c>
      <c r="B2652" s="1">
        <v>2.0</v>
      </c>
      <c r="C2652" s="1">
        <v>8.0</v>
      </c>
      <c r="D2652" s="1">
        <v>84.0</v>
      </c>
      <c r="F2652" s="1" t="str">
        <f>LOOKUP(A2652, NPCs!A:A, NPCs!C:C)</f>
        <v>Unloved</v>
      </c>
      <c r="G2652" s="1" t="str">
        <f>LOOKUP(B2652, Maps!A:A, Maps!B:B)</f>
        <v>Its the Bat Cave Robin</v>
      </c>
    </row>
    <row r="2653" ht="15.75" customHeight="1">
      <c r="A2653" s="1">
        <v>115.0</v>
      </c>
      <c r="B2653" s="1">
        <v>2.0</v>
      </c>
      <c r="C2653" s="1">
        <v>9.0</v>
      </c>
      <c r="D2653" s="1">
        <v>84.0</v>
      </c>
      <c r="F2653" s="1" t="str">
        <f>LOOKUP(A2653, NPCs!A:A, NPCs!C:C)</f>
        <v>Unloved</v>
      </c>
      <c r="G2653" s="1" t="str">
        <f>LOOKUP(B2653, Maps!A:A, Maps!B:B)</f>
        <v>Its the Bat Cave Robin</v>
      </c>
    </row>
    <row r="2654" ht="15.75" customHeight="1">
      <c r="A2654" s="1">
        <v>115.0</v>
      </c>
      <c r="B2654" s="1">
        <v>2.0</v>
      </c>
      <c r="C2654" s="1">
        <v>9.0</v>
      </c>
      <c r="D2654" s="1">
        <v>78.0</v>
      </c>
      <c r="F2654" s="1" t="str">
        <f>LOOKUP(A2654, NPCs!A:A, NPCs!C:C)</f>
        <v>Unloved</v>
      </c>
      <c r="G2654" s="1" t="str">
        <f>LOOKUP(B2654, Maps!A:A, Maps!B:B)</f>
        <v>Its the Bat Cave Robin</v>
      </c>
    </row>
    <row r="2655" ht="15.75" customHeight="1">
      <c r="A2655" s="1">
        <v>115.0</v>
      </c>
      <c r="B2655" s="1">
        <v>2.0</v>
      </c>
      <c r="C2655" s="1">
        <v>8.0</v>
      </c>
      <c r="D2655" s="1">
        <v>78.0</v>
      </c>
      <c r="F2655" s="1" t="str">
        <f>LOOKUP(A2655, NPCs!A:A, NPCs!C:C)</f>
        <v>Unloved</v>
      </c>
      <c r="G2655" s="1" t="str">
        <f>LOOKUP(B2655, Maps!A:A, Maps!B:B)</f>
        <v>Its the Bat Cave Robin</v>
      </c>
    </row>
    <row r="2656" ht="15.75" customHeight="1">
      <c r="A2656" s="1">
        <v>117.0</v>
      </c>
      <c r="B2656" s="1">
        <v>2.0</v>
      </c>
      <c r="C2656" s="1">
        <v>95.0</v>
      </c>
      <c r="D2656" s="1">
        <v>9.0</v>
      </c>
      <c r="F2656" s="1" t="str">
        <f>LOOKUP(A2656, NPCs!A:A, NPCs!C:C)</f>
        <v>Wraith</v>
      </c>
      <c r="G2656" s="1" t="str">
        <f>LOOKUP(B2656, Maps!A:A, Maps!B:B)</f>
        <v>Its the Bat Cave Robin</v>
      </c>
    </row>
    <row r="2657" ht="15.75" customHeight="1">
      <c r="A2657" s="1">
        <v>117.0</v>
      </c>
      <c r="B2657" s="1">
        <v>2.0</v>
      </c>
      <c r="C2657" s="1">
        <v>92.0</v>
      </c>
      <c r="D2657" s="1">
        <v>12.0</v>
      </c>
      <c r="F2657" s="1" t="str">
        <f>LOOKUP(A2657, NPCs!A:A, NPCs!C:C)</f>
        <v>Wraith</v>
      </c>
      <c r="G2657" s="1" t="str">
        <f>LOOKUP(B2657, Maps!A:A, Maps!B:B)</f>
        <v>Its the Bat Cave Robin</v>
      </c>
    </row>
    <row r="2658" ht="15.75" customHeight="1">
      <c r="A2658" s="1">
        <v>117.0</v>
      </c>
      <c r="B2658" s="1">
        <v>2.0</v>
      </c>
      <c r="C2658" s="1">
        <v>88.0</v>
      </c>
      <c r="D2658" s="1">
        <v>9.0</v>
      </c>
      <c r="F2658" s="1" t="str">
        <f>LOOKUP(A2658, NPCs!A:A, NPCs!C:C)</f>
        <v>Wraith</v>
      </c>
      <c r="G2658" s="1" t="str">
        <f>LOOKUP(B2658, Maps!A:A, Maps!B:B)</f>
        <v>Its the Bat Cave Robin</v>
      </c>
    </row>
    <row r="2659" ht="15.75" customHeight="1">
      <c r="A2659" s="1">
        <v>117.0</v>
      </c>
      <c r="B2659" s="1">
        <v>2.0</v>
      </c>
      <c r="C2659" s="1">
        <v>92.0</v>
      </c>
      <c r="D2659" s="1">
        <v>5.0</v>
      </c>
      <c r="F2659" s="1" t="str">
        <f>LOOKUP(A2659, NPCs!A:A, NPCs!C:C)</f>
        <v>Wraith</v>
      </c>
      <c r="G2659" s="1" t="str">
        <f>LOOKUP(B2659, Maps!A:A, Maps!B:B)</f>
        <v>Its the Bat Cave Robin</v>
      </c>
    </row>
    <row r="2660" ht="15.75" customHeight="1">
      <c r="A2660" s="1">
        <v>117.0</v>
      </c>
      <c r="B2660" s="1">
        <v>2.0</v>
      </c>
      <c r="C2660" s="1">
        <v>80.0</v>
      </c>
      <c r="D2660" s="1">
        <v>4.0</v>
      </c>
      <c r="F2660" s="1" t="str">
        <f>LOOKUP(A2660, NPCs!A:A, NPCs!C:C)</f>
        <v>Wraith</v>
      </c>
      <c r="G2660" s="1" t="str">
        <f>LOOKUP(B2660, Maps!A:A, Maps!B:B)</f>
        <v>Its the Bat Cave Robin</v>
      </c>
    </row>
    <row r="2661" ht="15.75" customHeight="1">
      <c r="A2661" s="1">
        <v>117.0</v>
      </c>
      <c r="B2661" s="1">
        <v>2.0</v>
      </c>
      <c r="C2661" s="1">
        <v>80.0</v>
      </c>
      <c r="D2661" s="1">
        <v>7.0</v>
      </c>
      <c r="F2661" s="1" t="str">
        <f>LOOKUP(A2661, NPCs!A:A, NPCs!C:C)</f>
        <v>Wraith</v>
      </c>
      <c r="G2661" s="1" t="str">
        <f>LOOKUP(B2661, Maps!A:A, Maps!B:B)</f>
        <v>Its the Bat Cave Robin</v>
      </c>
    </row>
    <row r="2662" ht="15.75" customHeight="1">
      <c r="A2662" s="1">
        <v>117.0</v>
      </c>
      <c r="B2662" s="1">
        <v>2.0</v>
      </c>
      <c r="C2662" s="1">
        <v>80.0</v>
      </c>
      <c r="D2662" s="1">
        <v>12.0</v>
      </c>
      <c r="F2662" s="1" t="str">
        <f>LOOKUP(A2662, NPCs!A:A, NPCs!C:C)</f>
        <v>Wraith</v>
      </c>
      <c r="G2662" s="1" t="str">
        <f>LOOKUP(B2662, Maps!A:A, Maps!B:B)</f>
        <v>Its the Bat Cave Robin</v>
      </c>
    </row>
    <row r="2663" ht="15.75" customHeight="1">
      <c r="A2663" s="1">
        <v>117.0</v>
      </c>
      <c r="B2663" s="1">
        <v>2.0</v>
      </c>
      <c r="C2663" s="1">
        <v>82.0</v>
      </c>
      <c r="D2663" s="1">
        <v>15.0</v>
      </c>
      <c r="F2663" s="1" t="str">
        <f>LOOKUP(A2663, NPCs!A:A, NPCs!C:C)</f>
        <v>Wraith</v>
      </c>
      <c r="G2663" s="1" t="str">
        <f>LOOKUP(B2663, Maps!A:A, Maps!B:B)</f>
        <v>Its the Bat Cave Robin</v>
      </c>
    </row>
    <row r="2664" ht="15.75" customHeight="1">
      <c r="A2664" s="1">
        <v>117.0</v>
      </c>
      <c r="B2664" s="1">
        <v>2.0</v>
      </c>
      <c r="C2664" s="1">
        <v>77.0</v>
      </c>
      <c r="D2664" s="1">
        <v>17.0</v>
      </c>
      <c r="F2664" s="1" t="str">
        <f>LOOKUP(A2664, NPCs!A:A, NPCs!C:C)</f>
        <v>Wraith</v>
      </c>
      <c r="G2664" s="1" t="str">
        <f>LOOKUP(B2664, Maps!A:A, Maps!B:B)</f>
        <v>Its the Bat Cave Robin</v>
      </c>
    </row>
    <row r="2665" ht="15.75" customHeight="1">
      <c r="A2665" s="1">
        <v>117.0</v>
      </c>
      <c r="B2665" s="1">
        <v>2.0</v>
      </c>
      <c r="C2665" s="1">
        <v>74.0</v>
      </c>
      <c r="D2665" s="1">
        <v>15.0</v>
      </c>
      <c r="F2665" s="1" t="str">
        <f>LOOKUP(A2665, NPCs!A:A, NPCs!C:C)</f>
        <v>Wraith</v>
      </c>
      <c r="G2665" s="1" t="str">
        <f>LOOKUP(B2665, Maps!A:A, Maps!B:B)</f>
        <v>Its the Bat Cave Robin</v>
      </c>
    </row>
    <row r="2666" ht="15.75" customHeight="1">
      <c r="A2666" s="1">
        <v>117.0</v>
      </c>
      <c r="B2666" s="1">
        <v>2.0</v>
      </c>
      <c r="C2666" s="1">
        <v>71.0</v>
      </c>
      <c r="D2666" s="1">
        <v>17.0</v>
      </c>
      <c r="F2666" s="1" t="str">
        <f>LOOKUP(A2666, NPCs!A:A, NPCs!C:C)</f>
        <v>Wraith</v>
      </c>
      <c r="G2666" s="1" t="str">
        <f>LOOKUP(B2666, Maps!A:A, Maps!B:B)</f>
        <v>Its the Bat Cave Robin</v>
      </c>
    </row>
    <row r="2667" ht="15.75" customHeight="1">
      <c r="A2667" s="1">
        <v>117.0</v>
      </c>
      <c r="B2667" s="1">
        <v>2.0</v>
      </c>
      <c r="C2667" s="1">
        <v>68.0</v>
      </c>
      <c r="D2667" s="1">
        <v>15.0</v>
      </c>
      <c r="F2667" s="1" t="str">
        <f>LOOKUP(A2667, NPCs!A:A, NPCs!C:C)</f>
        <v>Wraith</v>
      </c>
      <c r="G2667" s="1" t="str">
        <f>LOOKUP(B2667, Maps!A:A, Maps!B:B)</f>
        <v>Its the Bat Cave Robin</v>
      </c>
    </row>
    <row r="2668" ht="15.75" customHeight="1">
      <c r="A2668" s="1">
        <v>117.0</v>
      </c>
      <c r="B2668" s="1">
        <v>2.0</v>
      </c>
      <c r="C2668" s="1">
        <v>64.0</v>
      </c>
      <c r="D2668" s="1">
        <v>17.0</v>
      </c>
      <c r="F2668" s="1" t="str">
        <f>LOOKUP(A2668, NPCs!A:A, NPCs!C:C)</f>
        <v>Wraith</v>
      </c>
      <c r="G2668" s="1" t="str">
        <f>LOOKUP(B2668, Maps!A:A, Maps!B:B)</f>
        <v>Its the Bat Cave Robin</v>
      </c>
    </row>
    <row r="2669" ht="15.75" customHeight="1">
      <c r="A2669" s="1">
        <v>117.0</v>
      </c>
      <c r="B2669" s="1">
        <v>2.0</v>
      </c>
      <c r="C2669" s="1">
        <v>64.0</v>
      </c>
      <c r="D2669" s="1">
        <v>11.0</v>
      </c>
      <c r="F2669" s="1" t="str">
        <f>LOOKUP(A2669, NPCs!A:A, NPCs!C:C)</f>
        <v>Wraith</v>
      </c>
      <c r="G2669" s="1" t="str">
        <f>LOOKUP(B2669, Maps!A:A, Maps!B:B)</f>
        <v>Its the Bat Cave Robin</v>
      </c>
    </row>
    <row r="2670" ht="15.75" customHeight="1">
      <c r="A2670" s="1">
        <v>117.0</v>
      </c>
      <c r="B2670" s="1">
        <v>2.0</v>
      </c>
      <c r="C2670" s="1">
        <v>67.0</v>
      </c>
      <c r="D2670" s="1">
        <v>11.0</v>
      </c>
      <c r="F2670" s="1" t="str">
        <f>LOOKUP(A2670, NPCs!A:A, NPCs!C:C)</f>
        <v>Wraith</v>
      </c>
      <c r="G2670" s="1" t="str">
        <f>LOOKUP(B2670, Maps!A:A, Maps!B:B)</f>
        <v>Its the Bat Cave Robin</v>
      </c>
    </row>
    <row r="2671" ht="15.75" customHeight="1">
      <c r="A2671" s="1">
        <v>117.0</v>
      </c>
      <c r="B2671" s="1">
        <v>2.0</v>
      </c>
      <c r="C2671" s="1">
        <v>67.0</v>
      </c>
      <c r="D2671" s="1">
        <v>5.0</v>
      </c>
      <c r="F2671" s="1" t="str">
        <f>LOOKUP(A2671, NPCs!A:A, NPCs!C:C)</f>
        <v>Wraith</v>
      </c>
      <c r="G2671" s="1" t="str">
        <f>LOOKUP(B2671, Maps!A:A, Maps!B:B)</f>
        <v>Its the Bat Cave Robin</v>
      </c>
    </row>
    <row r="2672" ht="15.75" customHeight="1">
      <c r="A2672" s="1">
        <v>117.0</v>
      </c>
      <c r="B2672" s="1">
        <v>2.0</v>
      </c>
      <c r="C2672" s="1">
        <v>74.0</v>
      </c>
      <c r="D2672" s="1">
        <v>5.0</v>
      </c>
      <c r="F2672" s="1" t="str">
        <f>LOOKUP(A2672, NPCs!A:A, NPCs!C:C)</f>
        <v>Wraith</v>
      </c>
      <c r="G2672" s="1" t="str">
        <f>LOOKUP(B2672, Maps!A:A, Maps!B:B)</f>
        <v>Its the Bat Cave Robin</v>
      </c>
    </row>
    <row r="2673" ht="15.75" customHeight="1">
      <c r="A2673" s="1">
        <v>117.0</v>
      </c>
      <c r="B2673" s="1">
        <v>2.0</v>
      </c>
      <c r="C2673" s="1">
        <v>64.0</v>
      </c>
      <c r="D2673" s="1">
        <v>5.0</v>
      </c>
      <c r="F2673" s="1" t="str">
        <f>LOOKUP(A2673, NPCs!A:A, NPCs!C:C)</f>
        <v>Wraith</v>
      </c>
      <c r="G2673" s="1" t="str">
        <f>LOOKUP(B2673, Maps!A:A, Maps!B:B)</f>
        <v>Its the Bat Cave Robin</v>
      </c>
    </row>
    <row r="2674" ht="15.75" customHeight="1">
      <c r="A2674" s="1">
        <v>117.0</v>
      </c>
      <c r="B2674" s="1">
        <v>2.0</v>
      </c>
      <c r="C2674" s="1">
        <v>65.0</v>
      </c>
      <c r="D2674" s="1">
        <v>23.0</v>
      </c>
      <c r="F2674" s="1" t="str">
        <f>LOOKUP(A2674, NPCs!A:A, NPCs!C:C)</f>
        <v>Wraith</v>
      </c>
      <c r="G2674" s="1" t="str">
        <f>LOOKUP(B2674, Maps!A:A, Maps!B:B)</f>
        <v>Its the Bat Cave Robin</v>
      </c>
    </row>
    <row r="2675" ht="15.75" customHeight="1">
      <c r="A2675" s="1">
        <v>117.0</v>
      </c>
      <c r="B2675" s="1">
        <v>2.0</v>
      </c>
      <c r="C2675" s="1">
        <v>64.0</v>
      </c>
      <c r="D2675" s="1">
        <v>26.0</v>
      </c>
      <c r="F2675" s="1" t="str">
        <f>LOOKUP(A2675, NPCs!A:A, NPCs!C:C)</f>
        <v>Wraith</v>
      </c>
      <c r="G2675" s="1" t="str">
        <f>LOOKUP(B2675, Maps!A:A, Maps!B:B)</f>
        <v>Its the Bat Cave Robin</v>
      </c>
    </row>
    <row r="2676" ht="15.75" customHeight="1">
      <c r="A2676" s="1">
        <v>117.0</v>
      </c>
      <c r="B2676" s="1">
        <v>2.0</v>
      </c>
      <c r="C2676" s="1">
        <v>64.0</v>
      </c>
      <c r="D2676" s="1">
        <v>30.0</v>
      </c>
      <c r="F2676" s="1" t="str">
        <f>LOOKUP(A2676, NPCs!A:A, NPCs!C:C)</f>
        <v>Wraith</v>
      </c>
      <c r="G2676" s="1" t="str">
        <f>LOOKUP(B2676, Maps!A:A, Maps!B:B)</f>
        <v>Its the Bat Cave Robin</v>
      </c>
    </row>
    <row r="2677" ht="15.75" customHeight="1">
      <c r="A2677" s="1">
        <v>117.0</v>
      </c>
      <c r="B2677" s="1">
        <v>2.0</v>
      </c>
      <c r="C2677" s="1">
        <v>65.0</v>
      </c>
      <c r="D2677" s="1">
        <v>33.0</v>
      </c>
      <c r="F2677" s="1" t="str">
        <f>LOOKUP(A2677, NPCs!A:A, NPCs!C:C)</f>
        <v>Wraith</v>
      </c>
      <c r="G2677" s="1" t="str">
        <f>LOOKUP(B2677, Maps!A:A, Maps!B:B)</f>
        <v>Its the Bat Cave Robin</v>
      </c>
    </row>
    <row r="2678" ht="15.75" customHeight="1">
      <c r="A2678" s="1">
        <v>117.0</v>
      </c>
      <c r="B2678" s="1">
        <v>2.0</v>
      </c>
      <c r="C2678" s="1">
        <v>68.0</v>
      </c>
      <c r="D2678" s="1">
        <v>34.0</v>
      </c>
      <c r="F2678" s="1" t="str">
        <f>LOOKUP(A2678, NPCs!A:A, NPCs!C:C)</f>
        <v>Wraith</v>
      </c>
      <c r="G2678" s="1" t="str">
        <f>LOOKUP(B2678, Maps!A:A, Maps!B:B)</f>
        <v>Its the Bat Cave Robin</v>
      </c>
    </row>
    <row r="2679" ht="15.75" customHeight="1">
      <c r="A2679" s="1">
        <v>117.0</v>
      </c>
      <c r="B2679" s="1">
        <v>2.0</v>
      </c>
      <c r="C2679" s="1">
        <v>70.0</v>
      </c>
      <c r="D2679" s="1">
        <v>35.0</v>
      </c>
      <c r="F2679" s="1" t="str">
        <f>LOOKUP(A2679, NPCs!A:A, NPCs!C:C)</f>
        <v>Wraith</v>
      </c>
      <c r="G2679" s="1" t="str">
        <f>LOOKUP(B2679, Maps!A:A, Maps!B:B)</f>
        <v>Its the Bat Cave Robin</v>
      </c>
    </row>
    <row r="2680" ht="15.75" customHeight="1">
      <c r="A2680" s="1">
        <v>117.0</v>
      </c>
      <c r="B2680" s="1">
        <v>2.0</v>
      </c>
      <c r="C2680" s="1">
        <v>72.0</v>
      </c>
      <c r="D2680" s="1">
        <v>34.0</v>
      </c>
      <c r="F2680" s="1" t="str">
        <f>LOOKUP(A2680, NPCs!A:A, NPCs!C:C)</f>
        <v>Wraith</v>
      </c>
      <c r="G2680" s="1" t="str">
        <f>LOOKUP(B2680, Maps!A:A, Maps!B:B)</f>
        <v>Its the Bat Cave Robin</v>
      </c>
    </row>
    <row r="2681" ht="15.75" customHeight="1">
      <c r="A2681" s="1">
        <v>117.0</v>
      </c>
      <c r="B2681" s="1">
        <v>2.0</v>
      </c>
      <c r="C2681" s="1">
        <v>76.0</v>
      </c>
      <c r="D2681" s="1">
        <v>31.0</v>
      </c>
      <c r="F2681" s="1" t="str">
        <f>LOOKUP(A2681, NPCs!A:A, NPCs!C:C)</f>
        <v>Wraith</v>
      </c>
      <c r="G2681" s="1" t="str">
        <f>LOOKUP(B2681, Maps!A:A, Maps!B:B)</f>
        <v>Its the Bat Cave Robin</v>
      </c>
    </row>
    <row r="2682" ht="15.75" customHeight="1">
      <c r="A2682" s="1">
        <v>117.0</v>
      </c>
      <c r="B2682" s="1">
        <v>2.0</v>
      </c>
      <c r="C2682" s="1">
        <v>76.0</v>
      </c>
      <c r="D2682" s="1">
        <v>25.0</v>
      </c>
      <c r="F2682" s="1" t="str">
        <f>LOOKUP(A2682, NPCs!A:A, NPCs!C:C)</f>
        <v>Wraith</v>
      </c>
      <c r="G2682" s="1" t="str">
        <f>LOOKUP(B2682, Maps!A:A, Maps!B:B)</f>
        <v>Its the Bat Cave Robin</v>
      </c>
    </row>
    <row r="2683" ht="15.75" customHeight="1">
      <c r="A2683" s="1">
        <v>117.0</v>
      </c>
      <c r="B2683" s="1">
        <v>2.0</v>
      </c>
      <c r="C2683" s="1">
        <v>71.0</v>
      </c>
      <c r="D2683" s="1">
        <v>21.0</v>
      </c>
      <c r="F2683" s="1" t="str">
        <f>LOOKUP(A2683, NPCs!A:A, NPCs!C:C)</f>
        <v>Wraith</v>
      </c>
      <c r="G2683" s="1" t="str">
        <f>LOOKUP(B2683, Maps!A:A, Maps!B:B)</f>
        <v>Its the Bat Cave Robin</v>
      </c>
    </row>
    <row r="2684" ht="15.75" customHeight="1">
      <c r="A2684" s="1">
        <v>117.0</v>
      </c>
      <c r="B2684" s="1">
        <v>2.0</v>
      </c>
      <c r="C2684" s="1">
        <v>69.0</v>
      </c>
      <c r="D2684" s="1">
        <v>21.0</v>
      </c>
      <c r="F2684" s="1" t="str">
        <f>LOOKUP(A2684, NPCs!A:A, NPCs!C:C)</f>
        <v>Wraith</v>
      </c>
      <c r="G2684" s="1" t="str">
        <f>LOOKUP(B2684, Maps!A:A, Maps!B:B)</f>
        <v>Its the Bat Cave Robin</v>
      </c>
    </row>
    <row r="2685" ht="15.75" customHeight="1">
      <c r="A2685" s="1">
        <v>117.0</v>
      </c>
      <c r="B2685" s="1">
        <v>2.0</v>
      </c>
      <c r="C2685" s="1">
        <v>67.0</v>
      </c>
      <c r="D2685" s="1">
        <v>26.0</v>
      </c>
      <c r="F2685" s="1" t="str">
        <f>LOOKUP(A2685, NPCs!A:A, NPCs!C:C)</f>
        <v>Wraith</v>
      </c>
      <c r="G2685" s="1" t="str">
        <f>LOOKUP(B2685, Maps!A:A, Maps!B:B)</f>
        <v>Its the Bat Cave Robin</v>
      </c>
    </row>
    <row r="2686" ht="15.75" customHeight="1">
      <c r="A2686" s="1">
        <v>117.0</v>
      </c>
      <c r="B2686" s="1">
        <v>2.0</v>
      </c>
      <c r="C2686" s="1">
        <v>70.0</v>
      </c>
      <c r="D2686" s="1">
        <v>25.0</v>
      </c>
      <c r="F2686" s="1" t="str">
        <f>LOOKUP(A2686, NPCs!A:A, NPCs!C:C)</f>
        <v>Wraith</v>
      </c>
      <c r="G2686" s="1" t="str">
        <f>LOOKUP(B2686, Maps!A:A, Maps!B:B)</f>
        <v>Its the Bat Cave Robin</v>
      </c>
    </row>
    <row r="2687" ht="15.75" customHeight="1">
      <c r="A2687" s="1">
        <v>117.0</v>
      </c>
      <c r="B2687" s="1">
        <v>2.0</v>
      </c>
      <c r="C2687" s="1">
        <v>73.0</v>
      </c>
      <c r="D2687" s="1">
        <v>26.0</v>
      </c>
      <c r="F2687" s="1" t="str">
        <f>LOOKUP(A2687, NPCs!A:A, NPCs!C:C)</f>
        <v>Wraith</v>
      </c>
      <c r="G2687" s="1" t="str">
        <f>LOOKUP(B2687, Maps!A:A, Maps!B:B)</f>
        <v>Its the Bat Cave Robin</v>
      </c>
    </row>
    <row r="2688" ht="15.75" customHeight="1">
      <c r="A2688" s="1">
        <v>117.0</v>
      </c>
      <c r="B2688" s="1">
        <v>2.0</v>
      </c>
      <c r="C2688" s="1">
        <v>73.0</v>
      </c>
      <c r="D2688" s="1">
        <v>31.0</v>
      </c>
      <c r="F2688" s="1" t="str">
        <f>LOOKUP(A2688, NPCs!A:A, NPCs!C:C)</f>
        <v>Wraith</v>
      </c>
      <c r="G2688" s="1" t="str">
        <f>LOOKUP(B2688, Maps!A:A, Maps!B:B)</f>
        <v>Its the Bat Cave Robin</v>
      </c>
    </row>
    <row r="2689" ht="15.75" customHeight="1">
      <c r="A2689" s="1">
        <v>117.0</v>
      </c>
      <c r="B2689" s="1">
        <v>2.0</v>
      </c>
      <c r="C2689" s="1">
        <v>70.0</v>
      </c>
      <c r="D2689" s="1">
        <v>31.0</v>
      </c>
      <c r="F2689" s="1" t="str">
        <f>LOOKUP(A2689, NPCs!A:A, NPCs!C:C)</f>
        <v>Wraith</v>
      </c>
      <c r="G2689" s="1" t="str">
        <f>LOOKUP(B2689, Maps!A:A, Maps!B:B)</f>
        <v>Its the Bat Cave Robin</v>
      </c>
    </row>
    <row r="2690" ht="15.75" customHeight="1">
      <c r="A2690" s="1">
        <v>117.0</v>
      </c>
      <c r="B2690" s="1">
        <v>2.0</v>
      </c>
      <c r="C2690" s="1">
        <v>67.0</v>
      </c>
      <c r="D2690" s="1">
        <v>31.0</v>
      </c>
      <c r="F2690" s="1" t="str">
        <f>LOOKUP(A2690, NPCs!A:A, NPCs!C:C)</f>
        <v>Wraith</v>
      </c>
      <c r="G2690" s="1" t="str">
        <f>LOOKUP(B2690, Maps!A:A, Maps!B:B)</f>
        <v>Its the Bat Cave Robin</v>
      </c>
    </row>
    <row r="2691" ht="15.75" customHeight="1">
      <c r="A2691" s="1">
        <v>116.0</v>
      </c>
      <c r="B2691" s="1">
        <v>2.0</v>
      </c>
      <c r="C2691" s="1">
        <v>89.0</v>
      </c>
      <c r="D2691" s="1">
        <v>49.0</v>
      </c>
      <c r="F2691" s="1" t="str">
        <f>LOOKUP(A2691, NPCs!A:A, NPCs!C:C)</f>
        <v>Nibbles</v>
      </c>
      <c r="G2691" s="1" t="str">
        <f>LOOKUP(B2691, Maps!A:A, Maps!B:B)</f>
        <v>Its the Bat Cave Robin</v>
      </c>
    </row>
    <row r="2692" ht="15.75" customHeight="1">
      <c r="A2692" s="1">
        <v>118.0</v>
      </c>
      <c r="B2692" s="1">
        <v>2.0</v>
      </c>
      <c r="C2692" s="1">
        <v>70.0</v>
      </c>
      <c r="D2692" s="1">
        <v>28.0</v>
      </c>
      <c r="F2692" s="1" t="str">
        <f>LOOKUP(A2692, NPCs!A:A, NPCs!C:C)</f>
        <v>Nibbles II</v>
      </c>
      <c r="G2692" s="1" t="str">
        <f>LOOKUP(B2692, Maps!A:A, Maps!B:B)</f>
        <v>Its the Bat Cave Robin</v>
      </c>
    </row>
    <row r="2693" ht="15.75" customHeight="1">
      <c r="A2693" s="1">
        <v>119.0</v>
      </c>
      <c r="B2693" s="1">
        <v>1.0</v>
      </c>
      <c r="C2693" s="1">
        <v>56.0</v>
      </c>
      <c r="D2693" s="1">
        <v>52.0</v>
      </c>
      <c r="F2693" s="1" t="str">
        <f>LOOKUP(A2693, NPCs!A:A, NPCs!C:C)</f>
        <v>Teleporter Vendor Guy</v>
      </c>
      <c r="G2693" s="1" t="str">
        <f>LOOKUP(B2693, Maps!A:A, Maps!B:B)</f>
        <v>Minita</v>
      </c>
    </row>
    <row r="2694" ht="15.75" customHeight="1">
      <c r="A2694" s="1">
        <v>119.0</v>
      </c>
      <c r="B2694" s="1">
        <v>8.0</v>
      </c>
      <c r="C2694" s="1">
        <v>3.0</v>
      </c>
      <c r="D2694" s="1">
        <v>46.0</v>
      </c>
      <c r="F2694" s="1" t="str">
        <f>LOOKUP(A2694, NPCs!A:A, NPCs!C:C)</f>
        <v>Teleporter Vendor Guy</v>
      </c>
      <c r="G2694" s="1" t="str">
        <f>LOOKUP(B2694, Maps!A:A, Maps!B:B)</f>
        <v>Roadkill Woods</v>
      </c>
    </row>
    <row r="2695" ht="15.75" customHeight="1">
      <c r="A2695" s="1">
        <v>120.0</v>
      </c>
      <c r="B2695" s="1">
        <v>3.0</v>
      </c>
      <c r="C2695" s="1">
        <v>46.0</v>
      </c>
      <c r="D2695" s="1">
        <v>34.0</v>
      </c>
      <c r="F2695" s="1" t="str">
        <f>LOOKUP(A2695, NPCs!A:A, NPCs!C:C)</f>
        <v>Stranger with Candy</v>
      </c>
      <c r="G2695" s="1" t="str">
        <f>LOOKUP(B2695, Maps!A:A, Maps!B:B)</f>
        <v>Graveyard</v>
      </c>
    </row>
    <row r="2696" ht="15.75" customHeight="1">
      <c r="A2696" s="1">
        <v>121.0</v>
      </c>
      <c r="B2696" s="1">
        <v>35.0</v>
      </c>
      <c r="C2696" s="1">
        <v>76.0</v>
      </c>
      <c r="D2696" s="1">
        <v>31.0</v>
      </c>
      <c r="F2696" s="1" t="str">
        <f>LOOKUP(A2696, NPCs!A:A, NPCs!C:C)</f>
        <v>Paradise Teleporter Vendor Guy</v>
      </c>
      <c r="G2696" s="1" t="str">
        <f>LOOKUP(B2696, Maps!A:A, Maps!B:B)</f>
        <v>Paradise</v>
      </c>
    </row>
    <row r="2697" ht="15.75" customHeight="1">
      <c r="A2697" s="1">
        <v>122.0</v>
      </c>
      <c r="B2697" s="1">
        <v>2.0</v>
      </c>
      <c r="C2697" s="1">
        <v>95.0</v>
      </c>
      <c r="D2697" s="1">
        <v>95.0</v>
      </c>
      <c r="F2697" s="1" t="str">
        <f>LOOKUP(A2697, NPCs!A:A, NPCs!C:C)</f>
        <v>The Bat Man</v>
      </c>
      <c r="G2697" s="1" t="str">
        <f>LOOKUP(B2697, Maps!A:A, Maps!B:B)</f>
        <v>Its the Bat Cave Robin</v>
      </c>
    </row>
    <row r="2698" ht="15.75" customHeight="1">
      <c r="A2698" s="1">
        <v>133.0</v>
      </c>
      <c r="B2698" s="1">
        <v>32.0</v>
      </c>
      <c r="C2698" s="1">
        <v>32.0</v>
      </c>
      <c r="D2698" s="1">
        <v>51.0</v>
      </c>
      <c r="F2698" s="1" t="str">
        <f>LOOKUP(A2698, NPCs!A:A, NPCs!C:C)</f>
        <v>Pancake</v>
      </c>
      <c r="G2698" s="1" t="str">
        <f>LOOKUP(B2698, Maps!A:A, Maps!B:B)</f>
        <v>Sorrows Grove</v>
      </c>
    </row>
    <row r="2699" ht="15.75" customHeight="1">
      <c r="A2699" s="1">
        <v>133.0</v>
      </c>
      <c r="B2699" s="1">
        <v>32.0</v>
      </c>
      <c r="C2699" s="1">
        <v>31.0</v>
      </c>
      <c r="D2699" s="1">
        <v>57.0</v>
      </c>
      <c r="F2699" s="1" t="str">
        <f>LOOKUP(A2699, NPCs!A:A, NPCs!C:C)</f>
        <v>Pancake</v>
      </c>
      <c r="G2699" s="1" t="str">
        <f>LOOKUP(B2699, Maps!A:A, Maps!B:B)</f>
        <v>Sorrows Grove</v>
      </c>
    </row>
    <row r="2700" ht="15.75" customHeight="1">
      <c r="A2700" s="1">
        <v>133.0</v>
      </c>
      <c r="B2700" s="1">
        <v>32.0</v>
      </c>
      <c r="C2700" s="1">
        <v>30.0</v>
      </c>
      <c r="D2700" s="1">
        <v>58.0</v>
      </c>
      <c r="F2700" s="1" t="str">
        <f>LOOKUP(A2700, NPCs!A:A, NPCs!C:C)</f>
        <v>Pancake</v>
      </c>
      <c r="G2700" s="1" t="str">
        <f>LOOKUP(B2700, Maps!A:A, Maps!B:B)</f>
        <v>Sorrows Grove</v>
      </c>
    </row>
    <row r="2701" ht="15.75" customHeight="1">
      <c r="A2701" s="1">
        <v>133.0</v>
      </c>
      <c r="B2701" s="1">
        <v>32.0</v>
      </c>
      <c r="C2701" s="1">
        <v>29.0</v>
      </c>
      <c r="D2701" s="1">
        <v>59.0</v>
      </c>
      <c r="F2701" s="1" t="str">
        <f>LOOKUP(A2701, NPCs!A:A, NPCs!C:C)</f>
        <v>Pancake</v>
      </c>
      <c r="G2701" s="1" t="str">
        <f>LOOKUP(B2701, Maps!A:A, Maps!B:B)</f>
        <v>Sorrows Grove</v>
      </c>
    </row>
    <row r="2702" ht="15.75" customHeight="1">
      <c r="A2702" s="1">
        <v>133.0</v>
      </c>
      <c r="B2702" s="1">
        <v>32.0</v>
      </c>
      <c r="C2702" s="1">
        <v>28.0</v>
      </c>
      <c r="D2702" s="1">
        <v>58.0</v>
      </c>
      <c r="F2702" s="1" t="str">
        <f>LOOKUP(A2702, NPCs!A:A, NPCs!C:C)</f>
        <v>Pancake</v>
      </c>
      <c r="G2702" s="1" t="str">
        <f>LOOKUP(B2702, Maps!A:A, Maps!B:B)</f>
        <v>Sorrows Grove</v>
      </c>
    </row>
    <row r="2703" ht="15.75" customHeight="1">
      <c r="A2703" s="1">
        <v>133.0</v>
      </c>
      <c r="B2703" s="1">
        <v>32.0</v>
      </c>
      <c r="C2703" s="1">
        <v>27.0</v>
      </c>
      <c r="D2703" s="1">
        <v>57.0</v>
      </c>
      <c r="F2703" s="1" t="str">
        <f>LOOKUP(A2703, NPCs!A:A, NPCs!C:C)</f>
        <v>Pancake</v>
      </c>
      <c r="G2703" s="1" t="str">
        <f>LOOKUP(B2703, Maps!A:A, Maps!B:B)</f>
        <v>Sorrows Grove</v>
      </c>
    </row>
    <row r="2704" ht="15.75" customHeight="1">
      <c r="A2704" s="1">
        <v>133.0</v>
      </c>
      <c r="B2704" s="1">
        <v>32.0</v>
      </c>
      <c r="C2704" s="1">
        <v>28.0</v>
      </c>
      <c r="D2704" s="1">
        <v>63.0</v>
      </c>
      <c r="F2704" s="1" t="str">
        <f>LOOKUP(A2704, NPCs!A:A, NPCs!C:C)</f>
        <v>Pancake</v>
      </c>
      <c r="G2704" s="1" t="str">
        <f>LOOKUP(B2704, Maps!A:A, Maps!B:B)</f>
        <v>Sorrows Grove</v>
      </c>
    </row>
    <row r="2705" ht="15.75" customHeight="1">
      <c r="A2705" s="1">
        <v>133.0</v>
      </c>
      <c r="B2705" s="1">
        <v>32.0</v>
      </c>
      <c r="C2705" s="1">
        <v>22.0</v>
      </c>
      <c r="D2705" s="1">
        <v>63.0</v>
      </c>
      <c r="F2705" s="1" t="str">
        <f>LOOKUP(A2705, NPCs!A:A, NPCs!C:C)</f>
        <v>Pancake</v>
      </c>
      <c r="G2705" s="1" t="str">
        <f>LOOKUP(B2705, Maps!A:A, Maps!B:B)</f>
        <v>Sorrows Grove</v>
      </c>
    </row>
    <row r="2706" ht="15.75" customHeight="1">
      <c r="A2706" s="1">
        <v>133.0</v>
      </c>
      <c r="B2706" s="1">
        <v>32.0</v>
      </c>
      <c r="C2706" s="1">
        <v>25.0</v>
      </c>
      <c r="D2706" s="1">
        <v>68.0</v>
      </c>
      <c r="F2706" s="1" t="str">
        <f>LOOKUP(A2706, NPCs!A:A, NPCs!C:C)</f>
        <v>Pancake</v>
      </c>
      <c r="G2706" s="1" t="str">
        <f>LOOKUP(B2706, Maps!A:A, Maps!B:B)</f>
        <v>Sorrows Grove</v>
      </c>
    </row>
    <row r="2707" ht="15.75" customHeight="1">
      <c r="A2707" s="1">
        <v>133.0</v>
      </c>
      <c r="B2707" s="1">
        <v>32.0</v>
      </c>
      <c r="C2707" s="1">
        <v>14.0</v>
      </c>
      <c r="D2707" s="1">
        <v>65.0</v>
      </c>
      <c r="F2707" s="1" t="str">
        <f>LOOKUP(A2707, NPCs!A:A, NPCs!C:C)</f>
        <v>Pancake</v>
      </c>
      <c r="G2707" s="1" t="str">
        <f>LOOKUP(B2707, Maps!A:A, Maps!B:B)</f>
        <v>Sorrows Grove</v>
      </c>
    </row>
    <row r="2708" ht="15.75" customHeight="1">
      <c r="A2708" s="1">
        <v>133.0</v>
      </c>
      <c r="B2708" s="1">
        <v>32.0</v>
      </c>
      <c r="C2708" s="1">
        <v>18.0</v>
      </c>
      <c r="D2708" s="1">
        <v>59.0</v>
      </c>
      <c r="F2708" s="1" t="str">
        <f>LOOKUP(A2708, NPCs!A:A, NPCs!C:C)</f>
        <v>Pancake</v>
      </c>
      <c r="G2708" s="1" t="str">
        <f>LOOKUP(B2708, Maps!A:A, Maps!B:B)</f>
        <v>Sorrows Grove</v>
      </c>
    </row>
    <row r="2709" ht="15.75" customHeight="1">
      <c r="A2709" s="1">
        <v>133.0</v>
      </c>
      <c r="B2709" s="1">
        <v>32.0</v>
      </c>
      <c r="C2709" s="1">
        <v>13.0</v>
      </c>
      <c r="D2709" s="1">
        <v>55.0</v>
      </c>
      <c r="F2709" s="1" t="str">
        <f>LOOKUP(A2709, NPCs!A:A, NPCs!C:C)</f>
        <v>Pancake</v>
      </c>
      <c r="G2709" s="1" t="str">
        <f>LOOKUP(B2709, Maps!A:A, Maps!B:B)</f>
        <v>Sorrows Grove</v>
      </c>
    </row>
    <row r="2710" ht="15.75" customHeight="1">
      <c r="A2710" s="1">
        <v>133.0</v>
      </c>
      <c r="B2710" s="1">
        <v>32.0</v>
      </c>
      <c r="C2710" s="1">
        <v>8.0</v>
      </c>
      <c r="D2710" s="1">
        <v>59.0</v>
      </c>
      <c r="F2710" s="1" t="str">
        <f>LOOKUP(A2710, NPCs!A:A, NPCs!C:C)</f>
        <v>Pancake</v>
      </c>
      <c r="G2710" s="1" t="str">
        <f>LOOKUP(B2710, Maps!A:A, Maps!B:B)</f>
        <v>Sorrows Grove</v>
      </c>
    </row>
    <row r="2711" ht="15.75" customHeight="1">
      <c r="A2711" s="1">
        <v>133.0</v>
      </c>
      <c r="B2711" s="1">
        <v>32.0</v>
      </c>
      <c r="C2711" s="1">
        <v>9.0</v>
      </c>
      <c r="D2711" s="1">
        <v>69.0</v>
      </c>
      <c r="F2711" s="1" t="str">
        <f>LOOKUP(A2711, NPCs!A:A, NPCs!C:C)</f>
        <v>Pancake</v>
      </c>
      <c r="G2711" s="1" t="str">
        <f>LOOKUP(B2711, Maps!A:A, Maps!B:B)</f>
        <v>Sorrows Grove</v>
      </c>
    </row>
    <row r="2712" ht="15.75" customHeight="1">
      <c r="A2712" s="1">
        <v>133.0</v>
      </c>
      <c r="B2712" s="1">
        <v>32.0</v>
      </c>
      <c r="C2712" s="1">
        <v>10.0</v>
      </c>
      <c r="D2712" s="1">
        <v>78.0</v>
      </c>
      <c r="F2712" s="1" t="str">
        <f>LOOKUP(A2712, NPCs!A:A, NPCs!C:C)</f>
        <v>Pancake</v>
      </c>
      <c r="G2712" s="1" t="str">
        <f>LOOKUP(B2712, Maps!A:A, Maps!B:B)</f>
        <v>Sorrows Grove</v>
      </c>
    </row>
    <row r="2713" ht="15.75" customHeight="1">
      <c r="A2713" s="1">
        <v>133.0</v>
      </c>
      <c r="B2713" s="1">
        <v>32.0</v>
      </c>
      <c r="C2713" s="1">
        <v>17.0</v>
      </c>
      <c r="D2713" s="1">
        <v>72.0</v>
      </c>
      <c r="F2713" s="1" t="str">
        <f>LOOKUP(A2713, NPCs!A:A, NPCs!C:C)</f>
        <v>Pancake</v>
      </c>
      <c r="G2713" s="1" t="str">
        <f>LOOKUP(B2713, Maps!A:A, Maps!B:B)</f>
        <v>Sorrows Grove</v>
      </c>
    </row>
    <row r="2714" ht="15.75" customHeight="1">
      <c r="A2714" s="1">
        <v>133.0</v>
      </c>
      <c r="B2714" s="1">
        <v>32.0</v>
      </c>
      <c r="C2714" s="1">
        <v>20.0</v>
      </c>
      <c r="D2714" s="1">
        <v>78.0</v>
      </c>
      <c r="F2714" s="1" t="str">
        <f>LOOKUP(A2714, NPCs!A:A, NPCs!C:C)</f>
        <v>Pancake</v>
      </c>
      <c r="G2714" s="1" t="str">
        <f>LOOKUP(B2714, Maps!A:A, Maps!B:B)</f>
        <v>Sorrows Grove</v>
      </c>
    </row>
    <row r="2715" ht="15.75" customHeight="1">
      <c r="A2715" s="1">
        <v>133.0</v>
      </c>
      <c r="B2715" s="1">
        <v>32.0</v>
      </c>
      <c r="C2715" s="1">
        <v>20.0</v>
      </c>
      <c r="D2715" s="1">
        <v>82.0</v>
      </c>
      <c r="F2715" s="1" t="str">
        <f>LOOKUP(A2715, NPCs!A:A, NPCs!C:C)</f>
        <v>Pancake</v>
      </c>
      <c r="G2715" s="1" t="str">
        <f>LOOKUP(B2715, Maps!A:A, Maps!B:B)</f>
        <v>Sorrows Grove</v>
      </c>
    </row>
    <row r="2716" ht="15.75" customHeight="1">
      <c r="A2716" s="1">
        <v>133.0</v>
      </c>
      <c r="B2716" s="1">
        <v>32.0</v>
      </c>
      <c r="C2716" s="1">
        <v>8.0</v>
      </c>
      <c r="D2716" s="1">
        <v>82.0</v>
      </c>
      <c r="F2716" s="1" t="str">
        <f>LOOKUP(A2716, NPCs!A:A, NPCs!C:C)</f>
        <v>Pancake</v>
      </c>
      <c r="G2716" s="1" t="str">
        <f>LOOKUP(B2716, Maps!A:A, Maps!B:B)</f>
        <v>Sorrows Grove</v>
      </c>
    </row>
    <row r="2717" ht="15.75" customHeight="1">
      <c r="A2717" s="1">
        <v>133.0</v>
      </c>
      <c r="B2717" s="1">
        <v>32.0</v>
      </c>
      <c r="C2717" s="1">
        <v>12.0</v>
      </c>
      <c r="D2717" s="1">
        <v>87.0</v>
      </c>
      <c r="F2717" s="1" t="str">
        <f>LOOKUP(A2717, NPCs!A:A, NPCs!C:C)</f>
        <v>Pancake</v>
      </c>
      <c r="G2717" s="1" t="str">
        <f>LOOKUP(B2717, Maps!A:A, Maps!B:B)</f>
        <v>Sorrows Grove</v>
      </c>
    </row>
    <row r="2718" ht="15.75" customHeight="1">
      <c r="A2718" s="1">
        <v>133.0</v>
      </c>
      <c r="B2718" s="1">
        <v>32.0</v>
      </c>
      <c r="C2718" s="1">
        <v>10.0</v>
      </c>
      <c r="D2718" s="1">
        <v>93.0</v>
      </c>
      <c r="F2718" s="1" t="str">
        <f>LOOKUP(A2718, NPCs!A:A, NPCs!C:C)</f>
        <v>Pancake</v>
      </c>
      <c r="G2718" s="1" t="str">
        <f>LOOKUP(B2718, Maps!A:A, Maps!B:B)</f>
        <v>Sorrows Grove</v>
      </c>
    </row>
    <row r="2719" ht="15.75" customHeight="1">
      <c r="A2719" s="1">
        <v>133.0</v>
      </c>
      <c r="B2719" s="1">
        <v>32.0</v>
      </c>
      <c r="C2719" s="1">
        <v>4.0</v>
      </c>
      <c r="D2719" s="1">
        <v>93.0</v>
      </c>
      <c r="F2719" s="1" t="str">
        <f>LOOKUP(A2719, NPCs!A:A, NPCs!C:C)</f>
        <v>Pancake</v>
      </c>
      <c r="G2719" s="1" t="str">
        <f>LOOKUP(B2719, Maps!A:A, Maps!B:B)</f>
        <v>Sorrows Grove</v>
      </c>
    </row>
    <row r="2720" ht="15.75" customHeight="1">
      <c r="A2720" s="1">
        <v>133.0</v>
      </c>
      <c r="B2720" s="1">
        <v>32.0</v>
      </c>
      <c r="C2720" s="1">
        <v>16.0</v>
      </c>
      <c r="D2720" s="1">
        <v>98.0</v>
      </c>
      <c r="F2720" s="1" t="str">
        <f>LOOKUP(A2720, NPCs!A:A, NPCs!C:C)</f>
        <v>Pancake</v>
      </c>
      <c r="G2720" s="1" t="str">
        <f>LOOKUP(B2720, Maps!A:A, Maps!B:B)</f>
        <v>Sorrows Grove</v>
      </c>
    </row>
    <row r="2721" ht="15.75" customHeight="1">
      <c r="A2721" s="1">
        <v>133.0</v>
      </c>
      <c r="B2721" s="1">
        <v>32.0</v>
      </c>
      <c r="C2721" s="1">
        <v>19.0</v>
      </c>
      <c r="D2721" s="1">
        <v>98.0</v>
      </c>
      <c r="F2721" s="1" t="str">
        <f>LOOKUP(A2721, NPCs!A:A, NPCs!C:C)</f>
        <v>Pancake</v>
      </c>
      <c r="G2721" s="1" t="str">
        <f>LOOKUP(B2721, Maps!A:A, Maps!B:B)</f>
        <v>Sorrows Grove</v>
      </c>
    </row>
    <row r="2722" ht="15.75" customHeight="1">
      <c r="A2722" s="1">
        <v>133.0</v>
      </c>
      <c r="B2722" s="1">
        <v>32.0</v>
      </c>
      <c r="C2722" s="1">
        <v>27.0</v>
      </c>
      <c r="D2722" s="1">
        <v>96.0</v>
      </c>
      <c r="F2722" s="1" t="str">
        <f>LOOKUP(A2722, NPCs!A:A, NPCs!C:C)</f>
        <v>Pancake</v>
      </c>
      <c r="G2722" s="1" t="str">
        <f>LOOKUP(B2722, Maps!A:A, Maps!B:B)</f>
        <v>Sorrows Grove</v>
      </c>
    </row>
    <row r="2723" ht="15.75" customHeight="1">
      <c r="A2723" s="1">
        <v>133.0</v>
      </c>
      <c r="B2723" s="1">
        <v>32.0</v>
      </c>
      <c r="C2723" s="1">
        <v>31.0</v>
      </c>
      <c r="D2723" s="1">
        <v>90.0</v>
      </c>
      <c r="F2723" s="1" t="str">
        <f>LOOKUP(A2723, NPCs!A:A, NPCs!C:C)</f>
        <v>Pancake</v>
      </c>
      <c r="G2723" s="1" t="str">
        <f>LOOKUP(B2723, Maps!A:A, Maps!B:B)</f>
        <v>Sorrows Grove</v>
      </c>
    </row>
    <row r="2724" ht="15.75" customHeight="1">
      <c r="A2724" s="1">
        <v>133.0</v>
      </c>
      <c r="B2724" s="1">
        <v>32.0</v>
      </c>
      <c r="C2724" s="1">
        <v>30.0</v>
      </c>
      <c r="D2724" s="1">
        <v>84.0</v>
      </c>
      <c r="F2724" s="1" t="str">
        <f>LOOKUP(A2724, NPCs!A:A, NPCs!C:C)</f>
        <v>Pancake</v>
      </c>
      <c r="G2724" s="1" t="str">
        <f>LOOKUP(B2724, Maps!A:A, Maps!B:B)</f>
        <v>Sorrows Grove</v>
      </c>
    </row>
    <row r="2725" ht="15.75" customHeight="1">
      <c r="A2725" s="1">
        <v>133.0</v>
      </c>
      <c r="B2725" s="1">
        <v>32.0</v>
      </c>
      <c r="C2725" s="1">
        <v>36.0</v>
      </c>
      <c r="D2725" s="1">
        <v>78.0</v>
      </c>
      <c r="F2725" s="1" t="str">
        <f>LOOKUP(A2725, NPCs!A:A, NPCs!C:C)</f>
        <v>Pancake</v>
      </c>
      <c r="G2725" s="1" t="str">
        <f>LOOKUP(B2725, Maps!A:A, Maps!B:B)</f>
        <v>Sorrows Grove</v>
      </c>
    </row>
    <row r="2726" ht="15.75" customHeight="1">
      <c r="A2726" s="1">
        <v>133.0</v>
      </c>
      <c r="B2726" s="1">
        <v>32.0</v>
      </c>
      <c r="C2726" s="1">
        <v>28.0</v>
      </c>
      <c r="D2726" s="1">
        <v>75.0</v>
      </c>
      <c r="F2726" s="1" t="str">
        <f>LOOKUP(A2726, NPCs!A:A, NPCs!C:C)</f>
        <v>Pancake</v>
      </c>
      <c r="G2726" s="1" t="str">
        <f>LOOKUP(B2726, Maps!A:A, Maps!B:B)</f>
        <v>Sorrows Grove</v>
      </c>
    </row>
    <row r="2727" ht="15.75" customHeight="1">
      <c r="A2727" s="1">
        <v>133.0</v>
      </c>
      <c r="B2727" s="1">
        <v>32.0</v>
      </c>
      <c r="C2727" s="1">
        <v>33.0</v>
      </c>
      <c r="D2727" s="1">
        <v>70.0</v>
      </c>
      <c r="F2727" s="1" t="str">
        <f>LOOKUP(A2727, NPCs!A:A, NPCs!C:C)</f>
        <v>Pancake</v>
      </c>
      <c r="G2727" s="1" t="str">
        <f>LOOKUP(B2727, Maps!A:A, Maps!B:B)</f>
        <v>Sorrows Grove</v>
      </c>
    </row>
    <row r="2728" ht="15.75" customHeight="1">
      <c r="A2728" s="1">
        <v>133.0</v>
      </c>
      <c r="B2728" s="1">
        <v>32.0</v>
      </c>
      <c r="C2728" s="1">
        <v>22.0</v>
      </c>
      <c r="D2728" s="1">
        <v>90.0</v>
      </c>
      <c r="F2728" s="1" t="str">
        <f>LOOKUP(A2728, NPCs!A:A, NPCs!C:C)</f>
        <v>Pancake</v>
      </c>
      <c r="G2728" s="1" t="str">
        <f>LOOKUP(B2728, Maps!A:A, Maps!B:B)</f>
        <v>Sorrows Grove</v>
      </c>
    </row>
    <row r="2729" ht="15.75" customHeight="1">
      <c r="A2729" s="1">
        <v>133.0</v>
      </c>
      <c r="B2729" s="1">
        <v>32.0</v>
      </c>
      <c r="C2729" s="1">
        <v>40.0</v>
      </c>
      <c r="D2729" s="1">
        <v>93.0</v>
      </c>
      <c r="F2729" s="1" t="str">
        <f>LOOKUP(A2729, NPCs!A:A, NPCs!C:C)</f>
        <v>Pancake</v>
      </c>
      <c r="G2729" s="1" t="str">
        <f>LOOKUP(B2729, Maps!A:A, Maps!B:B)</f>
        <v>Sorrows Grove</v>
      </c>
    </row>
    <row r="2730" ht="15.75" customHeight="1">
      <c r="A2730" s="1">
        <v>133.0</v>
      </c>
      <c r="B2730" s="1">
        <v>32.0</v>
      </c>
      <c r="C2730" s="1">
        <v>47.0</v>
      </c>
      <c r="D2730" s="1">
        <v>96.0</v>
      </c>
      <c r="F2730" s="1" t="str">
        <f>LOOKUP(A2730, NPCs!A:A, NPCs!C:C)</f>
        <v>Pancake</v>
      </c>
      <c r="G2730" s="1" t="str">
        <f>LOOKUP(B2730, Maps!A:A, Maps!B:B)</f>
        <v>Sorrows Grove</v>
      </c>
    </row>
    <row r="2731" ht="15.75" customHeight="1">
      <c r="A2731" s="1">
        <v>133.0</v>
      </c>
      <c r="B2731" s="1">
        <v>32.0</v>
      </c>
      <c r="C2731" s="1">
        <v>50.0</v>
      </c>
      <c r="D2731" s="1">
        <v>99.0</v>
      </c>
      <c r="F2731" s="1" t="str">
        <f>LOOKUP(A2731, NPCs!A:A, NPCs!C:C)</f>
        <v>Pancake</v>
      </c>
      <c r="G2731" s="1" t="str">
        <f>LOOKUP(B2731, Maps!A:A, Maps!B:B)</f>
        <v>Sorrows Grove</v>
      </c>
    </row>
    <row r="2732" ht="15.75" customHeight="1">
      <c r="A2732" s="1">
        <v>133.0</v>
      </c>
      <c r="B2732" s="1">
        <v>32.0</v>
      </c>
      <c r="C2732" s="1">
        <v>53.0</v>
      </c>
      <c r="D2732" s="1">
        <v>95.0</v>
      </c>
      <c r="F2732" s="1" t="str">
        <f>LOOKUP(A2732, NPCs!A:A, NPCs!C:C)</f>
        <v>Pancake</v>
      </c>
      <c r="G2732" s="1" t="str">
        <f>LOOKUP(B2732, Maps!A:A, Maps!B:B)</f>
        <v>Sorrows Grove</v>
      </c>
    </row>
    <row r="2733" ht="15.75" customHeight="1">
      <c r="A2733" s="1">
        <v>133.0</v>
      </c>
      <c r="B2733" s="1">
        <v>32.0</v>
      </c>
      <c r="C2733" s="1">
        <v>64.0</v>
      </c>
      <c r="D2733" s="1">
        <v>97.0</v>
      </c>
      <c r="F2733" s="1" t="str">
        <f>LOOKUP(A2733, NPCs!A:A, NPCs!C:C)</f>
        <v>Pancake</v>
      </c>
      <c r="G2733" s="1" t="str">
        <f>LOOKUP(B2733, Maps!A:A, Maps!B:B)</f>
        <v>Sorrows Grove</v>
      </c>
    </row>
    <row r="2734" ht="15.75" customHeight="1">
      <c r="A2734" s="1">
        <v>133.0</v>
      </c>
      <c r="B2734" s="1">
        <v>32.0</v>
      </c>
      <c r="C2734" s="1">
        <v>62.0</v>
      </c>
      <c r="D2734" s="1">
        <v>90.0</v>
      </c>
      <c r="F2734" s="1" t="str">
        <f>LOOKUP(A2734, NPCs!A:A, NPCs!C:C)</f>
        <v>Pancake</v>
      </c>
      <c r="G2734" s="1" t="str">
        <f>LOOKUP(B2734, Maps!A:A, Maps!B:B)</f>
        <v>Sorrows Grove</v>
      </c>
    </row>
    <row r="2735" ht="15.75" customHeight="1">
      <c r="A2735" s="1">
        <v>133.0</v>
      </c>
      <c r="B2735" s="1">
        <v>32.0</v>
      </c>
      <c r="C2735" s="1">
        <v>54.0</v>
      </c>
      <c r="D2735" s="1">
        <v>86.0</v>
      </c>
      <c r="F2735" s="1" t="str">
        <f>LOOKUP(A2735, NPCs!A:A, NPCs!C:C)</f>
        <v>Pancake</v>
      </c>
      <c r="G2735" s="1" t="str">
        <f>LOOKUP(B2735, Maps!A:A, Maps!B:B)</f>
        <v>Sorrows Grove</v>
      </c>
    </row>
    <row r="2736" ht="15.75" customHeight="1">
      <c r="A2736" s="1">
        <v>133.0</v>
      </c>
      <c r="B2736" s="1">
        <v>32.0</v>
      </c>
      <c r="C2736" s="1">
        <v>44.0</v>
      </c>
      <c r="D2736" s="1">
        <v>84.0</v>
      </c>
      <c r="F2736" s="1" t="str">
        <f>LOOKUP(A2736, NPCs!A:A, NPCs!C:C)</f>
        <v>Pancake</v>
      </c>
      <c r="G2736" s="1" t="str">
        <f>LOOKUP(B2736, Maps!A:A, Maps!B:B)</f>
        <v>Sorrows Grove</v>
      </c>
    </row>
    <row r="2737" ht="15.75" customHeight="1">
      <c r="A2737" s="1">
        <v>133.0</v>
      </c>
      <c r="B2737" s="1">
        <v>32.0</v>
      </c>
      <c r="C2737" s="1">
        <v>48.0</v>
      </c>
      <c r="D2737" s="1">
        <v>79.0</v>
      </c>
      <c r="F2737" s="1" t="str">
        <f>LOOKUP(A2737, NPCs!A:A, NPCs!C:C)</f>
        <v>Pancake</v>
      </c>
      <c r="G2737" s="1" t="str">
        <f>LOOKUP(B2737, Maps!A:A, Maps!B:B)</f>
        <v>Sorrows Grove</v>
      </c>
    </row>
    <row r="2738" ht="15.75" customHeight="1">
      <c r="A2738" s="1">
        <v>133.0</v>
      </c>
      <c r="B2738" s="1">
        <v>32.0</v>
      </c>
      <c r="C2738" s="1">
        <v>39.0</v>
      </c>
      <c r="D2738" s="1">
        <v>74.0</v>
      </c>
      <c r="F2738" s="1" t="str">
        <f>LOOKUP(A2738, NPCs!A:A, NPCs!C:C)</f>
        <v>Pancake</v>
      </c>
      <c r="G2738" s="1" t="str">
        <f>LOOKUP(B2738, Maps!A:A, Maps!B:B)</f>
        <v>Sorrows Grove</v>
      </c>
    </row>
    <row r="2739" ht="15.75" customHeight="1">
      <c r="A2739" s="1">
        <v>133.0</v>
      </c>
      <c r="B2739" s="1">
        <v>32.0</v>
      </c>
      <c r="C2739" s="1">
        <v>54.0</v>
      </c>
      <c r="D2739" s="1">
        <v>76.0</v>
      </c>
      <c r="F2739" s="1" t="str">
        <f>LOOKUP(A2739, NPCs!A:A, NPCs!C:C)</f>
        <v>Pancake</v>
      </c>
      <c r="G2739" s="1" t="str">
        <f>LOOKUP(B2739, Maps!A:A, Maps!B:B)</f>
        <v>Sorrows Grove</v>
      </c>
    </row>
    <row r="2740" ht="15.75" customHeight="1">
      <c r="A2740" s="1">
        <v>133.0</v>
      </c>
      <c r="B2740" s="1">
        <v>32.0</v>
      </c>
      <c r="C2740" s="1">
        <v>61.0</v>
      </c>
      <c r="D2740" s="1">
        <v>74.0</v>
      </c>
      <c r="F2740" s="1" t="str">
        <f>LOOKUP(A2740, NPCs!A:A, NPCs!C:C)</f>
        <v>Pancake</v>
      </c>
      <c r="G2740" s="1" t="str">
        <f>LOOKUP(B2740, Maps!A:A, Maps!B:B)</f>
        <v>Sorrows Grove</v>
      </c>
    </row>
    <row r="2741" ht="15.75" customHeight="1">
      <c r="A2741" s="1">
        <v>133.0</v>
      </c>
      <c r="B2741" s="1">
        <v>32.0</v>
      </c>
      <c r="C2741" s="1">
        <v>67.0</v>
      </c>
      <c r="D2741" s="1">
        <v>83.0</v>
      </c>
      <c r="F2741" s="1" t="str">
        <f>LOOKUP(A2741, NPCs!A:A, NPCs!C:C)</f>
        <v>Pancake</v>
      </c>
      <c r="G2741" s="1" t="str">
        <f>LOOKUP(B2741, Maps!A:A, Maps!B:B)</f>
        <v>Sorrows Grove</v>
      </c>
    </row>
    <row r="2742" ht="15.75" customHeight="1">
      <c r="A2742" s="1">
        <v>133.0</v>
      </c>
      <c r="B2742" s="1">
        <v>32.0</v>
      </c>
      <c r="C2742" s="1">
        <v>71.0</v>
      </c>
      <c r="D2742" s="1">
        <v>89.0</v>
      </c>
      <c r="F2742" s="1" t="str">
        <f>LOOKUP(A2742, NPCs!A:A, NPCs!C:C)</f>
        <v>Pancake</v>
      </c>
      <c r="G2742" s="1" t="str">
        <f>LOOKUP(B2742, Maps!A:A, Maps!B:B)</f>
        <v>Sorrows Grove</v>
      </c>
    </row>
    <row r="2743" ht="15.75" customHeight="1">
      <c r="A2743" s="1">
        <v>133.0</v>
      </c>
      <c r="B2743" s="1">
        <v>32.0</v>
      </c>
      <c r="C2743" s="1">
        <v>79.0</v>
      </c>
      <c r="D2743" s="1">
        <v>84.0</v>
      </c>
      <c r="F2743" s="1" t="str">
        <f>LOOKUP(A2743, NPCs!A:A, NPCs!C:C)</f>
        <v>Pancake</v>
      </c>
      <c r="G2743" s="1" t="str">
        <f>LOOKUP(B2743, Maps!A:A, Maps!B:B)</f>
        <v>Sorrows Grove</v>
      </c>
    </row>
    <row r="2744" ht="15.75" customHeight="1">
      <c r="A2744" s="1">
        <v>133.0</v>
      </c>
      <c r="B2744" s="1">
        <v>32.0</v>
      </c>
      <c r="C2744" s="1">
        <v>87.0</v>
      </c>
      <c r="D2744" s="1">
        <v>84.0</v>
      </c>
      <c r="F2744" s="1" t="str">
        <f>LOOKUP(A2744, NPCs!A:A, NPCs!C:C)</f>
        <v>Pancake</v>
      </c>
      <c r="G2744" s="1" t="str">
        <f>LOOKUP(B2744, Maps!A:A, Maps!B:B)</f>
        <v>Sorrows Grove</v>
      </c>
    </row>
    <row r="2745" ht="15.75" customHeight="1">
      <c r="A2745" s="1">
        <v>133.0</v>
      </c>
      <c r="B2745" s="1">
        <v>32.0</v>
      </c>
      <c r="C2745" s="1">
        <v>94.0</v>
      </c>
      <c r="D2745" s="1">
        <v>91.0</v>
      </c>
      <c r="F2745" s="1" t="str">
        <f>LOOKUP(A2745, NPCs!A:A, NPCs!C:C)</f>
        <v>Pancake</v>
      </c>
      <c r="G2745" s="1" t="str">
        <f>LOOKUP(B2745, Maps!A:A, Maps!B:B)</f>
        <v>Sorrows Grove</v>
      </c>
    </row>
    <row r="2746" ht="15.75" customHeight="1">
      <c r="A2746" s="1">
        <v>133.0</v>
      </c>
      <c r="B2746" s="1">
        <v>32.0</v>
      </c>
      <c r="C2746" s="1">
        <v>94.0</v>
      </c>
      <c r="D2746" s="1">
        <v>96.0</v>
      </c>
      <c r="F2746" s="1" t="str">
        <f>LOOKUP(A2746, NPCs!A:A, NPCs!C:C)</f>
        <v>Pancake</v>
      </c>
      <c r="G2746" s="1" t="str">
        <f>LOOKUP(B2746, Maps!A:A, Maps!B:B)</f>
        <v>Sorrows Grove</v>
      </c>
    </row>
    <row r="2747" ht="15.75" customHeight="1">
      <c r="A2747" s="1">
        <v>133.0</v>
      </c>
      <c r="B2747" s="1">
        <v>32.0</v>
      </c>
      <c r="C2747" s="1">
        <v>94.0</v>
      </c>
      <c r="D2747" s="1">
        <v>98.0</v>
      </c>
      <c r="F2747" s="1" t="str">
        <f>LOOKUP(A2747, NPCs!A:A, NPCs!C:C)</f>
        <v>Pancake</v>
      </c>
      <c r="G2747" s="1" t="str">
        <f>LOOKUP(B2747, Maps!A:A, Maps!B:B)</f>
        <v>Sorrows Grove</v>
      </c>
    </row>
    <row r="2748" ht="15.75" customHeight="1">
      <c r="A2748" s="1">
        <v>133.0</v>
      </c>
      <c r="B2748" s="1">
        <v>32.0</v>
      </c>
      <c r="C2748" s="1">
        <v>96.0</v>
      </c>
      <c r="D2748" s="1">
        <v>95.0</v>
      </c>
      <c r="F2748" s="1" t="str">
        <f>LOOKUP(A2748, NPCs!A:A, NPCs!C:C)</f>
        <v>Pancake</v>
      </c>
      <c r="G2748" s="1" t="str">
        <f>LOOKUP(B2748, Maps!A:A, Maps!B:B)</f>
        <v>Sorrows Grove</v>
      </c>
    </row>
    <row r="2749" ht="15.75" customHeight="1">
      <c r="A2749" s="1">
        <v>133.0</v>
      </c>
      <c r="B2749" s="1">
        <v>32.0</v>
      </c>
      <c r="C2749" s="1">
        <v>98.0</v>
      </c>
      <c r="D2749" s="1">
        <v>96.0</v>
      </c>
      <c r="F2749" s="1" t="str">
        <f>LOOKUP(A2749, NPCs!A:A, NPCs!C:C)</f>
        <v>Pancake</v>
      </c>
      <c r="G2749" s="1" t="str">
        <f>LOOKUP(B2749, Maps!A:A, Maps!B:B)</f>
        <v>Sorrows Grove</v>
      </c>
    </row>
    <row r="2750" ht="15.75" customHeight="1">
      <c r="A2750" s="1">
        <v>133.0</v>
      </c>
      <c r="B2750" s="1">
        <v>32.0</v>
      </c>
      <c r="C2750" s="1">
        <v>99.0</v>
      </c>
      <c r="D2750" s="1">
        <v>98.0</v>
      </c>
      <c r="F2750" s="1" t="str">
        <f>LOOKUP(A2750, NPCs!A:A, NPCs!C:C)</f>
        <v>Pancake</v>
      </c>
      <c r="G2750" s="1" t="str">
        <f>LOOKUP(B2750, Maps!A:A, Maps!B:B)</f>
        <v>Sorrows Grove</v>
      </c>
    </row>
    <row r="2751" ht="15.75" customHeight="1">
      <c r="A2751" s="1">
        <v>137.0</v>
      </c>
      <c r="B2751" s="1">
        <v>32.0</v>
      </c>
      <c r="C2751" s="1">
        <v>96.0</v>
      </c>
      <c r="D2751" s="1">
        <v>99.0</v>
      </c>
      <c r="F2751" s="1" t="str">
        <f>LOOKUP(A2751, NPCs!A:A, NPCs!C:C)</f>
        <v>Sorrows Lover</v>
      </c>
      <c r="G2751" s="1" t="str">
        <f>LOOKUP(B2751, Maps!A:A, Maps!B:B)</f>
        <v>Sorrows Grove</v>
      </c>
    </row>
    <row r="2752" ht="15.75" customHeight="1">
      <c r="A2752" s="1">
        <v>134.0</v>
      </c>
      <c r="B2752" s="1">
        <v>32.0</v>
      </c>
      <c r="C2752" s="1">
        <v>7.0</v>
      </c>
      <c r="D2752" s="1">
        <v>17.0</v>
      </c>
      <c r="F2752" s="1" t="str">
        <f>LOOKUP(A2752, NPCs!A:A, NPCs!C:C)</f>
        <v>Flapjack</v>
      </c>
      <c r="G2752" s="1" t="str">
        <f>LOOKUP(B2752, Maps!A:A, Maps!B:B)</f>
        <v>Sorrows Grove</v>
      </c>
    </row>
    <row r="2753" ht="15.75" customHeight="1">
      <c r="A2753" s="1">
        <v>134.0</v>
      </c>
      <c r="B2753" s="1">
        <v>32.0</v>
      </c>
      <c r="C2753" s="1">
        <v>14.0</v>
      </c>
      <c r="D2753" s="1">
        <v>19.0</v>
      </c>
      <c r="F2753" s="1" t="str">
        <f>LOOKUP(A2753, NPCs!A:A, NPCs!C:C)</f>
        <v>Flapjack</v>
      </c>
      <c r="G2753" s="1" t="str">
        <f>LOOKUP(B2753, Maps!A:A, Maps!B:B)</f>
        <v>Sorrows Grove</v>
      </c>
    </row>
    <row r="2754" ht="15.75" customHeight="1">
      <c r="A2754" s="1">
        <v>134.0</v>
      </c>
      <c r="B2754" s="1">
        <v>32.0</v>
      </c>
      <c r="C2754" s="1">
        <v>20.0</v>
      </c>
      <c r="D2754" s="1">
        <v>19.0</v>
      </c>
      <c r="F2754" s="1" t="str">
        <f>LOOKUP(A2754, NPCs!A:A, NPCs!C:C)</f>
        <v>Flapjack</v>
      </c>
      <c r="G2754" s="1" t="str">
        <f>LOOKUP(B2754, Maps!A:A, Maps!B:B)</f>
        <v>Sorrows Grove</v>
      </c>
    </row>
    <row r="2755" ht="15.75" customHeight="1">
      <c r="A2755" s="1">
        <v>134.0</v>
      </c>
      <c r="B2755" s="1">
        <v>32.0</v>
      </c>
      <c r="C2755" s="1">
        <v>27.0</v>
      </c>
      <c r="D2755" s="1">
        <v>17.0</v>
      </c>
      <c r="F2755" s="1" t="str">
        <f>LOOKUP(A2755, NPCs!A:A, NPCs!C:C)</f>
        <v>Flapjack</v>
      </c>
      <c r="G2755" s="1" t="str">
        <f>LOOKUP(B2755, Maps!A:A, Maps!B:B)</f>
        <v>Sorrows Grove</v>
      </c>
    </row>
    <row r="2756" ht="15.75" customHeight="1">
      <c r="A2756" s="1">
        <v>134.0</v>
      </c>
      <c r="B2756" s="1">
        <v>32.0</v>
      </c>
      <c r="C2756" s="1">
        <v>33.0</v>
      </c>
      <c r="D2756" s="1">
        <v>14.0</v>
      </c>
      <c r="F2756" s="1" t="str">
        <f>LOOKUP(A2756, NPCs!A:A, NPCs!C:C)</f>
        <v>Flapjack</v>
      </c>
      <c r="G2756" s="1" t="str">
        <f>LOOKUP(B2756, Maps!A:A, Maps!B:B)</f>
        <v>Sorrows Grove</v>
      </c>
    </row>
    <row r="2757" ht="15.75" customHeight="1">
      <c r="A2757" s="1">
        <v>134.0</v>
      </c>
      <c r="B2757" s="1">
        <v>32.0</v>
      </c>
      <c r="C2757" s="1">
        <v>25.0</v>
      </c>
      <c r="D2757" s="1">
        <v>10.0</v>
      </c>
      <c r="F2757" s="1" t="str">
        <f>LOOKUP(A2757, NPCs!A:A, NPCs!C:C)</f>
        <v>Flapjack</v>
      </c>
      <c r="G2757" s="1" t="str">
        <f>LOOKUP(B2757, Maps!A:A, Maps!B:B)</f>
        <v>Sorrows Grove</v>
      </c>
    </row>
    <row r="2758" ht="15.75" customHeight="1">
      <c r="A2758" s="1">
        <v>134.0</v>
      </c>
      <c r="B2758" s="1">
        <v>32.0</v>
      </c>
      <c r="C2758" s="1">
        <v>19.0</v>
      </c>
      <c r="D2758" s="1">
        <v>13.0</v>
      </c>
      <c r="F2758" s="1" t="str">
        <f>LOOKUP(A2758, NPCs!A:A, NPCs!C:C)</f>
        <v>Flapjack</v>
      </c>
      <c r="G2758" s="1" t="str">
        <f>LOOKUP(B2758, Maps!A:A, Maps!B:B)</f>
        <v>Sorrows Grove</v>
      </c>
    </row>
    <row r="2759" ht="15.75" customHeight="1">
      <c r="A2759" s="1">
        <v>134.0</v>
      </c>
      <c r="B2759" s="1">
        <v>32.0</v>
      </c>
      <c r="C2759" s="1">
        <v>17.0</v>
      </c>
      <c r="D2759" s="1">
        <v>12.0</v>
      </c>
      <c r="F2759" s="1" t="str">
        <f>LOOKUP(A2759, NPCs!A:A, NPCs!C:C)</f>
        <v>Flapjack</v>
      </c>
      <c r="G2759" s="1" t="str">
        <f>LOOKUP(B2759, Maps!A:A, Maps!B:B)</f>
        <v>Sorrows Grove</v>
      </c>
    </row>
    <row r="2760" ht="15.75" customHeight="1">
      <c r="A2760" s="1">
        <v>134.0</v>
      </c>
      <c r="B2760" s="1">
        <v>32.0</v>
      </c>
      <c r="C2760" s="1">
        <v>15.0</v>
      </c>
      <c r="D2760" s="1">
        <v>13.0</v>
      </c>
      <c r="F2760" s="1" t="str">
        <f>LOOKUP(A2760, NPCs!A:A, NPCs!C:C)</f>
        <v>Flapjack</v>
      </c>
      <c r="G2760" s="1" t="str">
        <f>LOOKUP(B2760, Maps!A:A, Maps!B:B)</f>
        <v>Sorrows Grove</v>
      </c>
    </row>
    <row r="2761" ht="15.75" customHeight="1">
      <c r="A2761" s="1">
        <v>134.0</v>
      </c>
      <c r="B2761" s="1">
        <v>32.0</v>
      </c>
      <c r="C2761" s="1">
        <v>10.0</v>
      </c>
      <c r="D2761" s="1">
        <v>10.0</v>
      </c>
      <c r="F2761" s="1" t="str">
        <f>LOOKUP(A2761, NPCs!A:A, NPCs!C:C)</f>
        <v>Flapjack</v>
      </c>
      <c r="G2761" s="1" t="str">
        <f>LOOKUP(B2761, Maps!A:A, Maps!B:B)</f>
        <v>Sorrows Grove</v>
      </c>
    </row>
    <row r="2762" ht="15.75" customHeight="1">
      <c r="A2762" s="1">
        <v>134.0</v>
      </c>
      <c r="B2762" s="1">
        <v>32.0</v>
      </c>
      <c r="C2762" s="1">
        <v>17.0</v>
      </c>
      <c r="D2762" s="1">
        <v>5.0</v>
      </c>
      <c r="F2762" s="1" t="str">
        <f>LOOKUP(A2762, NPCs!A:A, NPCs!C:C)</f>
        <v>Flapjack</v>
      </c>
      <c r="G2762" s="1" t="str">
        <f>LOOKUP(B2762, Maps!A:A, Maps!B:B)</f>
        <v>Sorrows Grove</v>
      </c>
    </row>
    <row r="2763" ht="15.75" customHeight="1">
      <c r="A2763" s="1">
        <v>134.0</v>
      </c>
      <c r="B2763" s="1">
        <v>32.0</v>
      </c>
      <c r="C2763" s="1">
        <v>31.0</v>
      </c>
      <c r="D2763" s="1">
        <v>5.0</v>
      </c>
      <c r="F2763" s="1" t="str">
        <f>LOOKUP(A2763, NPCs!A:A, NPCs!C:C)</f>
        <v>Flapjack</v>
      </c>
      <c r="G2763" s="1" t="str">
        <f>LOOKUP(B2763, Maps!A:A, Maps!B:B)</f>
        <v>Sorrows Grove</v>
      </c>
    </row>
    <row r="2764" ht="15.75" customHeight="1">
      <c r="A2764" s="1">
        <v>134.0</v>
      </c>
      <c r="B2764" s="1">
        <v>32.0</v>
      </c>
      <c r="C2764" s="1">
        <v>33.0</v>
      </c>
      <c r="D2764" s="1">
        <v>3.0</v>
      </c>
      <c r="F2764" s="1" t="str">
        <f>LOOKUP(A2764, NPCs!A:A, NPCs!C:C)</f>
        <v>Flapjack</v>
      </c>
      <c r="G2764" s="1" t="str">
        <f>LOOKUP(B2764, Maps!A:A, Maps!B:B)</f>
        <v>Sorrows Grove</v>
      </c>
    </row>
    <row r="2765" ht="15.75" customHeight="1">
      <c r="A2765" s="1">
        <v>134.0</v>
      </c>
      <c r="B2765" s="1">
        <v>32.0</v>
      </c>
      <c r="C2765" s="1">
        <v>31.0</v>
      </c>
      <c r="D2765" s="1">
        <v>1.0</v>
      </c>
      <c r="F2765" s="1" t="str">
        <f>LOOKUP(A2765, NPCs!A:A, NPCs!C:C)</f>
        <v>Flapjack</v>
      </c>
      <c r="G2765" s="1" t="str">
        <f>LOOKUP(B2765, Maps!A:A, Maps!B:B)</f>
        <v>Sorrows Grove</v>
      </c>
    </row>
    <row r="2766" ht="15.75" customHeight="1">
      <c r="A2766" s="1">
        <v>134.0</v>
      </c>
      <c r="B2766" s="1">
        <v>32.0</v>
      </c>
      <c r="C2766" s="1">
        <v>47.0</v>
      </c>
      <c r="D2766" s="1">
        <v>2.0</v>
      </c>
      <c r="F2766" s="1" t="str">
        <f>LOOKUP(A2766, NPCs!A:A, NPCs!C:C)</f>
        <v>Flapjack</v>
      </c>
      <c r="G2766" s="1" t="str">
        <f>LOOKUP(B2766, Maps!A:A, Maps!B:B)</f>
        <v>Sorrows Grove</v>
      </c>
    </row>
    <row r="2767" ht="15.75" customHeight="1">
      <c r="A2767" s="1">
        <v>134.0</v>
      </c>
      <c r="B2767" s="1">
        <v>32.0</v>
      </c>
      <c r="C2767" s="1">
        <v>41.0</v>
      </c>
      <c r="D2767" s="1">
        <v>8.0</v>
      </c>
      <c r="F2767" s="1" t="str">
        <f>LOOKUP(A2767, NPCs!A:A, NPCs!C:C)</f>
        <v>Flapjack</v>
      </c>
      <c r="G2767" s="1" t="str">
        <f>LOOKUP(B2767, Maps!A:A, Maps!B:B)</f>
        <v>Sorrows Grove</v>
      </c>
    </row>
    <row r="2768" ht="15.75" customHeight="1">
      <c r="A2768" s="1">
        <v>134.0</v>
      </c>
      <c r="B2768" s="1">
        <v>32.0</v>
      </c>
      <c r="C2768" s="1">
        <v>51.0</v>
      </c>
      <c r="D2768" s="1">
        <v>8.0</v>
      </c>
      <c r="F2768" s="1" t="str">
        <f>LOOKUP(A2768, NPCs!A:A, NPCs!C:C)</f>
        <v>Flapjack</v>
      </c>
      <c r="G2768" s="1" t="str">
        <f>LOOKUP(B2768, Maps!A:A, Maps!B:B)</f>
        <v>Sorrows Grove</v>
      </c>
    </row>
    <row r="2769" ht="15.75" customHeight="1">
      <c r="A2769" s="1">
        <v>134.0</v>
      </c>
      <c r="B2769" s="1">
        <v>32.0</v>
      </c>
      <c r="C2769" s="1">
        <v>53.0</v>
      </c>
      <c r="D2769" s="1">
        <v>8.0</v>
      </c>
      <c r="F2769" s="1" t="str">
        <f>LOOKUP(A2769, NPCs!A:A, NPCs!C:C)</f>
        <v>Flapjack</v>
      </c>
      <c r="G2769" s="1" t="str">
        <f>LOOKUP(B2769, Maps!A:A, Maps!B:B)</f>
        <v>Sorrows Grove</v>
      </c>
    </row>
    <row r="2770" ht="15.75" customHeight="1">
      <c r="A2770" s="1">
        <v>134.0</v>
      </c>
      <c r="B2770" s="1">
        <v>32.0</v>
      </c>
      <c r="C2770" s="1">
        <v>60.0</v>
      </c>
      <c r="D2770" s="1">
        <v>3.0</v>
      </c>
      <c r="F2770" s="1" t="str">
        <f>LOOKUP(A2770, NPCs!A:A, NPCs!C:C)</f>
        <v>Flapjack</v>
      </c>
      <c r="G2770" s="1" t="str">
        <f>LOOKUP(B2770, Maps!A:A, Maps!B:B)</f>
        <v>Sorrows Grove</v>
      </c>
    </row>
    <row r="2771" ht="15.75" customHeight="1">
      <c r="A2771" s="1">
        <v>134.0</v>
      </c>
      <c r="B2771" s="1">
        <v>32.0</v>
      </c>
      <c r="C2771" s="1">
        <v>67.0</v>
      </c>
      <c r="D2771" s="1">
        <v>4.0</v>
      </c>
      <c r="F2771" s="1" t="str">
        <f>LOOKUP(A2771, NPCs!A:A, NPCs!C:C)</f>
        <v>Flapjack</v>
      </c>
      <c r="G2771" s="1" t="str">
        <f>LOOKUP(B2771, Maps!A:A, Maps!B:B)</f>
        <v>Sorrows Grove</v>
      </c>
    </row>
    <row r="2772" ht="15.75" customHeight="1">
      <c r="A2772" s="1">
        <v>134.0</v>
      </c>
      <c r="B2772" s="1">
        <v>32.0</v>
      </c>
      <c r="C2772" s="1">
        <v>67.0</v>
      </c>
      <c r="D2772" s="1">
        <v>1.0</v>
      </c>
      <c r="F2772" s="1" t="str">
        <f>LOOKUP(A2772, NPCs!A:A, NPCs!C:C)</f>
        <v>Flapjack</v>
      </c>
      <c r="G2772" s="1" t="str">
        <f>LOOKUP(B2772, Maps!A:A, Maps!B:B)</f>
        <v>Sorrows Grove</v>
      </c>
    </row>
    <row r="2773" ht="15.75" customHeight="1">
      <c r="A2773" s="1">
        <v>134.0</v>
      </c>
      <c r="B2773" s="1">
        <v>32.0</v>
      </c>
      <c r="C2773" s="1">
        <v>76.0</v>
      </c>
      <c r="D2773" s="1">
        <v>3.0</v>
      </c>
      <c r="F2773" s="1" t="str">
        <f>LOOKUP(A2773, NPCs!A:A, NPCs!C:C)</f>
        <v>Flapjack</v>
      </c>
      <c r="G2773" s="1" t="str">
        <f>LOOKUP(B2773, Maps!A:A, Maps!B:B)</f>
        <v>Sorrows Grove</v>
      </c>
    </row>
    <row r="2774" ht="15.75" customHeight="1">
      <c r="A2774" s="1">
        <v>134.0</v>
      </c>
      <c r="B2774" s="1">
        <v>32.0</v>
      </c>
      <c r="C2774" s="1">
        <v>78.0</v>
      </c>
      <c r="D2774" s="1">
        <v>8.0</v>
      </c>
      <c r="F2774" s="1" t="str">
        <f>LOOKUP(A2774, NPCs!A:A, NPCs!C:C)</f>
        <v>Flapjack</v>
      </c>
      <c r="G2774" s="1" t="str">
        <f>LOOKUP(B2774, Maps!A:A, Maps!B:B)</f>
        <v>Sorrows Grove</v>
      </c>
    </row>
    <row r="2775" ht="15.75" customHeight="1">
      <c r="A2775" s="1">
        <v>134.0</v>
      </c>
      <c r="B2775" s="1">
        <v>32.0</v>
      </c>
      <c r="C2775" s="1">
        <v>86.0</v>
      </c>
      <c r="D2775" s="1">
        <v>6.0</v>
      </c>
      <c r="F2775" s="1" t="str">
        <f>LOOKUP(A2775, NPCs!A:A, NPCs!C:C)</f>
        <v>Flapjack</v>
      </c>
      <c r="G2775" s="1" t="str">
        <f>LOOKUP(B2775, Maps!A:A, Maps!B:B)</f>
        <v>Sorrows Grove</v>
      </c>
    </row>
    <row r="2776" ht="15.75" customHeight="1">
      <c r="A2776" s="1">
        <v>134.0</v>
      </c>
      <c r="B2776" s="1">
        <v>32.0</v>
      </c>
      <c r="C2776" s="1">
        <v>85.0</v>
      </c>
      <c r="D2776" s="1">
        <v>3.0</v>
      </c>
      <c r="F2776" s="1" t="str">
        <f>LOOKUP(A2776, NPCs!A:A, NPCs!C:C)</f>
        <v>Flapjack</v>
      </c>
      <c r="G2776" s="1" t="str">
        <f>LOOKUP(B2776, Maps!A:A, Maps!B:B)</f>
        <v>Sorrows Grove</v>
      </c>
    </row>
    <row r="2777" ht="15.75" customHeight="1">
      <c r="A2777" s="1">
        <v>134.0</v>
      </c>
      <c r="B2777" s="1">
        <v>32.0</v>
      </c>
      <c r="C2777" s="1">
        <v>95.0</v>
      </c>
      <c r="D2777" s="1">
        <v>10.0</v>
      </c>
      <c r="F2777" s="1" t="str">
        <f>LOOKUP(A2777, NPCs!A:A, NPCs!C:C)</f>
        <v>Flapjack</v>
      </c>
      <c r="G2777" s="1" t="str">
        <f>LOOKUP(B2777, Maps!A:A, Maps!B:B)</f>
        <v>Sorrows Grove</v>
      </c>
    </row>
    <row r="2778" ht="15.75" customHeight="1">
      <c r="A2778" s="1">
        <v>134.0</v>
      </c>
      <c r="B2778" s="1">
        <v>32.0</v>
      </c>
      <c r="C2778" s="1">
        <v>97.0</v>
      </c>
      <c r="D2778" s="1">
        <v>17.0</v>
      </c>
      <c r="F2778" s="1" t="str">
        <f>LOOKUP(A2778, NPCs!A:A, NPCs!C:C)</f>
        <v>Flapjack</v>
      </c>
      <c r="G2778" s="1" t="str">
        <f>LOOKUP(B2778, Maps!A:A, Maps!B:B)</f>
        <v>Sorrows Grove</v>
      </c>
    </row>
    <row r="2779" ht="15.75" customHeight="1">
      <c r="A2779" s="1">
        <v>134.0</v>
      </c>
      <c r="B2779" s="1">
        <v>32.0</v>
      </c>
      <c r="C2779" s="1">
        <v>87.0</v>
      </c>
      <c r="D2779" s="1">
        <v>15.0</v>
      </c>
      <c r="F2779" s="1" t="str">
        <f>LOOKUP(A2779, NPCs!A:A, NPCs!C:C)</f>
        <v>Flapjack</v>
      </c>
      <c r="G2779" s="1" t="str">
        <f>LOOKUP(B2779, Maps!A:A, Maps!B:B)</f>
        <v>Sorrows Grove</v>
      </c>
    </row>
    <row r="2780" ht="15.75" customHeight="1">
      <c r="A2780" s="1">
        <v>134.0</v>
      </c>
      <c r="B2780" s="1">
        <v>32.0</v>
      </c>
      <c r="C2780" s="1">
        <v>79.0</v>
      </c>
      <c r="D2780" s="1">
        <v>17.0</v>
      </c>
      <c r="F2780" s="1" t="str">
        <f>LOOKUP(A2780, NPCs!A:A, NPCs!C:C)</f>
        <v>Flapjack</v>
      </c>
      <c r="G2780" s="1" t="str">
        <f>LOOKUP(B2780, Maps!A:A, Maps!B:B)</f>
        <v>Sorrows Grove</v>
      </c>
    </row>
    <row r="2781" ht="15.75" customHeight="1">
      <c r="A2781" s="1">
        <v>134.0</v>
      </c>
      <c r="B2781" s="1">
        <v>32.0</v>
      </c>
      <c r="C2781" s="1">
        <v>77.0</v>
      </c>
      <c r="D2781" s="1">
        <v>17.0</v>
      </c>
      <c r="F2781" s="1" t="str">
        <f>LOOKUP(A2781, NPCs!A:A, NPCs!C:C)</f>
        <v>Flapjack</v>
      </c>
      <c r="G2781" s="1" t="str">
        <f>LOOKUP(B2781, Maps!A:A, Maps!B:B)</f>
        <v>Sorrows Grove</v>
      </c>
    </row>
    <row r="2782" ht="15.75" customHeight="1">
      <c r="A2782" s="1">
        <v>134.0</v>
      </c>
      <c r="B2782" s="1">
        <v>32.0</v>
      </c>
      <c r="C2782" s="1">
        <v>70.0</v>
      </c>
      <c r="D2782" s="1">
        <v>14.0</v>
      </c>
      <c r="F2782" s="1" t="str">
        <f>LOOKUP(A2782, NPCs!A:A, NPCs!C:C)</f>
        <v>Flapjack</v>
      </c>
      <c r="G2782" s="1" t="str">
        <f>LOOKUP(B2782, Maps!A:A, Maps!B:B)</f>
        <v>Sorrows Grove</v>
      </c>
    </row>
    <row r="2783" ht="15.75" customHeight="1">
      <c r="A2783" s="1">
        <v>134.0</v>
      </c>
      <c r="B2783" s="1">
        <v>32.0</v>
      </c>
      <c r="C2783" s="1">
        <v>67.0</v>
      </c>
      <c r="D2783" s="1">
        <v>14.0</v>
      </c>
      <c r="F2783" s="1" t="str">
        <f>LOOKUP(A2783, NPCs!A:A, NPCs!C:C)</f>
        <v>Flapjack</v>
      </c>
      <c r="G2783" s="1" t="str">
        <f>LOOKUP(B2783, Maps!A:A, Maps!B:B)</f>
        <v>Sorrows Grove</v>
      </c>
    </row>
    <row r="2784" ht="15.75" customHeight="1">
      <c r="A2784" s="1">
        <v>134.0</v>
      </c>
      <c r="B2784" s="1">
        <v>32.0</v>
      </c>
      <c r="C2784" s="1">
        <v>67.0</v>
      </c>
      <c r="D2784" s="1">
        <v>16.0</v>
      </c>
      <c r="F2784" s="1" t="str">
        <f>LOOKUP(A2784, NPCs!A:A, NPCs!C:C)</f>
        <v>Flapjack</v>
      </c>
      <c r="G2784" s="1" t="str">
        <f>LOOKUP(B2784, Maps!A:A, Maps!B:B)</f>
        <v>Sorrows Grove</v>
      </c>
    </row>
    <row r="2785" ht="15.75" customHeight="1">
      <c r="A2785" s="1">
        <v>134.0</v>
      </c>
      <c r="B2785" s="1">
        <v>32.0</v>
      </c>
      <c r="C2785" s="1">
        <v>64.0</v>
      </c>
      <c r="D2785" s="1">
        <v>14.0</v>
      </c>
      <c r="F2785" s="1" t="str">
        <f>LOOKUP(A2785, NPCs!A:A, NPCs!C:C)</f>
        <v>Flapjack</v>
      </c>
      <c r="G2785" s="1" t="str">
        <f>LOOKUP(B2785, Maps!A:A, Maps!B:B)</f>
        <v>Sorrows Grove</v>
      </c>
    </row>
    <row r="2786" ht="15.75" customHeight="1">
      <c r="A2786" s="1">
        <v>134.0</v>
      </c>
      <c r="B2786" s="1">
        <v>32.0</v>
      </c>
      <c r="C2786" s="1">
        <v>67.0</v>
      </c>
      <c r="D2786" s="1">
        <v>12.0</v>
      </c>
      <c r="F2786" s="1" t="str">
        <f>LOOKUP(A2786, NPCs!A:A, NPCs!C:C)</f>
        <v>Flapjack</v>
      </c>
      <c r="G2786" s="1" t="str">
        <f>LOOKUP(B2786, Maps!A:A, Maps!B:B)</f>
        <v>Sorrows Grove</v>
      </c>
    </row>
    <row r="2787" ht="15.75" customHeight="1">
      <c r="A2787" s="1">
        <v>134.0</v>
      </c>
      <c r="B2787" s="1">
        <v>32.0</v>
      </c>
      <c r="C2787" s="1">
        <v>85.0</v>
      </c>
      <c r="D2787" s="1">
        <v>21.0</v>
      </c>
      <c r="F2787" s="1" t="str">
        <f>LOOKUP(A2787, NPCs!A:A, NPCs!C:C)</f>
        <v>Flapjack</v>
      </c>
      <c r="G2787" s="1" t="str">
        <f>LOOKUP(B2787, Maps!A:A, Maps!B:B)</f>
        <v>Sorrows Grove</v>
      </c>
    </row>
    <row r="2788" ht="15.75" customHeight="1">
      <c r="A2788" s="1">
        <v>134.0</v>
      </c>
      <c r="B2788" s="1">
        <v>32.0</v>
      </c>
      <c r="C2788" s="1">
        <v>91.0</v>
      </c>
      <c r="D2788" s="1">
        <v>26.0</v>
      </c>
      <c r="F2788" s="1" t="str">
        <f>LOOKUP(A2788, NPCs!A:A, NPCs!C:C)</f>
        <v>Flapjack</v>
      </c>
      <c r="G2788" s="1" t="str">
        <f>LOOKUP(B2788, Maps!A:A, Maps!B:B)</f>
        <v>Sorrows Grove</v>
      </c>
    </row>
    <row r="2789" ht="15.75" customHeight="1">
      <c r="A2789" s="1">
        <v>134.0</v>
      </c>
      <c r="B2789" s="1">
        <v>32.0</v>
      </c>
      <c r="C2789" s="1">
        <v>93.0</v>
      </c>
      <c r="D2789" s="1">
        <v>26.0</v>
      </c>
      <c r="F2789" s="1" t="str">
        <f>LOOKUP(A2789, NPCs!A:A, NPCs!C:C)</f>
        <v>Flapjack</v>
      </c>
      <c r="G2789" s="1" t="str">
        <f>LOOKUP(B2789, Maps!A:A, Maps!B:B)</f>
        <v>Sorrows Grove</v>
      </c>
    </row>
    <row r="2790" ht="15.75" customHeight="1">
      <c r="A2790" s="1">
        <v>134.0</v>
      </c>
      <c r="B2790" s="1">
        <v>32.0</v>
      </c>
      <c r="C2790" s="1">
        <v>96.0</v>
      </c>
      <c r="D2790" s="1">
        <v>33.0</v>
      </c>
      <c r="F2790" s="1" t="str">
        <f>LOOKUP(A2790, NPCs!A:A, NPCs!C:C)</f>
        <v>Flapjack</v>
      </c>
      <c r="G2790" s="1" t="str">
        <f>LOOKUP(B2790, Maps!A:A, Maps!B:B)</f>
        <v>Sorrows Grove</v>
      </c>
    </row>
    <row r="2791" ht="15.75" customHeight="1">
      <c r="A2791" s="1">
        <v>134.0</v>
      </c>
      <c r="B2791" s="1">
        <v>32.0</v>
      </c>
      <c r="C2791" s="1">
        <v>91.0</v>
      </c>
      <c r="D2791" s="1">
        <v>30.0</v>
      </c>
      <c r="F2791" s="1" t="str">
        <f>LOOKUP(A2791, NPCs!A:A, NPCs!C:C)</f>
        <v>Flapjack</v>
      </c>
      <c r="G2791" s="1" t="str">
        <f>LOOKUP(B2791, Maps!A:A, Maps!B:B)</f>
        <v>Sorrows Grove</v>
      </c>
    </row>
    <row r="2792" ht="15.75" customHeight="1">
      <c r="A2792" s="1">
        <v>134.0</v>
      </c>
      <c r="B2792" s="1">
        <v>32.0</v>
      </c>
      <c r="C2792" s="1">
        <v>89.0</v>
      </c>
      <c r="D2792" s="1">
        <v>38.0</v>
      </c>
      <c r="F2792" s="1" t="str">
        <f>LOOKUP(A2792, NPCs!A:A, NPCs!C:C)</f>
        <v>Flapjack</v>
      </c>
      <c r="G2792" s="1" t="str">
        <f>LOOKUP(B2792, Maps!A:A, Maps!B:B)</f>
        <v>Sorrows Grove</v>
      </c>
    </row>
    <row r="2793" ht="15.75" customHeight="1">
      <c r="A2793" s="1">
        <v>134.0</v>
      </c>
      <c r="B2793" s="1">
        <v>32.0</v>
      </c>
      <c r="C2793" s="1">
        <v>93.0</v>
      </c>
      <c r="D2793" s="1">
        <v>44.0</v>
      </c>
      <c r="F2793" s="1" t="str">
        <f>LOOKUP(A2793, NPCs!A:A, NPCs!C:C)</f>
        <v>Flapjack</v>
      </c>
      <c r="G2793" s="1" t="str">
        <f>LOOKUP(B2793, Maps!A:A, Maps!B:B)</f>
        <v>Sorrows Grove</v>
      </c>
    </row>
    <row r="2794" ht="15.75" customHeight="1">
      <c r="A2794" s="1">
        <v>134.0</v>
      </c>
      <c r="B2794" s="1">
        <v>32.0</v>
      </c>
      <c r="C2794" s="1">
        <v>93.0</v>
      </c>
      <c r="D2794" s="1">
        <v>52.0</v>
      </c>
      <c r="F2794" s="1" t="str">
        <f>LOOKUP(A2794, NPCs!A:A, NPCs!C:C)</f>
        <v>Flapjack</v>
      </c>
      <c r="G2794" s="1" t="str">
        <f>LOOKUP(B2794, Maps!A:A, Maps!B:B)</f>
        <v>Sorrows Grove</v>
      </c>
    </row>
    <row r="2795" ht="15.75" customHeight="1">
      <c r="A2795" s="1">
        <v>134.0</v>
      </c>
      <c r="B2795" s="1">
        <v>32.0</v>
      </c>
      <c r="C2795" s="1">
        <v>87.0</v>
      </c>
      <c r="D2795" s="1">
        <v>47.0</v>
      </c>
      <c r="F2795" s="1" t="str">
        <f>LOOKUP(A2795, NPCs!A:A, NPCs!C:C)</f>
        <v>Flapjack</v>
      </c>
      <c r="G2795" s="1" t="str">
        <f>LOOKUP(B2795, Maps!A:A, Maps!B:B)</f>
        <v>Sorrows Grove</v>
      </c>
    </row>
    <row r="2796" ht="15.75" customHeight="1">
      <c r="A2796" s="1">
        <v>134.0</v>
      </c>
      <c r="B2796" s="1">
        <v>32.0</v>
      </c>
      <c r="C2796" s="1">
        <v>92.0</v>
      </c>
      <c r="D2796" s="1">
        <v>52.0</v>
      </c>
      <c r="F2796" s="1" t="str">
        <f>LOOKUP(A2796, NPCs!A:A, NPCs!C:C)</f>
        <v>Flapjack</v>
      </c>
      <c r="G2796" s="1" t="str">
        <f>LOOKUP(B2796, Maps!A:A, Maps!B:B)</f>
        <v>Sorrows Grove</v>
      </c>
    </row>
    <row r="2797" ht="15.75" customHeight="1">
      <c r="A2797" s="1">
        <v>134.0</v>
      </c>
      <c r="B2797" s="1">
        <v>32.0</v>
      </c>
      <c r="C2797" s="1">
        <v>89.0</v>
      </c>
      <c r="D2797" s="1">
        <v>59.0</v>
      </c>
      <c r="F2797" s="1" t="str">
        <f>LOOKUP(A2797, NPCs!A:A, NPCs!C:C)</f>
        <v>Flapjack</v>
      </c>
      <c r="G2797" s="1" t="str">
        <f>LOOKUP(B2797, Maps!A:A, Maps!B:B)</f>
        <v>Sorrows Grove</v>
      </c>
    </row>
    <row r="2798" ht="15.75" customHeight="1">
      <c r="A2798" s="1">
        <v>134.0</v>
      </c>
      <c r="B2798" s="1">
        <v>32.0</v>
      </c>
      <c r="C2798" s="1">
        <v>93.0</v>
      </c>
      <c r="D2798" s="1">
        <v>59.0</v>
      </c>
      <c r="F2798" s="1" t="str">
        <f>LOOKUP(A2798, NPCs!A:A, NPCs!C:C)</f>
        <v>Flapjack</v>
      </c>
      <c r="G2798" s="1" t="str">
        <f>LOOKUP(B2798, Maps!A:A, Maps!B:B)</f>
        <v>Sorrows Grove</v>
      </c>
    </row>
    <row r="2799" ht="15.75" customHeight="1">
      <c r="A2799" s="1">
        <v>134.0</v>
      </c>
      <c r="B2799" s="1">
        <v>32.0</v>
      </c>
      <c r="C2799" s="1">
        <v>92.0</v>
      </c>
      <c r="D2799" s="1">
        <v>64.0</v>
      </c>
      <c r="F2799" s="1" t="str">
        <f>LOOKUP(A2799, NPCs!A:A, NPCs!C:C)</f>
        <v>Flapjack</v>
      </c>
      <c r="G2799" s="1" t="str">
        <f>LOOKUP(B2799, Maps!A:A, Maps!B:B)</f>
        <v>Sorrows Grove</v>
      </c>
    </row>
    <row r="2800" ht="15.75" customHeight="1">
      <c r="A2800" s="1">
        <v>134.0</v>
      </c>
      <c r="B2800" s="1">
        <v>32.0</v>
      </c>
      <c r="C2800" s="1">
        <v>79.0</v>
      </c>
      <c r="D2800" s="1">
        <v>64.0</v>
      </c>
      <c r="F2800" s="1" t="str">
        <f>LOOKUP(A2800, NPCs!A:A, NPCs!C:C)</f>
        <v>Flapjack</v>
      </c>
      <c r="G2800" s="1" t="str">
        <f>LOOKUP(B2800, Maps!A:A, Maps!B:B)</f>
        <v>Sorrows Grove</v>
      </c>
    </row>
    <row r="2801" ht="15.75" customHeight="1">
      <c r="A2801" s="1">
        <v>134.0</v>
      </c>
      <c r="B2801" s="1">
        <v>32.0</v>
      </c>
      <c r="C2801" s="1">
        <v>76.0</v>
      </c>
      <c r="D2801" s="1">
        <v>68.0</v>
      </c>
      <c r="F2801" s="1" t="str">
        <f>LOOKUP(A2801, NPCs!A:A, NPCs!C:C)</f>
        <v>Flapjack</v>
      </c>
      <c r="G2801" s="1" t="str">
        <f>LOOKUP(B2801, Maps!A:A, Maps!B:B)</f>
        <v>Sorrows Grove</v>
      </c>
    </row>
    <row r="2802" ht="15.75" customHeight="1">
      <c r="A2802" s="1">
        <v>134.0</v>
      </c>
      <c r="B2802" s="1">
        <v>32.0</v>
      </c>
      <c r="C2802" s="1">
        <v>68.0</v>
      </c>
      <c r="D2802" s="1">
        <v>59.0</v>
      </c>
      <c r="F2802" s="1" t="str">
        <f>LOOKUP(A2802, NPCs!A:A, NPCs!C:C)</f>
        <v>Flapjack</v>
      </c>
      <c r="G2802" s="1" t="str">
        <f>LOOKUP(B2802, Maps!A:A, Maps!B:B)</f>
        <v>Sorrows Grove</v>
      </c>
    </row>
    <row r="2803" ht="15.75" customHeight="1">
      <c r="A2803" s="1">
        <v>134.0</v>
      </c>
      <c r="B2803" s="1">
        <v>32.0</v>
      </c>
      <c r="C2803" s="1">
        <v>65.0</v>
      </c>
      <c r="D2803" s="1">
        <v>59.0</v>
      </c>
      <c r="F2803" s="1" t="str">
        <f>LOOKUP(A2803, NPCs!A:A, NPCs!C:C)</f>
        <v>Flapjack</v>
      </c>
      <c r="G2803" s="1" t="str">
        <f>LOOKUP(B2803, Maps!A:A, Maps!B:B)</f>
        <v>Sorrows Grove</v>
      </c>
    </row>
    <row r="2804" ht="15.75" customHeight="1">
      <c r="A2804" s="1">
        <v>134.0</v>
      </c>
      <c r="B2804" s="1">
        <v>32.0</v>
      </c>
      <c r="C2804" s="1">
        <v>63.0</v>
      </c>
      <c r="D2804" s="1">
        <v>54.0</v>
      </c>
      <c r="F2804" s="1" t="str">
        <f>LOOKUP(A2804, NPCs!A:A, NPCs!C:C)</f>
        <v>Flapjack</v>
      </c>
      <c r="G2804" s="1" t="str">
        <f>LOOKUP(B2804, Maps!A:A, Maps!B:B)</f>
        <v>Sorrows Grove</v>
      </c>
    </row>
    <row r="2805" ht="15.75" customHeight="1">
      <c r="A2805" s="1">
        <v>134.0</v>
      </c>
      <c r="B2805" s="1">
        <v>32.0</v>
      </c>
      <c r="C2805" s="1">
        <v>53.0</v>
      </c>
      <c r="D2805" s="1">
        <v>58.0</v>
      </c>
      <c r="F2805" s="1" t="str">
        <f>LOOKUP(A2805, NPCs!A:A, NPCs!C:C)</f>
        <v>Flapjack</v>
      </c>
      <c r="G2805" s="1" t="str">
        <f>LOOKUP(B2805, Maps!A:A, Maps!B:B)</f>
        <v>Sorrows Grove</v>
      </c>
    </row>
    <row r="2806" ht="15.75" customHeight="1">
      <c r="A2806" s="1">
        <v>134.0</v>
      </c>
      <c r="B2806" s="1">
        <v>32.0</v>
      </c>
      <c r="C2806" s="1">
        <v>52.0</v>
      </c>
      <c r="D2806" s="1">
        <v>53.0</v>
      </c>
      <c r="F2806" s="1" t="str">
        <f>LOOKUP(A2806, NPCs!A:A, NPCs!C:C)</f>
        <v>Flapjack</v>
      </c>
      <c r="G2806" s="1" t="str">
        <f>LOOKUP(B2806, Maps!A:A, Maps!B:B)</f>
        <v>Sorrows Grove</v>
      </c>
    </row>
    <row r="2807" ht="15.75" customHeight="1">
      <c r="A2807" s="1">
        <v>134.0</v>
      </c>
      <c r="B2807" s="1">
        <v>32.0</v>
      </c>
      <c r="C2807" s="1">
        <v>52.0</v>
      </c>
      <c r="D2807" s="1">
        <v>45.0</v>
      </c>
      <c r="F2807" s="1" t="str">
        <f>LOOKUP(A2807, NPCs!A:A, NPCs!C:C)</f>
        <v>Flapjack</v>
      </c>
      <c r="G2807" s="1" t="str">
        <f>LOOKUP(B2807, Maps!A:A, Maps!B:B)</f>
        <v>Sorrows Grove</v>
      </c>
    </row>
    <row r="2808" ht="15.75" customHeight="1">
      <c r="A2808" s="1">
        <v>134.0</v>
      </c>
      <c r="B2808" s="1">
        <v>32.0</v>
      </c>
      <c r="C2808" s="1">
        <v>60.0</v>
      </c>
      <c r="D2808" s="1">
        <v>47.0</v>
      </c>
      <c r="F2808" s="1" t="str">
        <f>LOOKUP(A2808, NPCs!A:A, NPCs!C:C)</f>
        <v>Flapjack</v>
      </c>
      <c r="G2808" s="1" t="str">
        <f>LOOKUP(B2808, Maps!A:A, Maps!B:B)</f>
        <v>Sorrows Grove</v>
      </c>
    </row>
    <row r="2809" ht="15.75" customHeight="1">
      <c r="A2809" s="1">
        <v>134.0</v>
      </c>
      <c r="B2809" s="1">
        <v>32.0</v>
      </c>
      <c r="C2809" s="1">
        <v>62.0</v>
      </c>
      <c r="D2809" s="1">
        <v>47.0</v>
      </c>
      <c r="F2809" s="1" t="str">
        <f>LOOKUP(A2809, NPCs!A:A, NPCs!C:C)</f>
        <v>Flapjack</v>
      </c>
      <c r="G2809" s="1" t="str">
        <f>LOOKUP(B2809, Maps!A:A, Maps!B:B)</f>
        <v>Sorrows Grove</v>
      </c>
    </row>
    <row r="2810" ht="15.75" customHeight="1">
      <c r="A2810" s="1">
        <v>134.0</v>
      </c>
      <c r="B2810" s="1">
        <v>32.0</v>
      </c>
      <c r="C2810" s="1">
        <v>74.0</v>
      </c>
      <c r="D2810" s="1">
        <v>52.0</v>
      </c>
      <c r="F2810" s="1" t="str">
        <f>LOOKUP(A2810, NPCs!A:A, NPCs!C:C)</f>
        <v>Flapjack</v>
      </c>
      <c r="G2810" s="1" t="str">
        <f>LOOKUP(B2810, Maps!A:A, Maps!B:B)</f>
        <v>Sorrows Grove</v>
      </c>
    </row>
    <row r="2811" ht="15.75" customHeight="1">
      <c r="A2811" s="1">
        <v>134.0</v>
      </c>
      <c r="B2811" s="1">
        <v>32.0</v>
      </c>
      <c r="C2811" s="1">
        <v>76.0</v>
      </c>
      <c r="D2811" s="1">
        <v>46.0</v>
      </c>
      <c r="F2811" s="1" t="str">
        <f>LOOKUP(A2811, NPCs!A:A, NPCs!C:C)</f>
        <v>Flapjack</v>
      </c>
      <c r="G2811" s="1" t="str">
        <f>LOOKUP(B2811, Maps!A:A, Maps!B:B)</f>
        <v>Sorrows Grove</v>
      </c>
    </row>
    <row r="2812" ht="15.75" customHeight="1">
      <c r="A2812" s="1">
        <v>134.0</v>
      </c>
      <c r="B2812" s="1">
        <v>32.0</v>
      </c>
      <c r="C2812" s="1">
        <v>77.0</v>
      </c>
      <c r="D2812" s="1">
        <v>46.0</v>
      </c>
      <c r="F2812" s="1" t="str">
        <f>LOOKUP(A2812, NPCs!A:A, NPCs!C:C)</f>
        <v>Flapjack</v>
      </c>
      <c r="G2812" s="1" t="str">
        <f>LOOKUP(B2812, Maps!A:A, Maps!B:B)</f>
        <v>Sorrows Grove</v>
      </c>
    </row>
    <row r="2813" ht="15.75" customHeight="1">
      <c r="A2813" s="1">
        <v>134.0</v>
      </c>
      <c r="B2813" s="1">
        <v>32.0</v>
      </c>
      <c r="C2813" s="1">
        <v>77.0</v>
      </c>
      <c r="D2813" s="1">
        <v>24.0</v>
      </c>
      <c r="F2813" s="1" t="str">
        <f>LOOKUP(A2813, NPCs!A:A, NPCs!C:C)</f>
        <v>Flapjack</v>
      </c>
      <c r="G2813" s="1" t="str">
        <f>LOOKUP(B2813, Maps!A:A, Maps!B:B)</f>
        <v>Sorrows Grove</v>
      </c>
    </row>
    <row r="2814" ht="15.75" customHeight="1">
      <c r="A2814" s="1">
        <v>134.0</v>
      </c>
      <c r="B2814" s="1">
        <v>32.0</v>
      </c>
      <c r="C2814" s="1">
        <v>68.0</v>
      </c>
      <c r="D2814" s="1">
        <v>25.0</v>
      </c>
      <c r="F2814" s="1" t="str">
        <f>LOOKUP(A2814, NPCs!A:A, NPCs!C:C)</f>
        <v>Flapjack</v>
      </c>
      <c r="G2814" s="1" t="str">
        <f>LOOKUP(B2814, Maps!A:A, Maps!B:B)</f>
        <v>Sorrows Grove</v>
      </c>
    </row>
    <row r="2815" ht="15.75" customHeight="1">
      <c r="A2815" s="1">
        <v>134.0</v>
      </c>
      <c r="B2815" s="1">
        <v>32.0</v>
      </c>
      <c r="C2815" s="1">
        <v>67.0</v>
      </c>
      <c r="D2815" s="1">
        <v>25.0</v>
      </c>
      <c r="F2815" s="1" t="str">
        <f>LOOKUP(A2815, NPCs!A:A, NPCs!C:C)</f>
        <v>Flapjack</v>
      </c>
      <c r="G2815" s="1" t="str">
        <f>LOOKUP(B2815, Maps!A:A, Maps!B:B)</f>
        <v>Sorrows Grove</v>
      </c>
    </row>
    <row r="2816" ht="15.75" customHeight="1">
      <c r="A2816" s="1">
        <v>134.0</v>
      </c>
      <c r="B2816" s="1">
        <v>32.0</v>
      </c>
      <c r="C2816" s="1">
        <v>66.0</v>
      </c>
      <c r="D2816" s="1">
        <v>25.0</v>
      </c>
      <c r="F2816" s="1" t="str">
        <f>LOOKUP(A2816, NPCs!A:A, NPCs!C:C)</f>
        <v>Flapjack</v>
      </c>
      <c r="G2816" s="1" t="str">
        <f>LOOKUP(B2816, Maps!A:A, Maps!B:B)</f>
        <v>Sorrows Grove</v>
      </c>
    </row>
    <row r="2817" ht="15.75" customHeight="1">
      <c r="A2817" s="1">
        <v>134.0</v>
      </c>
      <c r="B2817" s="1">
        <v>32.0</v>
      </c>
      <c r="C2817" s="1">
        <v>65.0</v>
      </c>
      <c r="D2817" s="1">
        <v>35.0</v>
      </c>
      <c r="F2817" s="1" t="str">
        <f>LOOKUP(A2817, NPCs!A:A, NPCs!C:C)</f>
        <v>Flapjack</v>
      </c>
      <c r="G2817" s="1" t="str">
        <f>LOOKUP(B2817, Maps!A:A, Maps!B:B)</f>
        <v>Sorrows Grove</v>
      </c>
    </row>
    <row r="2818" ht="15.75" customHeight="1">
      <c r="A2818" s="1">
        <v>134.0</v>
      </c>
      <c r="B2818" s="1">
        <v>32.0</v>
      </c>
      <c r="C2818" s="1">
        <v>65.0</v>
      </c>
      <c r="D2818" s="1">
        <v>39.0</v>
      </c>
      <c r="F2818" s="1" t="str">
        <f>LOOKUP(A2818, NPCs!A:A, NPCs!C:C)</f>
        <v>Flapjack</v>
      </c>
      <c r="G2818" s="1" t="str">
        <f>LOOKUP(B2818, Maps!A:A, Maps!B:B)</f>
        <v>Sorrows Grove</v>
      </c>
    </row>
    <row r="2819" ht="15.75" customHeight="1">
      <c r="A2819" s="1">
        <v>134.0</v>
      </c>
      <c r="B2819" s="1">
        <v>32.0</v>
      </c>
      <c r="C2819" s="1">
        <v>66.0</v>
      </c>
      <c r="D2819" s="1">
        <v>42.0</v>
      </c>
      <c r="F2819" s="1" t="str">
        <f>LOOKUP(A2819, NPCs!A:A, NPCs!C:C)</f>
        <v>Flapjack</v>
      </c>
      <c r="G2819" s="1" t="str">
        <f>LOOKUP(B2819, Maps!A:A, Maps!B:B)</f>
        <v>Sorrows Grove</v>
      </c>
    </row>
    <row r="2820" ht="15.75" customHeight="1">
      <c r="A2820" s="1">
        <v>134.0</v>
      </c>
      <c r="B2820" s="1">
        <v>32.0</v>
      </c>
      <c r="C2820" s="1">
        <v>55.0</v>
      </c>
      <c r="D2820" s="1">
        <v>37.0</v>
      </c>
      <c r="F2820" s="1" t="str">
        <f>LOOKUP(A2820, NPCs!A:A, NPCs!C:C)</f>
        <v>Flapjack</v>
      </c>
      <c r="G2820" s="1" t="str">
        <f>LOOKUP(B2820, Maps!A:A, Maps!B:B)</f>
        <v>Sorrows Grove</v>
      </c>
    </row>
    <row r="2821" ht="15.75" customHeight="1">
      <c r="A2821" s="1">
        <v>134.0</v>
      </c>
      <c r="B2821" s="1">
        <v>32.0</v>
      </c>
      <c r="C2821" s="1">
        <v>58.0</v>
      </c>
      <c r="D2821" s="1">
        <v>37.0</v>
      </c>
      <c r="F2821" s="1" t="str">
        <f>LOOKUP(A2821, NPCs!A:A, NPCs!C:C)</f>
        <v>Flapjack</v>
      </c>
      <c r="G2821" s="1" t="str">
        <f>LOOKUP(B2821, Maps!A:A, Maps!B:B)</f>
        <v>Sorrows Grove</v>
      </c>
    </row>
    <row r="2822" ht="15.75" customHeight="1">
      <c r="A2822" s="1">
        <v>134.0</v>
      </c>
      <c r="B2822" s="1">
        <v>32.0</v>
      </c>
      <c r="C2822" s="1">
        <v>65.0</v>
      </c>
      <c r="D2822" s="1">
        <v>35.0</v>
      </c>
      <c r="F2822" s="1" t="str">
        <f>LOOKUP(A2822, NPCs!A:A, NPCs!C:C)</f>
        <v>Flapjack</v>
      </c>
      <c r="G2822" s="1" t="str">
        <f>LOOKUP(B2822, Maps!A:A, Maps!B:B)</f>
        <v>Sorrows Grove</v>
      </c>
    </row>
    <row r="2823" ht="15.75" customHeight="1">
      <c r="A2823" s="1">
        <v>134.0</v>
      </c>
      <c r="B2823" s="1">
        <v>32.0</v>
      </c>
      <c r="C2823" s="1">
        <v>70.0</v>
      </c>
      <c r="D2823" s="1">
        <v>29.0</v>
      </c>
      <c r="F2823" s="1" t="str">
        <f>LOOKUP(A2823, NPCs!A:A, NPCs!C:C)</f>
        <v>Flapjack</v>
      </c>
      <c r="G2823" s="1" t="str">
        <f>LOOKUP(B2823, Maps!A:A, Maps!B:B)</f>
        <v>Sorrows Grove</v>
      </c>
    </row>
    <row r="2824" ht="15.75" customHeight="1">
      <c r="A2824" s="1">
        <v>134.0</v>
      </c>
      <c r="B2824" s="1">
        <v>32.0</v>
      </c>
      <c r="C2824" s="1">
        <v>68.0</v>
      </c>
      <c r="D2824" s="1">
        <v>29.0</v>
      </c>
      <c r="F2824" s="1" t="str">
        <f>LOOKUP(A2824, NPCs!A:A, NPCs!C:C)</f>
        <v>Flapjack</v>
      </c>
      <c r="G2824" s="1" t="str">
        <f>LOOKUP(B2824, Maps!A:A, Maps!B:B)</f>
        <v>Sorrows Grove</v>
      </c>
    </row>
    <row r="2825" ht="15.75" customHeight="1">
      <c r="A2825" s="1">
        <v>134.0</v>
      </c>
      <c r="B2825" s="1">
        <v>32.0</v>
      </c>
      <c r="C2825" s="1">
        <v>58.0</v>
      </c>
      <c r="D2825" s="1">
        <v>30.0</v>
      </c>
      <c r="F2825" s="1" t="str">
        <f>LOOKUP(A2825, NPCs!A:A, NPCs!C:C)</f>
        <v>Flapjack</v>
      </c>
      <c r="G2825" s="1" t="str">
        <f>LOOKUP(B2825, Maps!A:A, Maps!B:B)</f>
        <v>Sorrows Grove</v>
      </c>
    </row>
    <row r="2826" ht="15.75" customHeight="1">
      <c r="A2826" s="1">
        <v>134.0</v>
      </c>
      <c r="B2826" s="1">
        <v>32.0</v>
      </c>
      <c r="C2826" s="1">
        <v>53.0</v>
      </c>
      <c r="D2826" s="1">
        <v>30.0</v>
      </c>
      <c r="F2826" s="1" t="str">
        <f>LOOKUP(A2826, NPCs!A:A, NPCs!C:C)</f>
        <v>Flapjack</v>
      </c>
      <c r="G2826" s="1" t="str">
        <f>LOOKUP(B2826, Maps!A:A, Maps!B:B)</f>
        <v>Sorrows Grove</v>
      </c>
    </row>
    <row r="2827" ht="15.75" customHeight="1">
      <c r="A2827" s="1">
        <v>134.0</v>
      </c>
      <c r="B2827" s="1">
        <v>32.0</v>
      </c>
      <c r="C2827" s="1">
        <v>49.0</v>
      </c>
      <c r="D2827" s="1">
        <v>23.0</v>
      </c>
      <c r="F2827" s="1" t="str">
        <f>LOOKUP(A2827, NPCs!A:A, NPCs!C:C)</f>
        <v>Flapjack</v>
      </c>
      <c r="G2827" s="1" t="str">
        <f>LOOKUP(B2827, Maps!A:A, Maps!B:B)</f>
        <v>Sorrows Grove</v>
      </c>
    </row>
    <row r="2828" ht="15.75" customHeight="1">
      <c r="A2828" s="1">
        <v>134.0</v>
      </c>
      <c r="B2828" s="1">
        <v>32.0</v>
      </c>
      <c r="C2828" s="1">
        <v>57.0</v>
      </c>
      <c r="D2828" s="1">
        <v>23.0</v>
      </c>
      <c r="F2828" s="1" t="str">
        <f>LOOKUP(A2828, NPCs!A:A, NPCs!C:C)</f>
        <v>Flapjack</v>
      </c>
      <c r="G2828" s="1" t="str">
        <f>LOOKUP(B2828, Maps!A:A, Maps!B:B)</f>
        <v>Sorrows Grove</v>
      </c>
    </row>
    <row r="2829" ht="15.75" customHeight="1">
      <c r="A2829" s="1">
        <v>134.0</v>
      </c>
      <c r="B2829" s="1">
        <v>32.0</v>
      </c>
      <c r="C2829" s="1">
        <v>57.0</v>
      </c>
      <c r="D2829" s="1">
        <v>16.0</v>
      </c>
      <c r="F2829" s="1" t="str">
        <f>LOOKUP(A2829, NPCs!A:A, NPCs!C:C)</f>
        <v>Flapjack</v>
      </c>
      <c r="G2829" s="1" t="str">
        <f>LOOKUP(B2829, Maps!A:A, Maps!B:B)</f>
        <v>Sorrows Grove</v>
      </c>
    </row>
    <row r="2830" ht="15.75" customHeight="1">
      <c r="A2830" s="1">
        <v>134.0</v>
      </c>
      <c r="B2830" s="1">
        <v>32.0</v>
      </c>
      <c r="C2830" s="1">
        <v>57.0</v>
      </c>
      <c r="D2830" s="1">
        <v>14.0</v>
      </c>
      <c r="F2830" s="1" t="str">
        <f>LOOKUP(A2830, NPCs!A:A, NPCs!C:C)</f>
        <v>Flapjack</v>
      </c>
      <c r="G2830" s="1" t="str">
        <f>LOOKUP(B2830, Maps!A:A, Maps!B:B)</f>
        <v>Sorrows Grove</v>
      </c>
    </row>
    <row r="2831" ht="15.75" customHeight="1">
      <c r="A2831" s="1">
        <v>134.0</v>
      </c>
      <c r="B2831" s="1">
        <v>32.0</v>
      </c>
      <c r="C2831" s="1">
        <v>57.0</v>
      </c>
      <c r="D2831" s="1">
        <v>12.0</v>
      </c>
      <c r="F2831" s="1" t="str">
        <f>LOOKUP(A2831, NPCs!A:A, NPCs!C:C)</f>
        <v>Flapjack</v>
      </c>
      <c r="G2831" s="1" t="str">
        <f>LOOKUP(B2831, Maps!A:A, Maps!B:B)</f>
        <v>Sorrows Grove</v>
      </c>
    </row>
    <row r="2832" ht="15.75" customHeight="1">
      <c r="A2832" s="1">
        <v>134.0</v>
      </c>
      <c r="B2832" s="1">
        <v>32.0</v>
      </c>
      <c r="C2832" s="1">
        <v>49.0</v>
      </c>
      <c r="D2832" s="1">
        <v>14.0</v>
      </c>
      <c r="F2832" s="1" t="str">
        <f>LOOKUP(A2832, NPCs!A:A, NPCs!C:C)</f>
        <v>Flapjack</v>
      </c>
      <c r="G2832" s="1" t="str">
        <f>LOOKUP(B2832, Maps!A:A, Maps!B:B)</f>
        <v>Sorrows Grove</v>
      </c>
    </row>
    <row r="2833" ht="15.75" customHeight="1">
      <c r="A2833" s="1">
        <v>134.0</v>
      </c>
      <c r="B2833" s="1">
        <v>32.0</v>
      </c>
      <c r="C2833" s="1">
        <v>45.0</v>
      </c>
      <c r="D2833" s="1">
        <v>18.0</v>
      </c>
      <c r="F2833" s="1" t="str">
        <f>LOOKUP(A2833, NPCs!A:A, NPCs!C:C)</f>
        <v>Flapjack</v>
      </c>
      <c r="G2833" s="1" t="str">
        <f>LOOKUP(B2833, Maps!A:A, Maps!B:B)</f>
        <v>Sorrows Grove</v>
      </c>
    </row>
    <row r="2834" ht="15.75" customHeight="1">
      <c r="A2834" s="1">
        <v>132.0</v>
      </c>
      <c r="B2834" s="1">
        <v>32.0</v>
      </c>
      <c r="C2834" s="1">
        <v>17.0</v>
      </c>
      <c r="D2834" s="1">
        <v>14.0</v>
      </c>
      <c r="F2834" s="1" t="str">
        <f>LOOKUP(A2834, NPCs!A:A, NPCs!C:C)</f>
        <v>Sorrows Hero</v>
      </c>
      <c r="G2834" s="1" t="str">
        <f>LOOKUP(B2834, Maps!A:A, Maps!B:B)</f>
        <v>Sorrows Grove</v>
      </c>
    </row>
    <row r="2835" ht="15.75" customHeight="1">
      <c r="A2835" s="1">
        <v>135.0</v>
      </c>
      <c r="B2835" s="1">
        <v>14.0</v>
      </c>
      <c r="C2835" s="1">
        <v>76.0</v>
      </c>
      <c r="D2835" s="1">
        <v>60.0</v>
      </c>
      <c r="F2835" s="1" t="str">
        <f>LOOKUP(A2835, NPCs!A:A, NPCs!C:C)</f>
        <v>Cranky Ewe</v>
      </c>
      <c r="G2835" s="1" t="str">
        <f>LOOKUP(B2835, Maps!A:A, Maps!B:B)</f>
        <v>Chiisaiyama</v>
      </c>
    </row>
    <row r="2836" ht="15.75" customHeight="1">
      <c r="A2836" s="1">
        <v>136.0</v>
      </c>
      <c r="B2836" s="1">
        <v>8.0</v>
      </c>
      <c r="C2836" s="1">
        <v>32.0</v>
      </c>
      <c r="D2836" s="1">
        <v>5.0</v>
      </c>
      <c r="F2836" s="1" t="str">
        <f>LOOKUP(A2836, NPCs!A:A, NPCs!C:C)</f>
        <v>Frantic Monkey</v>
      </c>
      <c r="G2836" s="1" t="str">
        <f>LOOKUP(B2836, Maps!A:A, Maps!B:B)</f>
        <v>Roadkill Woods</v>
      </c>
    </row>
    <row r="2837" ht="15.75" customHeight="1">
      <c r="A2837" s="1">
        <v>123.0</v>
      </c>
      <c r="B2837" s="1">
        <v>24.0</v>
      </c>
      <c r="C2837" s="1">
        <v>96.0</v>
      </c>
      <c r="D2837" s="1">
        <v>88.0</v>
      </c>
      <c r="F2837" s="1" t="str">
        <f>LOOKUP(A2837, NPCs!A:A, NPCs!C:C)</f>
        <v>Ancient Defender</v>
      </c>
      <c r="G2837" s="1" t="str">
        <f>LOOKUP(B2837, Maps!A:A, Maps!B:B)</f>
        <v>The Ancients Dungeon</v>
      </c>
    </row>
    <row r="2838" ht="15.75" customHeight="1">
      <c r="A2838" s="1">
        <v>123.0</v>
      </c>
      <c r="B2838" s="1">
        <v>24.0</v>
      </c>
      <c r="C2838" s="1">
        <v>97.0</v>
      </c>
      <c r="D2838" s="1">
        <v>83.0</v>
      </c>
      <c r="F2838" s="1" t="str">
        <f>LOOKUP(A2838, NPCs!A:A, NPCs!C:C)</f>
        <v>Ancient Defender</v>
      </c>
      <c r="G2838" s="1" t="str">
        <f>LOOKUP(B2838, Maps!A:A, Maps!B:B)</f>
        <v>The Ancients Dungeon</v>
      </c>
    </row>
    <row r="2839" ht="15.75" customHeight="1">
      <c r="A2839" s="1">
        <v>123.0</v>
      </c>
      <c r="B2839" s="1">
        <v>24.0</v>
      </c>
      <c r="C2839" s="1">
        <v>82.0</v>
      </c>
      <c r="D2839" s="1">
        <v>81.0</v>
      </c>
      <c r="F2839" s="1" t="str">
        <f>LOOKUP(A2839, NPCs!A:A, NPCs!C:C)</f>
        <v>Ancient Defender</v>
      </c>
      <c r="G2839" s="1" t="str">
        <f>LOOKUP(B2839, Maps!A:A, Maps!B:B)</f>
        <v>The Ancients Dungeon</v>
      </c>
    </row>
    <row r="2840" ht="15.75" customHeight="1">
      <c r="A2840" s="1">
        <v>123.0</v>
      </c>
      <c r="B2840" s="1">
        <v>24.0</v>
      </c>
      <c r="C2840" s="1">
        <v>78.0</v>
      </c>
      <c r="D2840" s="1">
        <v>85.0</v>
      </c>
      <c r="F2840" s="1" t="str">
        <f>LOOKUP(A2840, NPCs!A:A, NPCs!C:C)</f>
        <v>Ancient Defender</v>
      </c>
      <c r="G2840" s="1" t="str">
        <f>LOOKUP(B2840, Maps!A:A, Maps!B:B)</f>
        <v>The Ancients Dungeon</v>
      </c>
    </row>
    <row r="2841" ht="15.75" customHeight="1">
      <c r="A2841" s="1">
        <v>123.0</v>
      </c>
      <c r="B2841" s="1">
        <v>24.0</v>
      </c>
      <c r="C2841" s="1">
        <v>81.0</v>
      </c>
      <c r="D2841" s="1">
        <v>88.0</v>
      </c>
      <c r="F2841" s="1" t="str">
        <f>LOOKUP(A2841, NPCs!A:A, NPCs!C:C)</f>
        <v>Ancient Defender</v>
      </c>
      <c r="G2841" s="1" t="str">
        <f>LOOKUP(B2841, Maps!A:A, Maps!B:B)</f>
        <v>The Ancients Dungeon</v>
      </c>
    </row>
    <row r="2842" ht="15.75" customHeight="1">
      <c r="A2842" s="1">
        <v>123.0</v>
      </c>
      <c r="B2842" s="1">
        <v>24.0</v>
      </c>
      <c r="C2842" s="1">
        <v>78.0</v>
      </c>
      <c r="D2842" s="1">
        <v>90.0</v>
      </c>
      <c r="F2842" s="1" t="str">
        <f>LOOKUP(A2842, NPCs!A:A, NPCs!C:C)</f>
        <v>Ancient Defender</v>
      </c>
      <c r="G2842" s="1" t="str">
        <f>LOOKUP(B2842, Maps!A:A, Maps!B:B)</f>
        <v>The Ancients Dungeon</v>
      </c>
    </row>
    <row r="2843" ht="15.75" customHeight="1">
      <c r="A2843" s="1">
        <v>123.0</v>
      </c>
      <c r="B2843" s="1">
        <v>24.0</v>
      </c>
      <c r="C2843" s="1">
        <v>73.0</v>
      </c>
      <c r="D2843" s="1">
        <v>90.0</v>
      </c>
      <c r="F2843" s="1" t="str">
        <f>LOOKUP(A2843, NPCs!A:A, NPCs!C:C)</f>
        <v>Ancient Defender</v>
      </c>
      <c r="G2843" s="1" t="str">
        <f>LOOKUP(B2843, Maps!A:A, Maps!B:B)</f>
        <v>The Ancients Dungeon</v>
      </c>
    </row>
    <row r="2844" ht="15.75" customHeight="1">
      <c r="A2844" s="1">
        <v>123.0</v>
      </c>
      <c r="B2844" s="1">
        <v>24.0</v>
      </c>
      <c r="C2844" s="1">
        <v>70.0</v>
      </c>
      <c r="D2844" s="1">
        <v>95.0</v>
      </c>
      <c r="F2844" s="1" t="str">
        <f>LOOKUP(A2844, NPCs!A:A, NPCs!C:C)</f>
        <v>Ancient Defender</v>
      </c>
      <c r="G2844" s="1" t="str">
        <f>LOOKUP(B2844, Maps!A:A, Maps!B:B)</f>
        <v>The Ancients Dungeon</v>
      </c>
    </row>
    <row r="2845" ht="15.75" customHeight="1">
      <c r="A2845" s="1">
        <v>123.0</v>
      </c>
      <c r="B2845" s="1">
        <v>24.0</v>
      </c>
      <c r="C2845" s="1">
        <v>68.0</v>
      </c>
      <c r="D2845" s="1">
        <v>86.0</v>
      </c>
      <c r="F2845" s="1" t="str">
        <f>LOOKUP(A2845, NPCs!A:A, NPCs!C:C)</f>
        <v>Ancient Defender</v>
      </c>
      <c r="G2845" s="1" t="str">
        <f>LOOKUP(B2845, Maps!A:A, Maps!B:B)</f>
        <v>The Ancients Dungeon</v>
      </c>
    </row>
    <row r="2846" ht="15.75" customHeight="1">
      <c r="A2846" s="1">
        <v>123.0</v>
      </c>
      <c r="B2846" s="1">
        <v>24.0</v>
      </c>
      <c r="C2846" s="1">
        <v>73.0</v>
      </c>
      <c r="D2846" s="1">
        <v>85.0</v>
      </c>
      <c r="F2846" s="1" t="str">
        <f>LOOKUP(A2846, NPCs!A:A, NPCs!C:C)</f>
        <v>Ancient Defender</v>
      </c>
      <c r="G2846" s="1" t="str">
        <f>LOOKUP(B2846, Maps!A:A, Maps!B:B)</f>
        <v>The Ancients Dungeon</v>
      </c>
    </row>
    <row r="2847" ht="15.75" customHeight="1">
      <c r="A2847" s="1">
        <v>123.0</v>
      </c>
      <c r="B2847" s="1">
        <v>24.0</v>
      </c>
      <c r="C2847" s="1">
        <v>69.0</v>
      </c>
      <c r="D2847" s="1">
        <v>81.0</v>
      </c>
      <c r="F2847" s="1" t="str">
        <f>LOOKUP(A2847, NPCs!A:A, NPCs!C:C)</f>
        <v>Ancient Defender</v>
      </c>
      <c r="G2847" s="1" t="str">
        <f>LOOKUP(B2847, Maps!A:A, Maps!B:B)</f>
        <v>The Ancients Dungeon</v>
      </c>
    </row>
    <row r="2848" ht="15.75" customHeight="1">
      <c r="A2848" s="1">
        <v>123.0</v>
      </c>
      <c r="B2848" s="1">
        <v>24.0</v>
      </c>
      <c r="C2848" s="1">
        <v>35.0</v>
      </c>
      <c r="D2848" s="1">
        <v>80.0</v>
      </c>
      <c r="F2848" s="1" t="str">
        <f>LOOKUP(A2848, NPCs!A:A, NPCs!C:C)</f>
        <v>Ancient Defender</v>
      </c>
      <c r="G2848" s="1" t="str">
        <f>LOOKUP(B2848, Maps!A:A, Maps!B:B)</f>
        <v>The Ancients Dungeon</v>
      </c>
    </row>
    <row r="2849" ht="15.75" customHeight="1">
      <c r="A2849" s="1">
        <v>123.0</v>
      </c>
      <c r="B2849" s="1">
        <v>24.0</v>
      </c>
      <c r="C2849" s="1">
        <v>33.0</v>
      </c>
      <c r="D2849" s="1">
        <v>83.0</v>
      </c>
      <c r="F2849" s="1" t="str">
        <f>LOOKUP(A2849, NPCs!A:A, NPCs!C:C)</f>
        <v>Ancient Defender</v>
      </c>
      <c r="G2849" s="1" t="str">
        <f>LOOKUP(B2849, Maps!A:A, Maps!B:B)</f>
        <v>The Ancients Dungeon</v>
      </c>
    </row>
    <row r="2850" ht="15.75" customHeight="1">
      <c r="A2850" s="1">
        <v>123.0</v>
      </c>
      <c r="B2850" s="1">
        <v>24.0</v>
      </c>
      <c r="C2850" s="1">
        <v>28.0</v>
      </c>
      <c r="D2850" s="1">
        <v>86.0</v>
      </c>
      <c r="F2850" s="1" t="str">
        <f>LOOKUP(A2850, NPCs!A:A, NPCs!C:C)</f>
        <v>Ancient Defender</v>
      </c>
      <c r="G2850" s="1" t="str">
        <f>LOOKUP(B2850, Maps!A:A, Maps!B:B)</f>
        <v>The Ancients Dungeon</v>
      </c>
    </row>
    <row r="2851" ht="15.75" customHeight="1">
      <c r="A2851" s="1">
        <v>123.0</v>
      </c>
      <c r="B2851" s="1">
        <v>24.0</v>
      </c>
      <c r="C2851" s="1">
        <v>28.0</v>
      </c>
      <c r="D2851" s="1">
        <v>92.0</v>
      </c>
      <c r="F2851" s="1" t="str">
        <f>LOOKUP(A2851, NPCs!A:A, NPCs!C:C)</f>
        <v>Ancient Defender</v>
      </c>
      <c r="G2851" s="1" t="str">
        <f>LOOKUP(B2851, Maps!A:A, Maps!B:B)</f>
        <v>The Ancients Dungeon</v>
      </c>
    </row>
    <row r="2852" ht="15.75" customHeight="1">
      <c r="A2852" s="1">
        <v>123.0</v>
      </c>
      <c r="B2852" s="1">
        <v>24.0</v>
      </c>
      <c r="C2852" s="1">
        <v>33.0</v>
      </c>
      <c r="D2852" s="1">
        <v>91.0</v>
      </c>
      <c r="F2852" s="1" t="str">
        <f>LOOKUP(A2852, NPCs!A:A, NPCs!C:C)</f>
        <v>Ancient Defender</v>
      </c>
      <c r="G2852" s="1" t="str">
        <f>LOOKUP(B2852, Maps!A:A, Maps!B:B)</f>
        <v>The Ancients Dungeon</v>
      </c>
    </row>
    <row r="2853" ht="15.75" customHeight="1">
      <c r="A2853" s="1">
        <v>123.0</v>
      </c>
      <c r="B2853" s="1">
        <v>24.0</v>
      </c>
      <c r="C2853" s="1">
        <v>19.0</v>
      </c>
      <c r="D2853" s="1">
        <v>95.0</v>
      </c>
      <c r="F2853" s="1" t="str">
        <f>LOOKUP(A2853, NPCs!A:A, NPCs!C:C)</f>
        <v>Ancient Defender</v>
      </c>
      <c r="G2853" s="1" t="str">
        <f>LOOKUP(B2853, Maps!A:A, Maps!B:B)</f>
        <v>The Ancients Dungeon</v>
      </c>
    </row>
    <row r="2854" ht="15.75" customHeight="1">
      <c r="A2854" s="1">
        <v>123.0</v>
      </c>
      <c r="B2854" s="1">
        <v>24.0</v>
      </c>
      <c r="C2854" s="1">
        <v>23.0</v>
      </c>
      <c r="D2854" s="1">
        <v>92.0</v>
      </c>
      <c r="F2854" s="1" t="str">
        <f>LOOKUP(A2854, NPCs!A:A, NPCs!C:C)</f>
        <v>Ancient Defender</v>
      </c>
      <c r="G2854" s="1" t="str">
        <f>LOOKUP(B2854, Maps!A:A, Maps!B:B)</f>
        <v>The Ancients Dungeon</v>
      </c>
    </row>
    <row r="2855" ht="15.75" customHeight="1">
      <c r="A2855" s="1">
        <v>123.0</v>
      </c>
      <c r="B2855" s="1">
        <v>24.0</v>
      </c>
      <c r="C2855" s="1">
        <v>23.0</v>
      </c>
      <c r="D2855" s="1">
        <v>86.0</v>
      </c>
      <c r="F2855" s="1" t="str">
        <f>LOOKUP(A2855, NPCs!A:A, NPCs!C:C)</f>
        <v>Ancient Defender</v>
      </c>
      <c r="G2855" s="1" t="str">
        <f>LOOKUP(B2855, Maps!A:A, Maps!B:B)</f>
        <v>The Ancients Dungeon</v>
      </c>
    </row>
    <row r="2856" ht="15.75" customHeight="1">
      <c r="A2856" s="1">
        <v>123.0</v>
      </c>
      <c r="B2856" s="1">
        <v>24.0</v>
      </c>
      <c r="C2856" s="1">
        <v>25.0</v>
      </c>
      <c r="D2856" s="1">
        <v>81.0</v>
      </c>
      <c r="F2856" s="1" t="str">
        <f>LOOKUP(A2856, NPCs!A:A, NPCs!C:C)</f>
        <v>Ancient Defender</v>
      </c>
      <c r="G2856" s="1" t="str">
        <f>LOOKUP(B2856, Maps!A:A, Maps!B:B)</f>
        <v>The Ancients Dungeon</v>
      </c>
    </row>
    <row r="2857" ht="15.75" customHeight="1">
      <c r="A2857" s="1">
        <v>123.0</v>
      </c>
      <c r="B2857" s="1">
        <v>24.0</v>
      </c>
      <c r="C2857" s="1">
        <v>19.0</v>
      </c>
      <c r="D2857" s="1">
        <v>81.0</v>
      </c>
      <c r="F2857" s="1" t="str">
        <f>LOOKUP(A2857, NPCs!A:A, NPCs!C:C)</f>
        <v>Ancient Defender</v>
      </c>
      <c r="G2857" s="1" t="str">
        <f>LOOKUP(B2857, Maps!A:A, Maps!B:B)</f>
        <v>The Ancients Dungeon</v>
      </c>
    </row>
    <row r="2858" ht="15.75" customHeight="1">
      <c r="A2858" s="1">
        <v>123.0</v>
      </c>
      <c r="B2858" s="1">
        <v>24.0</v>
      </c>
      <c r="C2858" s="1">
        <v>5.0</v>
      </c>
      <c r="D2858" s="1">
        <v>81.0</v>
      </c>
      <c r="F2858" s="1" t="str">
        <f>LOOKUP(A2858, NPCs!A:A, NPCs!C:C)</f>
        <v>Ancient Defender</v>
      </c>
      <c r="G2858" s="1" t="str">
        <f>LOOKUP(B2858, Maps!A:A, Maps!B:B)</f>
        <v>The Ancients Dungeon</v>
      </c>
    </row>
    <row r="2859" ht="15.75" customHeight="1">
      <c r="A2859" s="1">
        <v>123.0</v>
      </c>
      <c r="B2859" s="1">
        <v>24.0</v>
      </c>
      <c r="C2859" s="1">
        <v>5.0</v>
      </c>
      <c r="D2859" s="1">
        <v>89.0</v>
      </c>
      <c r="F2859" s="1" t="str">
        <f>LOOKUP(A2859, NPCs!A:A, NPCs!C:C)</f>
        <v>Ancient Defender</v>
      </c>
      <c r="G2859" s="1" t="str">
        <f>LOOKUP(B2859, Maps!A:A, Maps!B:B)</f>
        <v>The Ancients Dungeon</v>
      </c>
    </row>
    <row r="2860" ht="15.75" customHeight="1">
      <c r="A2860" s="1">
        <v>123.0</v>
      </c>
      <c r="B2860" s="1">
        <v>24.0</v>
      </c>
      <c r="C2860" s="1">
        <v>52.0</v>
      </c>
      <c r="D2860" s="1">
        <v>75.0</v>
      </c>
      <c r="F2860" s="1" t="str">
        <f>LOOKUP(A2860, NPCs!A:A, NPCs!C:C)</f>
        <v>Ancient Defender</v>
      </c>
      <c r="G2860" s="1" t="str">
        <f>LOOKUP(B2860, Maps!A:A, Maps!B:B)</f>
        <v>The Ancients Dungeon</v>
      </c>
    </row>
    <row r="2861" ht="15.75" customHeight="1">
      <c r="A2861" s="1">
        <v>123.0</v>
      </c>
      <c r="B2861" s="1">
        <v>24.0</v>
      </c>
      <c r="C2861" s="1">
        <v>49.0</v>
      </c>
      <c r="D2861" s="1">
        <v>75.0</v>
      </c>
      <c r="F2861" s="1" t="str">
        <f>LOOKUP(A2861, NPCs!A:A, NPCs!C:C)</f>
        <v>Ancient Defender</v>
      </c>
      <c r="G2861" s="1" t="str">
        <f>LOOKUP(B2861, Maps!A:A, Maps!B:B)</f>
        <v>The Ancients Dungeon</v>
      </c>
    </row>
    <row r="2862" ht="15.75" customHeight="1">
      <c r="A2862" s="1">
        <v>123.0</v>
      </c>
      <c r="B2862" s="1">
        <v>24.0</v>
      </c>
      <c r="C2862" s="1">
        <v>49.0</v>
      </c>
      <c r="D2862" s="1">
        <v>69.0</v>
      </c>
      <c r="F2862" s="1" t="str">
        <f>LOOKUP(A2862, NPCs!A:A, NPCs!C:C)</f>
        <v>Ancient Defender</v>
      </c>
      <c r="G2862" s="1" t="str">
        <f>LOOKUP(B2862, Maps!A:A, Maps!B:B)</f>
        <v>The Ancients Dungeon</v>
      </c>
    </row>
    <row r="2863" ht="15.75" customHeight="1">
      <c r="A2863" s="1">
        <v>123.0</v>
      </c>
      <c r="B2863" s="1">
        <v>24.0</v>
      </c>
      <c r="C2863" s="1">
        <v>52.0</v>
      </c>
      <c r="D2863" s="1">
        <v>69.0</v>
      </c>
      <c r="F2863" s="1" t="str">
        <f>LOOKUP(A2863, NPCs!A:A, NPCs!C:C)</f>
        <v>Ancient Defender</v>
      </c>
      <c r="G2863" s="1" t="str">
        <f>LOOKUP(B2863, Maps!A:A, Maps!B:B)</f>
        <v>The Ancients Dungeon</v>
      </c>
    </row>
    <row r="2864" ht="15.75" customHeight="1">
      <c r="A2864" s="1">
        <v>123.0</v>
      </c>
      <c r="B2864" s="1">
        <v>24.0</v>
      </c>
      <c r="C2864" s="1">
        <v>56.0</v>
      </c>
      <c r="D2864" s="1">
        <v>66.0</v>
      </c>
      <c r="F2864" s="1" t="str">
        <f>LOOKUP(A2864, NPCs!A:A, NPCs!C:C)</f>
        <v>Ancient Defender</v>
      </c>
      <c r="G2864" s="1" t="str">
        <f>LOOKUP(B2864, Maps!A:A, Maps!B:B)</f>
        <v>The Ancients Dungeon</v>
      </c>
    </row>
    <row r="2865" ht="15.75" customHeight="1">
      <c r="A2865" s="1">
        <v>123.0</v>
      </c>
      <c r="B2865" s="1">
        <v>24.0</v>
      </c>
      <c r="C2865" s="1">
        <v>54.0</v>
      </c>
      <c r="D2865" s="1">
        <v>65.0</v>
      </c>
      <c r="F2865" s="1" t="str">
        <f>LOOKUP(A2865, NPCs!A:A, NPCs!C:C)</f>
        <v>Ancient Defender</v>
      </c>
      <c r="G2865" s="1" t="str">
        <f>LOOKUP(B2865, Maps!A:A, Maps!B:B)</f>
        <v>The Ancients Dungeon</v>
      </c>
    </row>
    <row r="2866" ht="15.75" customHeight="1">
      <c r="A2866" s="1">
        <v>123.0</v>
      </c>
      <c r="B2866" s="1">
        <v>24.0</v>
      </c>
      <c r="C2866" s="1">
        <v>55.0</v>
      </c>
      <c r="D2866" s="1">
        <v>63.0</v>
      </c>
      <c r="F2866" s="1" t="str">
        <f>LOOKUP(A2866, NPCs!A:A, NPCs!C:C)</f>
        <v>Ancient Defender</v>
      </c>
      <c r="G2866" s="1" t="str">
        <f>LOOKUP(B2866, Maps!A:A, Maps!B:B)</f>
        <v>The Ancients Dungeon</v>
      </c>
    </row>
    <row r="2867" ht="15.75" customHeight="1">
      <c r="A2867" s="1">
        <v>123.0</v>
      </c>
      <c r="B2867" s="1">
        <v>24.0</v>
      </c>
      <c r="C2867" s="1">
        <v>51.0</v>
      </c>
      <c r="D2867" s="1">
        <v>65.0</v>
      </c>
      <c r="F2867" s="1" t="str">
        <f>LOOKUP(A2867, NPCs!A:A, NPCs!C:C)</f>
        <v>Ancient Defender</v>
      </c>
      <c r="G2867" s="1" t="str">
        <f>LOOKUP(B2867, Maps!A:A, Maps!B:B)</f>
        <v>The Ancients Dungeon</v>
      </c>
    </row>
    <row r="2868" ht="15.75" customHeight="1">
      <c r="A2868" s="1">
        <v>123.0</v>
      </c>
      <c r="B2868" s="1">
        <v>24.0</v>
      </c>
      <c r="C2868" s="1">
        <v>50.0</v>
      </c>
      <c r="D2868" s="1">
        <v>66.0</v>
      </c>
      <c r="F2868" s="1" t="str">
        <f>LOOKUP(A2868, NPCs!A:A, NPCs!C:C)</f>
        <v>Ancient Defender</v>
      </c>
      <c r="G2868" s="1" t="str">
        <f>LOOKUP(B2868, Maps!A:A, Maps!B:B)</f>
        <v>The Ancients Dungeon</v>
      </c>
    </row>
    <row r="2869" ht="15.75" customHeight="1">
      <c r="A2869" s="1">
        <v>123.0</v>
      </c>
      <c r="B2869" s="1">
        <v>24.0</v>
      </c>
      <c r="C2869" s="1">
        <v>47.0</v>
      </c>
      <c r="D2869" s="1">
        <v>66.0</v>
      </c>
      <c r="F2869" s="1" t="str">
        <f>LOOKUP(A2869, NPCs!A:A, NPCs!C:C)</f>
        <v>Ancient Defender</v>
      </c>
      <c r="G2869" s="1" t="str">
        <f>LOOKUP(B2869, Maps!A:A, Maps!B:B)</f>
        <v>The Ancients Dungeon</v>
      </c>
    </row>
    <row r="2870" ht="15.75" customHeight="1">
      <c r="A2870" s="1">
        <v>123.0</v>
      </c>
      <c r="B2870" s="1">
        <v>24.0</v>
      </c>
      <c r="C2870" s="1">
        <v>44.0</v>
      </c>
      <c r="D2870" s="1">
        <v>66.0</v>
      </c>
      <c r="F2870" s="1" t="str">
        <f>LOOKUP(A2870, NPCs!A:A, NPCs!C:C)</f>
        <v>Ancient Defender</v>
      </c>
      <c r="G2870" s="1" t="str">
        <f>LOOKUP(B2870, Maps!A:A, Maps!B:B)</f>
        <v>The Ancients Dungeon</v>
      </c>
    </row>
    <row r="2871" ht="15.75" customHeight="1">
      <c r="A2871" s="1">
        <v>123.0</v>
      </c>
      <c r="B2871" s="1">
        <v>24.0</v>
      </c>
      <c r="C2871" s="1">
        <v>45.0</v>
      </c>
      <c r="D2871" s="1">
        <v>64.0</v>
      </c>
      <c r="F2871" s="1" t="str">
        <f>LOOKUP(A2871, NPCs!A:A, NPCs!C:C)</f>
        <v>Ancient Defender</v>
      </c>
      <c r="G2871" s="1" t="str">
        <f>LOOKUP(B2871, Maps!A:A, Maps!B:B)</f>
        <v>The Ancients Dungeon</v>
      </c>
    </row>
    <row r="2872" ht="15.75" customHeight="1">
      <c r="A2872" s="1">
        <v>123.0</v>
      </c>
      <c r="B2872" s="1">
        <v>24.0</v>
      </c>
      <c r="C2872" s="1">
        <v>49.0</v>
      </c>
      <c r="D2872" s="1">
        <v>61.0</v>
      </c>
      <c r="F2872" s="1" t="str">
        <f>LOOKUP(A2872, NPCs!A:A, NPCs!C:C)</f>
        <v>Ancient Defender</v>
      </c>
      <c r="G2872" s="1" t="str">
        <f>LOOKUP(B2872, Maps!A:A, Maps!B:B)</f>
        <v>The Ancients Dungeon</v>
      </c>
    </row>
    <row r="2873" ht="15.75" customHeight="1">
      <c r="A2873" s="1">
        <v>123.0</v>
      </c>
      <c r="B2873" s="1">
        <v>24.0</v>
      </c>
      <c r="C2873" s="1">
        <v>52.0</v>
      </c>
      <c r="D2873" s="1">
        <v>61.0</v>
      </c>
      <c r="F2873" s="1" t="str">
        <f>LOOKUP(A2873, NPCs!A:A, NPCs!C:C)</f>
        <v>Ancient Defender</v>
      </c>
      <c r="G2873" s="1" t="str">
        <f>LOOKUP(B2873, Maps!A:A, Maps!B:B)</f>
        <v>The Ancients Dungeon</v>
      </c>
    </row>
    <row r="2874" ht="15.75" customHeight="1">
      <c r="A2874" s="1">
        <v>125.0</v>
      </c>
      <c r="B2874" s="1">
        <v>24.0</v>
      </c>
      <c r="C2874" s="1">
        <v>54.0</v>
      </c>
      <c r="D2874" s="1">
        <v>87.0</v>
      </c>
      <c r="F2874" s="1" t="str">
        <f>LOOKUP(A2874, NPCs!A:A, NPCs!C:C)</f>
        <v>Ancient Safeguard</v>
      </c>
      <c r="G2874" s="1" t="str">
        <f>LOOKUP(B2874, Maps!A:A, Maps!B:B)</f>
        <v>The Ancients Dungeon</v>
      </c>
    </row>
    <row r="2875" ht="15.75" customHeight="1">
      <c r="A2875" s="1">
        <v>125.0</v>
      </c>
      <c r="B2875" s="1">
        <v>24.0</v>
      </c>
      <c r="C2875" s="1">
        <v>54.0</v>
      </c>
      <c r="D2875" s="1">
        <v>84.0</v>
      </c>
      <c r="F2875" s="1" t="str">
        <f>LOOKUP(A2875, NPCs!A:A, NPCs!C:C)</f>
        <v>Ancient Safeguard</v>
      </c>
      <c r="G2875" s="1" t="str">
        <f>LOOKUP(B2875, Maps!A:A, Maps!B:B)</f>
        <v>The Ancients Dungeon</v>
      </c>
    </row>
    <row r="2876" ht="15.75" customHeight="1">
      <c r="A2876" s="1">
        <v>125.0</v>
      </c>
      <c r="B2876" s="1">
        <v>24.0</v>
      </c>
      <c r="C2876" s="1">
        <v>47.0</v>
      </c>
      <c r="D2876" s="1">
        <v>84.0</v>
      </c>
      <c r="F2876" s="1" t="str">
        <f>LOOKUP(A2876, NPCs!A:A, NPCs!C:C)</f>
        <v>Ancient Safeguard</v>
      </c>
      <c r="G2876" s="1" t="str">
        <f>LOOKUP(B2876, Maps!A:A, Maps!B:B)</f>
        <v>The Ancients Dungeon</v>
      </c>
    </row>
    <row r="2877" ht="15.75" customHeight="1">
      <c r="A2877" s="1">
        <v>125.0</v>
      </c>
      <c r="B2877" s="1">
        <v>24.0</v>
      </c>
      <c r="C2877" s="1">
        <v>47.0</v>
      </c>
      <c r="D2877" s="1">
        <v>87.0</v>
      </c>
      <c r="F2877" s="1" t="str">
        <f>LOOKUP(A2877, NPCs!A:A, NPCs!C:C)</f>
        <v>Ancient Safeguard</v>
      </c>
      <c r="G2877" s="1" t="str">
        <f>LOOKUP(B2877, Maps!A:A, Maps!B:B)</f>
        <v>The Ancients Dungeon</v>
      </c>
    </row>
    <row r="2878" ht="15.75" customHeight="1">
      <c r="A2878" s="1">
        <v>140.0</v>
      </c>
      <c r="B2878" s="1">
        <v>24.0</v>
      </c>
      <c r="C2878" s="1">
        <v>51.0</v>
      </c>
      <c r="D2878" s="1">
        <v>55.0</v>
      </c>
      <c r="F2878" s="1" t="str">
        <f>LOOKUP(A2878, NPCs!A:A, NPCs!C:C)</f>
        <v>Doom</v>
      </c>
      <c r="G2878" s="1" t="str">
        <f>LOOKUP(B2878, Maps!A:A, Maps!B:B)</f>
        <v>The Ancients Dungeon</v>
      </c>
    </row>
    <row r="2879" ht="15.75" customHeight="1">
      <c r="A2879" s="1">
        <v>138.0</v>
      </c>
      <c r="B2879" s="1">
        <v>24.0</v>
      </c>
      <c r="C2879" s="1">
        <v>76.0</v>
      </c>
      <c r="D2879" s="1">
        <v>93.0</v>
      </c>
      <c r="F2879" s="1" t="str">
        <f>LOOKUP(A2879, NPCs!A:A, NPCs!C:C)</f>
        <v>Ancient Sentinel</v>
      </c>
      <c r="G2879" s="1" t="str">
        <f>LOOKUP(B2879, Maps!A:A, Maps!B:B)</f>
        <v>The Ancients Dungeon</v>
      </c>
    </row>
    <row r="2880" ht="15.75" customHeight="1">
      <c r="A2880" s="1">
        <v>138.0</v>
      </c>
      <c r="B2880" s="1">
        <v>24.0</v>
      </c>
      <c r="C2880" s="1">
        <v>26.0</v>
      </c>
      <c r="D2880" s="1">
        <v>94.0</v>
      </c>
      <c r="F2880" s="1" t="str">
        <f>LOOKUP(A2880, NPCs!A:A, NPCs!C:C)</f>
        <v>Ancient Sentinel</v>
      </c>
      <c r="G2880" s="1" t="str">
        <f>LOOKUP(B2880, Maps!A:A, Maps!B:B)</f>
        <v>The Ancients Dungeon</v>
      </c>
    </row>
    <row r="2881" ht="15.75" customHeight="1">
      <c r="A2881" s="1">
        <v>124.0</v>
      </c>
      <c r="B2881" s="1">
        <v>24.0</v>
      </c>
      <c r="C2881" s="1">
        <v>4.0</v>
      </c>
      <c r="D2881" s="1">
        <v>50.0</v>
      </c>
      <c r="F2881" s="1" t="str">
        <f>LOOKUP(A2881, NPCs!A:A, NPCs!C:C)</f>
        <v>Ancient Guard</v>
      </c>
      <c r="G2881" s="1" t="str">
        <f>LOOKUP(B2881, Maps!A:A, Maps!B:B)</f>
        <v>The Ancients Dungeon</v>
      </c>
    </row>
    <row r="2882" ht="15.75" customHeight="1">
      <c r="A2882" s="1">
        <v>124.0</v>
      </c>
      <c r="B2882" s="1">
        <v>24.0</v>
      </c>
      <c r="C2882" s="1">
        <v>7.0</v>
      </c>
      <c r="D2882" s="1">
        <v>57.0</v>
      </c>
      <c r="F2882" s="1" t="str">
        <f>LOOKUP(A2882, NPCs!A:A, NPCs!C:C)</f>
        <v>Ancient Guard</v>
      </c>
      <c r="G2882" s="1" t="str">
        <f>LOOKUP(B2882, Maps!A:A, Maps!B:B)</f>
        <v>The Ancients Dungeon</v>
      </c>
    </row>
    <row r="2883" ht="15.75" customHeight="1">
      <c r="A2883" s="1">
        <v>124.0</v>
      </c>
      <c r="B2883" s="1">
        <v>24.0</v>
      </c>
      <c r="C2883" s="1">
        <v>3.0</v>
      </c>
      <c r="D2883" s="1">
        <v>60.0</v>
      </c>
      <c r="F2883" s="1" t="str">
        <f>LOOKUP(A2883, NPCs!A:A, NPCs!C:C)</f>
        <v>Ancient Guard</v>
      </c>
      <c r="G2883" s="1" t="str">
        <f>LOOKUP(B2883, Maps!A:A, Maps!B:B)</f>
        <v>The Ancients Dungeon</v>
      </c>
    </row>
    <row r="2884" ht="15.75" customHeight="1">
      <c r="A2884" s="1">
        <v>124.0</v>
      </c>
      <c r="B2884" s="1">
        <v>24.0</v>
      </c>
      <c r="C2884" s="1">
        <v>5.0</v>
      </c>
      <c r="D2884" s="1">
        <v>65.0</v>
      </c>
      <c r="F2884" s="1" t="str">
        <f>LOOKUP(A2884, NPCs!A:A, NPCs!C:C)</f>
        <v>Ancient Guard</v>
      </c>
      <c r="G2884" s="1" t="str">
        <f>LOOKUP(B2884, Maps!A:A, Maps!B:B)</f>
        <v>The Ancients Dungeon</v>
      </c>
    </row>
    <row r="2885" ht="15.75" customHeight="1">
      <c r="A2885" s="1">
        <v>124.0</v>
      </c>
      <c r="B2885" s="1">
        <v>24.0</v>
      </c>
      <c r="C2885" s="1">
        <v>11.0</v>
      </c>
      <c r="D2885" s="1">
        <v>64.0</v>
      </c>
      <c r="F2885" s="1" t="str">
        <f>LOOKUP(A2885, NPCs!A:A, NPCs!C:C)</f>
        <v>Ancient Guard</v>
      </c>
      <c r="G2885" s="1" t="str">
        <f>LOOKUP(B2885, Maps!A:A, Maps!B:B)</f>
        <v>The Ancients Dungeon</v>
      </c>
    </row>
    <row r="2886" ht="15.75" customHeight="1">
      <c r="A2886" s="1">
        <v>124.0</v>
      </c>
      <c r="B2886" s="1">
        <v>24.0</v>
      </c>
      <c r="C2886" s="1">
        <v>14.0</v>
      </c>
      <c r="D2886" s="1">
        <v>65.0</v>
      </c>
      <c r="F2886" s="1" t="str">
        <f>LOOKUP(A2886, NPCs!A:A, NPCs!C:C)</f>
        <v>Ancient Guard</v>
      </c>
      <c r="G2886" s="1" t="str">
        <f>LOOKUP(B2886, Maps!A:A, Maps!B:B)</f>
        <v>The Ancients Dungeon</v>
      </c>
    </row>
    <row r="2887" ht="15.75" customHeight="1">
      <c r="A2887" s="1">
        <v>124.0</v>
      </c>
      <c r="B2887" s="1">
        <v>24.0</v>
      </c>
      <c r="C2887" s="1">
        <v>21.0</v>
      </c>
      <c r="D2887" s="1">
        <v>67.0</v>
      </c>
      <c r="F2887" s="1" t="str">
        <f>LOOKUP(A2887, NPCs!A:A, NPCs!C:C)</f>
        <v>Ancient Guard</v>
      </c>
      <c r="G2887" s="1" t="str">
        <f>LOOKUP(B2887, Maps!A:A, Maps!B:B)</f>
        <v>The Ancients Dungeon</v>
      </c>
    </row>
    <row r="2888" ht="15.75" customHeight="1">
      <c r="A2888" s="1">
        <v>124.0</v>
      </c>
      <c r="B2888" s="1">
        <v>24.0</v>
      </c>
      <c r="C2888" s="1">
        <v>21.0</v>
      </c>
      <c r="D2888" s="1">
        <v>59.0</v>
      </c>
      <c r="F2888" s="1" t="str">
        <f>LOOKUP(A2888, NPCs!A:A, NPCs!C:C)</f>
        <v>Ancient Guard</v>
      </c>
      <c r="G2888" s="1" t="str">
        <f>LOOKUP(B2888, Maps!A:A, Maps!B:B)</f>
        <v>The Ancients Dungeon</v>
      </c>
    </row>
    <row r="2889" ht="15.75" customHeight="1">
      <c r="A2889" s="1">
        <v>124.0</v>
      </c>
      <c r="B2889" s="1">
        <v>24.0</v>
      </c>
      <c r="C2889" s="1">
        <v>14.0</v>
      </c>
      <c r="D2889" s="1">
        <v>58.0</v>
      </c>
      <c r="F2889" s="1" t="str">
        <f>LOOKUP(A2889, NPCs!A:A, NPCs!C:C)</f>
        <v>Ancient Guard</v>
      </c>
      <c r="G2889" s="1" t="str">
        <f>LOOKUP(B2889, Maps!A:A, Maps!B:B)</f>
        <v>The Ancients Dungeon</v>
      </c>
    </row>
    <row r="2890" ht="15.75" customHeight="1">
      <c r="A2890" s="1">
        <v>124.0</v>
      </c>
      <c r="B2890" s="1">
        <v>24.0</v>
      </c>
      <c r="C2890" s="1">
        <v>12.0</v>
      </c>
      <c r="D2890" s="1">
        <v>53.0</v>
      </c>
      <c r="F2890" s="1" t="str">
        <f>LOOKUP(A2890, NPCs!A:A, NPCs!C:C)</f>
        <v>Ancient Guard</v>
      </c>
      <c r="G2890" s="1" t="str">
        <f>LOOKUP(B2890, Maps!A:A, Maps!B:B)</f>
        <v>The Ancients Dungeon</v>
      </c>
    </row>
    <row r="2891" ht="15.75" customHeight="1">
      <c r="A2891" s="1">
        <v>124.0</v>
      </c>
      <c r="B2891" s="1">
        <v>24.0</v>
      </c>
      <c r="C2891" s="1">
        <v>20.0</v>
      </c>
      <c r="D2891" s="1">
        <v>53.0</v>
      </c>
      <c r="F2891" s="1" t="str">
        <f>LOOKUP(A2891, NPCs!A:A, NPCs!C:C)</f>
        <v>Ancient Guard</v>
      </c>
      <c r="G2891" s="1" t="str">
        <f>LOOKUP(B2891, Maps!A:A, Maps!B:B)</f>
        <v>The Ancients Dungeon</v>
      </c>
    </row>
    <row r="2892" ht="15.75" customHeight="1">
      <c r="A2892" s="1">
        <v>124.0</v>
      </c>
      <c r="B2892" s="1">
        <v>24.0</v>
      </c>
      <c r="C2892" s="1">
        <v>13.0</v>
      </c>
      <c r="D2892" s="1">
        <v>48.0</v>
      </c>
      <c r="F2892" s="1" t="str">
        <f>LOOKUP(A2892, NPCs!A:A, NPCs!C:C)</f>
        <v>Ancient Guard</v>
      </c>
      <c r="G2892" s="1" t="str">
        <f>LOOKUP(B2892, Maps!A:A, Maps!B:B)</f>
        <v>The Ancients Dungeon</v>
      </c>
    </row>
    <row r="2893" ht="15.75" customHeight="1">
      <c r="A2893" s="1">
        <v>124.0</v>
      </c>
      <c r="B2893" s="1">
        <v>24.0</v>
      </c>
      <c r="C2893" s="1">
        <v>13.0</v>
      </c>
      <c r="D2893" s="1">
        <v>43.0</v>
      </c>
      <c r="F2893" s="1" t="str">
        <f>LOOKUP(A2893, NPCs!A:A, NPCs!C:C)</f>
        <v>Ancient Guard</v>
      </c>
      <c r="G2893" s="1" t="str">
        <f>LOOKUP(B2893, Maps!A:A, Maps!B:B)</f>
        <v>The Ancients Dungeon</v>
      </c>
    </row>
    <row r="2894" ht="15.75" customHeight="1">
      <c r="A2894" s="1">
        <v>124.0</v>
      </c>
      <c r="B2894" s="1">
        <v>24.0</v>
      </c>
      <c r="C2894" s="1">
        <v>20.0</v>
      </c>
      <c r="D2894" s="1">
        <v>42.0</v>
      </c>
      <c r="F2894" s="1" t="str">
        <f>LOOKUP(A2894, NPCs!A:A, NPCs!C:C)</f>
        <v>Ancient Guard</v>
      </c>
      <c r="G2894" s="1" t="str">
        <f>LOOKUP(B2894, Maps!A:A, Maps!B:B)</f>
        <v>The Ancients Dungeon</v>
      </c>
    </row>
    <row r="2895" ht="15.75" customHeight="1">
      <c r="A2895" s="1">
        <v>124.0</v>
      </c>
      <c r="B2895" s="1">
        <v>24.0</v>
      </c>
      <c r="C2895" s="1">
        <v>25.0</v>
      </c>
      <c r="D2895" s="1">
        <v>41.0</v>
      </c>
      <c r="F2895" s="1" t="str">
        <f>LOOKUP(A2895, NPCs!A:A, NPCs!C:C)</f>
        <v>Ancient Guard</v>
      </c>
      <c r="G2895" s="1" t="str">
        <f>LOOKUP(B2895, Maps!A:A, Maps!B:B)</f>
        <v>The Ancients Dungeon</v>
      </c>
    </row>
    <row r="2896" ht="15.75" customHeight="1">
      <c r="A2896" s="1">
        <v>124.0</v>
      </c>
      <c r="B2896" s="1">
        <v>24.0</v>
      </c>
      <c r="C2896" s="1">
        <v>31.0</v>
      </c>
      <c r="D2896" s="1">
        <v>41.0</v>
      </c>
      <c r="F2896" s="1" t="str">
        <f>LOOKUP(A2896, NPCs!A:A, NPCs!C:C)</f>
        <v>Ancient Guard</v>
      </c>
      <c r="G2896" s="1" t="str">
        <f>LOOKUP(B2896, Maps!A:A, Maps!B:B)</f>
        <v>The Ancients Dungeon</v>
      </c>
    </row>
    <row r="2897" ht="15.75" customHeight="1">
      <c r="A2897" s="1">
        <v>124.0</v>
      </c>
      <c r="B2897" s="1">
        <v>24.0</v>
      </c>
      <c r="C2897" s="1">
        <v>31.0</v>
      </c>
      <c r="D2897" s="1">
        <v>53.0</v>
      </c>
      <c r="F2897" s="1" t="str">
        <f>LOOKUP(A2897, NPCs!A:A, NPCs!C:C)</f>
        <v>Ancient Guard</v>
      </c>
      <c r="G2897" s="1" t="str">
        <f>LOOKUP(B2897, Maps!A:A, Maps!B:B)</f>
        <v>The Ancients Dungeon</v>
      </c>
    </row>
    <row r="2898" ht="15.75" customHeight="1">
      <c r="A2898" s="1">
        <v>124.0</v>
      </c>
      <c r="B2898" s="1">
        <v>24.0</v>
      </c>
      <c r="C2898" s="1">
        <v>33.0</v>
      </c>
      <c r="D2898" s="1">
        <v>51.0</v>
      </c>
      <c r="F2898" s="1" t="str">
        <f>LOOKUP(A2898, NPCs!A:A, NPCs!C:C)</f>
        <v>Ancient Guard</v>
      </c>
      <c r="G2898" s="1" t="str">
        <f>LOOKUP(B2898, Maps!A:A, Maps!B:B)</f>
        <v>The Ancients Dungeon</v>
      </c>
    </row>
    <row r="2899" ht="15.75" customHeight="1">
      <c r="A2899" s="1">
        <v>124.0</v>
      </c>
      <c r="B2899" s="1">
        <v>24.0</v>
      </c>
      <c r="C2899" s="1">
        <v>97.0</v>
      </c>
      <c r="D2899" s="1">
        <v>50.0</v>
      </c>
      <c r="F2899" s="1" t="str">
        <f>LOOKUP(A2899, NPCs!A:A, NPCs!C:C)</f>
        <v>Ancient Guard</v>
      </c>
      <c r="G2899" s="1" t="str">
        <f>LOOKUP(B2899, Maps!A:A, Maps!B:B)</f>
        <v>The Ancients Dungeon</v>
      </c>
    </row>
    <row r="2900" ht="15.75" customHeight="1">
      <c r="A2900" s="1">
        <v>124.0</v>
      </c>
      <c r="B2900" s="1">
        <v>24.0</v>
      </c>
      <c r="C2900" s="1">
        <v>99.0</v>
      </c>
      <c r="D2900" s="1">
        <v>59.0</v>
      </c>
      <c r="F2900" s="1" t="str">
        <f>LOOKUP(A2900, NPCs!A:A, NPCs!C:C)</f>
        <v>Ancient Guard</v>
      </c>
      <c r="G2900" s="1" t="str">
        <f>LOOKUP(B2900, Maps!A:A, Maps!B:B)</f>
        <v>The Ancients Dungeon</v>
      </c>
    </row>
    <row r="2901" ht="15.75" customHeight="1">
      <c r="A2901" s="1">
        <v>124.0</v>
      </c>
      <c r="B2901" s="1">
        <v>24.0</v>
      </c>
      <c r="C2901" s="1">
        <v>97.0</v>
      </c>
      <c r="D2901" s="1">
        <v>64.0</v>
      </c>
      <c r="F2901" s="1" t="str">
        <f>LOOKUP(A2901, NPCs!A:A, NPCs!C:C)</f>
        <v>Ancient Guard</v>
      </c>
      <c r="G2901" s="1" t="str">
        <f>LOOKUP(B2901, Maps!A:A, Maps!B:B)</f>
        <v>The Ancients Dungeon</v>
      </c>
    </row>
    <row r="2902" ht="15.75" customHeight="1">
      <c r="A2902" s="1">
        <v>124.0</v>
      </c>
      <c r="B2902" s="1">
        <v>24.0</v>
      </c>
      <c r="C2902" s="1">
        <v>94.0</v>
      </c>
      <c r="D2902" s="1">
        <v>67.0</v>
      </c>
      <c r="F2902" s="1" t="str">
        <f>LOOKUP(A2902, NPCs!A:A, NPCs!C:C)</f>
        <v>Ancient Guard</v>
      </c>
      <c r="G2902" s="1" t="str">
        <f>LOOKUP(B2902, Maps!A:A, Maps!B:B)</f>
        <v>The Ancients Dungeon</v>
      </c>
    </row>
    <row r="2903" ht="15.75" customHeight="1">
      <c r="A2903" s="1">
        <v>124.0</v>
      </c>
      <c r="B2903" s="1">
        <v>24.0</v>
      </c>
      <c r="C2903" s="1">
        <v>93.0</v>
      </c>
      <c r="D2903" s="1">
        <v>57.0</v>
      </c>
      <c r="F2903" s="1" t="str">
        <f>LOOKUP(A2903, NPCs!A:A, NPCs!C:C)</f>
        <v>Ancient Guard</v>
      </c>
      <c r="G2903" s="1" t="str">
        <f>LOOKUP(B2903, Maps!A:A, Maps!B:B)</f>
        <v>The Ancients Dungeon</v>
      </c>
    </row>
    <row r="2904" ht="15.75" customHeight="1">
      <c r="A2904" s="1">
        <v>124.0</v>
      </c>
      <c r="B2904" s="1">
        <v>24.0</v>
      </c>
      <c r="C2904" s="1">
        <v>88.0</v>
      </c>
      <c r="D2904" s="1">
        <v>62.0</v>
      </c>
      <c r="F2904" s="1" t="str">
        <f>LOOKUP(A2904, NPCs!A:A, NPCs!C:C)</f>
        <v>Ancient Guard</v>
      </c>
      <c r="G2904" s="1" t="str">
        <f>LOOKUP(B2904, Maps!A:A, Maps!B:B)</f>
        <v>The Ancients Dungeon</v>
      </c>
    </row>
    <row r="2905" ht="15.75" customHeight="1">
      <c r="A2905" s="1">
        <v>124.0</v>
      </c>
      <c r="B2905" s="1">
        <v>24.0</v>
      </c>
      <c r="C2905" s="1">
        <v>84.0</v>
      </c>
      <c r="D2905" s="1">
        <v>65.0</v>
      </c>
      <c r="F2905" s="1" t="str">
        <f>LOOKUP(A2905, NPCs!A:A, NPCs!C:C)</f>
        <v>Ancient Guard</v>
      </c>
      <c r="G2905" s="1" t="str">
        <f>LOOKUP(B2905, Maps!A:A, Maps!B:B)</f>
        <v>The Ancients Dungeon</v>
      </c>
    </row>
    <row r="2906" ht="15.75" customHeight="1">
      <c r="A2906" s="1">
        <v>124.0</v>
      </c>
      <c r="B2906" s="1">
        <v>24.0</v>
      </c>
      <c r="C2906" s="1">
        <v>84.0</v>
      </c>
      <c r="D2906" s="1">
        <v>68.0</v>
      </c>
      <c r="F2906" s="1" t="str">
        <f>LOOKUP(A2906, NPCs!A:A, NPCs!C:C)</f>
        <v>Ancient Guard</v>
      </c>
      <c r="G2906" s="1" t="str">
        <f>LOOKUP(B2906, Maps!A:A, Maps!B:B)</f>
        <v>The Ancients Dungeon</v>
      </c>
    </row>
    <row r="2907" ht="15.75" customHeight="1">
      <c r="A2907" s="1">
        <v>124.0</v>
      </c>
      <c r="B2907" s="1">
        <v>24.0</v>
      </c>
      <c r="C2907" s="1">
        <v>79.0</v>
      </c>
      <c r="D2907" s="1">
        <v>64.0</v>
      </c>
      <c r="F2907" s="1" t="str">
        <f>LOOKUP(A2907, NPCs!A:A, NPCs!C:C)</f>
        <v>Ancient Guard</v>
      </c>
      <c r="G2907" s="1" t="str">
        <f>LOOKUP(B2907, Maps!A:A, Maps!B:B)</f>
        <v>The Ancients Dungeon</v>
      </c>
    </row>
    <row r="2908" ht="15.75" customHeight="1">
      <c r="A2908" s="1">
        <v>124.0</v>
      </c>
      <c r="B2908" s="1">
        <v>24.0</v>
      </c>
      <c r="C2908" s="1">
        <v>80.0</v>
      </c>
      <c r="D2908" s="1">
        <v>59.0</v>
      </c>
      <c r="F2908" s="1" t="str">
        <f>LOOKUP(A2908, NPCs!A:A, NPCs!C:C)</f>
        <v>Ancient Guard</v>
      </c>
      <c r="G2908" s="1" t="str">
        <f>LOOKUP(B2908, Maps!A:A, Maps!B:B)</f>
        <v>The Ancients Dungeon</v>
      </c>
    </row>
    <row r="2909" ht="15.75" customHeight="1">
      <c r="A2909" s="1">
        <v>124.0</v>
      </c>
      <c r="B2909" s="1">
        <v>24.0</v>
      </c>
      <c r="C2909" s="1">
        <v>84.0</v>
      </c>
      <c r="D2909" s="1">
        <v>58.0</v>
      </c>
      <c r="F2909" s="1" t="str">
        <f>LOOKUP(A2909, NPCs!A:A, NPCs!C:C)</f>
        <v>Ancient Guard</v>
      </c>
      <c r="G2909" s="1" t="str">
        <f>LOOKUP(B2909, Maps!A:A, Maps!B:B)</f>
        <v>The Ancients Dungeon</v>
      </c>
    </row>
    <row r="2910" ht="15.75" customHeight="1">
      <c r="A2910" s="1">
        <v>124.0</v>
      </c>
      <c r="B2910" s="1">
        <v>24.0</v>
      </c>
      <c r="C2910" s="1">
        <v>81.0</v>
      </c>
      <c r="D2910" s="1">
        <v>55.0</v>
      </c>
      <c r="F2910" s="1" t="str">
        <f>LOOKUP(A2910, NPCs!A:A, NPCs!C:C)</f>
        <v>Ancient Guard</v>
      </c>
      <c r="G2910" s="1" t="str">
        <f>LOOKUP(B2910, Maps!A:A, Maps!B:B)</f>
        <v>The Ancients Dungeon</v>
      </c>
    </row>
    <row r="2911" ht="15.75" customHeight="1">
      <c r="A2911" s="1">
        <v>124.0</v>
      </c>
      <c r="B2911" s="1">
        <v>24.0</v>
      </c>
      <c r="C2911" s="1">
        <v>76.0</v>
      </c>
      <c r="D2911" s="1">
        <v>53.0</v>
      </c>
      <c r="F2911" s="1" t="str">
        <f>LOOKUP(A2911, NPCs!A:A, NPCs!C:C)</f>
        <v>Ancient Guard</v>
      </c>
      <c r="G2911" s="1" t="str">
        <f>LOOKUP(B2911, Maps!A:A, Maps!B:B)</f>
        <v>The Ancients Dungeon</v>
      </c>
    </row>
    <row r="2912" ht="15.75" customHeight="1">
      <c r="A2912" s="1">
        <v>124.0</v>
      </c>
      <c r="B2912" s="1">
        <v>24.0</v>
      </c>
      <c r="C2912" s="1">
        <v>80.0</v>
      </c>
      <c r="D2912" s="1">
        <v>49.0</v>
      </c>
      <c r="F2912" s="1" t="str">
        <f>LOOKUP(A2912, NPCs!A:A, NPCs!C:C)</f>
        <v>Ancient Guard</v>
      </c>
      <c r="G2912" s="1" t="str">
        <f>LOOKUP(B2912, Maps!A:A, Maps!B:B)</f>
        <v>The Ancients Dungeon</v>
      </c>
    </row>
    <row r="2913" ht="15.75" customHeight="1">
      <c r="A2913" s="1">
        <v>124.0</v>
      </c>
      <c r="B2913" s="1">
        <v>24.0</v>
      </c>
      <c r="C2913" s="1">
        <v>81.0</v>
      </c>
      <c r="D2913" s="1">
        <v>45.0</v>
      </c>
      <c r="F2913" s="1" t="str">
        <f>LOOKUP(A2913, NPCs!A:A, NPCs!C:C)</f>
        <v>Ancient Guard</v>
      </c>
      <c r="G2913" s="1" t="str">
        <f>LOOKUP(B2913, Maps!A:A, Maps!B:B)</f>
        <v>The Ancients Dungeon</v>
      </c>
    </row>
    <row r="2914" ht="15.75" customHeight="1">
      <c r="A2914" s="1">
        <v>124.0</v>
      </c>
      <c r="B2914" s="1">
        <v>24.0</v>
      </c>
      <c r="C2914" s="1">
        <v>86.0</v>
      </c>
      <c r="D2914" s="1">
        <v>43.0</v>
      </c>
      <c r="F2914" s="1" t="str">
        <f>LOOKUP(A2914, NPCs!A:A, NPCs!C:C)</f>
        <v>Ancient Guard</v>
      </c>
      <c r="G2914" s="1" t="str">
        <f>LOOKUP(B2914, Maps!A:A, Maps!B:B)</f>
        <v>The Ancients Dungeon</v>
      </c>
    </row>
    <row r="2915" ht="15.75" customHeight="1">
      <c r="A2915" s="1">
        <v>124.0</v>
      </c>
      <c r="B2915" s="1">
        <v>24.0</v>
      </c>
      <c r="C2915" s="1">
        <v>89.0</v>
      </c>
      <c r="D2915" s="1">
        <v>50.0</v>
      </c>
      <c r="F2915" s="1" t="str">
        <f>LOOKUP(A2915, NPCs!A:A, NPCs!C:C)</f>
        <v>Ancient Guard</v>
      </c>
      <c r="G2915" s="1" t="str">
        <f>LOOKUP(B2915, Maps!A:A, Maps!B:B)</f>
        <v>The Ancients Dungeon</v>
      </c>
    </row>
    <row r="2916" ht="15.75" customHeight="1">
      <c r="A2916" s="1">
        <v>124.0</v>
      </c>
      <c r="B2916" s="1">
        <v>24.0</v>
      </c>
      <c r="C2916" s="1">
        <v>76.0</v>
      </c>
      <c r="D2916" s="1">
        <v>41.0</v>
      </c>
      <c r="F2916" s="1" t="str">
        <f>LOOKUP(A2916, NPCs!A:A, NPCs!C:C)</f>
        <v>Ancient Guard</v>
      </c>
      <c r="G2916" s="1" t="str">
        <f>LOOKUP(B2916, Maps!A:A, Maps!B:B)</f>
        <v>The Ancients Dungeon</v>
      </c>
    </row>
    <row r="2917" ht="15.75" customHeight="1">
      <c r="A2917" s="1">
        <v>124.0</v>
      </c>
      <c r="B2917" s="1">
        <v>24.0</v>
      </c>
      <c r="C2917" s="1">
        <v>70.0</v>
      </c>
      <c r="D2917" s="1">
        <v>41.0</v>
      </c>
      <c r="F2917" s="1" t="str">
        <f>LOOKUP(A2917, NPCs!A:A, NPCs!C:C)</f>
        <v>Ancient Guard</v>
      </c>
      <c r="G2917" s="1" t="str">
        <f>LOOKUP(B2917, Maps!A:A, Maps!B:B)</f>
        <v>The Ancients Dungeon</v>
      </c>
    </row>
    <row r="2918" ht="15.75" customHeight="1">
      <c r="A2918" s="1">
        <v>143.0</v>
      </c>
      <c r="B2918" s="1">
        <v>24.0</v>
      </c>
      <c r="C2918" s="1">
        <v>89.0</v>
      </c>
      <c r="D2918" s="1">
        <v>54.0</v>
      </c>
      <c r="F2918" s="1" t="str">
        <f>LOOKUP(A2918, NPCs!A:A, NPCs!C:C)</f>
        <v>Ancient Guard</v>
      </c>
      <c r="G2918" s="1" t="str">
        <f>LOOKUP(B2918, Maps!A:A, Maps!B:B)</f>
        <v>The Ancients Dungeon</v>
      </c>
    </row>
    <row r="2919" ht="15.75" customHeight="1">
      <c r="A2919" s="1">
        <v>143.0</v>
      </c>
      <c r="B2919" s="1">
        <v>24.0</v>
      </c>
      <c r="C2919" s="1">
        <v>88.0</v>
      </c>
      <c r="D2919" s="1">
        <v>67.0</v>
      </c>
      <c r="F2919" s="1" t="str">
        <f>LOOKUP(A2919, NPCs!A:A, NPCs!C:C)</f>
        <v>Ancient Guard</v>
      </c>
      <c r="G2919" s="1" t="str">
        <f>LOOKUP(B2919, Maps!A:A, Maps!B:B)</f>
        <v>The Ancients Dungeon</v>
      </c>
    </row>
    <row r="2920" ht="15.75" customHeight="1">
      <c r="A2920" s="1">
        <v>143.0</v>
      </c>
      <c r="B2920" s="1">
        <v>24.0</v>
      </c>
      <c r="C2920" s="1">
        <v>5.0</v>
      </c>
      <c r="D2920" s="1">
        <v>48.0</v>
      </c>
      <c r="F2920" s="1" t="str">
        <f>LOOKUP(A2920, NPCs!A:A, NPCs!C:C)</f>
        <v>Ancient Guard</v>
      </c>
      <c r="G2920" s="1" t="str">
        <f>LOOKUP(B2920, Maps!A:A, Maps!B:B)</f>
        <v>The Ancients Dungeon</v>
      </c>
    </row>
    <row r="2921" ht="15.75" customHeight="1">
      <c r="A2921" s="1">
        <v>143.0</v>
      </c>
      <c r="B2921" s="1">
        <v>24.0</v>
      </c>
      <c r="C2921" s="1">
        <v>11.0</v>
      </c>
      <c r="D2921" s="1">
        <v>61.0</v>
      </c>
      <c r="F2921" s="1" t="str">
        <f>LOOKUP(A2921, NPCs!A:A, NPCs!C:C)</f>
        <v>Ancient Guard</v>
      </c>
      <c r="G2921" s="1" t="str">
        <f>LOOKUP(B2921, Maps!A:A, Maps!B:B)</f>
        <v>The Ancients Dungeon</v>
      </c>
    </row>
    <row r="2922" ht="15.75" customHeight="1">
      <c r="A2922" s="1">
        <v>143.0</v>
      </c>
      <c r="B2922" s="1">
        <v>24.0</v>
      </c>
      <c r="C2922" s="1">
        <v>23.0</v>
      </c>
      <c r="D2922" s="1">
        <v>64.0</v>
      </c>
      <c r="F2922" s="1" t="str">
        <f>LOOKUP(A2922, NPCs!A:A, NPCs!C:C)</f>
        <v>Ancient Guard</v>
      </c>
      <c r="G2922" s="1" t="str">
        <f>LOOKUP(B2922, Maps!A:A, Maps!B:B)</f>
        <v>The Ancients Dungeon</v>
      </c>
    </row>
    <row r="2923" ht="15.75" customHeight="1">
      <c r="A2923" s="1">
        <v>143.0</v>
      </c>
      <c r="B2923" s="1">
        <v>24.0</v>
      </c>
      <c r="C2923" s="1">
        <v>16.0</v>
      </c>
      <c r="D2923" s="1">
        <v>45.0</v>
      </c>
      <c r="F2923" s="1" t="str">
        <f>LOOKUP(A2923, NPCs!A:A, NPCs!C:C)</f>
        <v>Ancient Guard</v>
      </c>
      <c r="G2923" s="1" t="str">
        <f>LOOKUP(B2923, Maps!A:A, Maps!B:B)</f>
        <v>The Ancients Dungeon</v>
      </c>
    </row>
    <row r="2924" ht="15.75" customHeight="1">
      <c r="A2924" s="1">
        <v>143.0</v>
      </c>
      <c r="B2924" s="1">
        <v>24.0</v>
      </c>
      <c r="C2924" s="1">
        <v>74.0</v>
      </c>
      <c r="D2924" s="1">
        <v>49.0</v>
      </c>
      <c r="F2924" s="1" t="str">
        <f>LOOKUP(A2924, NPCs!A:A, NPCs!C:C)</f>
        <v>Ancient Guard</v>
      </c>
      <c r="G2924" s="1" t="str">
        <f>LOOKUP(B2924, Maps!A:A, Maps!B:B)</f>
        <v>The Ancients Dungeon</v>
      </c>
    </row>
    <row r="2925" ht="15.75" customHeight="1">
      <c r="A2925" s="1">
        <v>139.0</v>
      </c>
      <c r="B2925" s="1">
        <v>24.0</v>
      </c>
      <c r="C2925" s="1">
        <v>29.0</v>
      </c>
      <c r="D2925" s="1">
        <v>49.0</v>
      </c>
      <c r="F2925" s="1" t="str">
        <f>LOOKUP(A2925, NPCs!A:A, NPCs!C:C)</f>
        <v>General Vor Chez</v>
      </c>
      <c r="G2925" s="1" t="str">
        <f>LOOKUP(B2925, Maps!A:A, Maps!B:B)</f>
        <v>The Ancients Dungeon</v>
      </c>
    </row>
    <row r="2926" ht="15.75" customHeight="1">
      <c r="A2926" s="1">
        <v>126.0</v>
      </c>
      <c r="B2926" s="1">
        <v>24.0</v>
      </c>
      <c r="C2926" s="1">
        <v>72.0</v>
      </c>
      <c r="D2926" s="1">
        <v>46.0</v>
      </c>
      <c r="F2926" s="1" t="str">
        <f>LOOKUP(A2926, NPCs!A:A, NPCs!C:C)</f>
        <v>General Mehoff</v>
      </c>
      <c r="G2926" s="1" t="str">
        <f>LOOKUP(B2926, Maps!A:A, Maps!B:B)</f>
        <v>The Ancients Dungeon</v>
      </c>
    </row>
    <row r="2927" ht="15.75" customHeight="1">
      <c r="A2927" s="1">
        <v>141.0</v>
      </c>
      <c r="B2927" s="1">
        <v>24.0</v>
      </c>
      <c r="C2927" s="1">
        <v>87.0</v>
      </c>
      <c r="D2927" s="1">
        <v>20.0</v>
      </c>
      <c r="F2927" s="1" t="str">
        <f>LOOKUP(A2927, NPCs!A:A, NPCs!C:C)</f>
        <v>Disciple Von Bangs</v>
      </c>
      <c r="G2927" s="1" t="str">
        <f>LOOKUP(B2927, Maps!A:A, Maps!B:B)</f>
        <v>The Ancients Dungeon</v>
      </c>
    </row>
    <row r="2928" ht="15.75" customHeight="1">
      <c r="A2928" s="1">
        <v>142.0</v>
      </c>
      <c r="B2928" s="1">
        <v>24.0</v>
      </c>
      <c r="C2928" s="1">
        <v>12.0</v>
      </c>
      <c r="D2928" s="1">
        <v>19.0</v>
      </c>
      <c r="F2928" s="1" t="str">
        <f>LOOKUP(A2928, NPCs!A:A, NPCs!C:C)</f>
        <v>Disciple Von Chief</v>
      </c>
      <c r="G2928" s="1" t="str">
        <f>LOOKUP(B2928, Maps!A:A, Maps!B:B)</f>
        <v>The Ancients Dungeon</v>
      </c>
    </row>
    <row r="2929" ht="15.75" customHeight="1">
      <c r="A2929" s="1">
        <v>145.0</v>
      </c>
      <c r="B2929" s="1">
        <v>33.0</v>
      </c>
      <c r="C2929" s="1">
        <v>45.0</v>
      </c>
      <c r="D2929" s="1">
        <v>45.0</v>
      </c>
      <c r="F2929" s="1" t="str">
        <f>LOOKUP(A2929, NPCs!A:A, NPCs!C:C)</f>
        <v>Giant Wraith</v>
      </c>
      <c r="G2929" s="1" t="str">
        <f>LOOKUP(B2929, Maps!A:A, Maps!B:B)</f>
        <v>The Passing</v>
      </c>
    </row>
    <row r="2930" ht="15.75" customHeight="1">
      <c r="A2930" s="1">
        <v>145.0</v>
      </c>
      <c r="B2930" s="1">
        <v>33.0</v>
      </c>
      <c r="C2930" s="1">
        <v>45.0</v>
      </c>
      <c r="D2930" s="1">
        <v>50.0</v>
      </c>
      <c r="F2930" s="1" t="str">
        <f>LOOKUP(A2930, NPCs!A:A, NPCs!C:C)</f>
        <v>Giant Wraith</v>
      </c>
      <c r="G2930" s="1" t="str">
        <f>LOOKUP(B2930, Maps!A:A, Maps!B:B)</f>
        <v>The Passing</v>
      </c>
    </row>
    <row r="2931" ht="15.75" customHeight="1">
      <c r="A2931" s="1">
        <v>145.0</v>
      </c>
      <c r="B2931" s="1">
        <v>33.0</v>
      </c>
      <c r="C2931" s="1">
        <v>40.0</v>
      </c>
      <c r="D2931" s="1">
        <v>54.0</v>
      </c>
      <c r="F2931" s="1" t="str">
        <f>LOOKUP(A2931, NPCs!A:A, NPCs!C:C)</f>
        <v>Giant Wraith</v>
      </c>
      <c r="G2931" s="1" t="str">
        <f>LOOKUP(B2931, Maps!A:A, Maps!B:B)</f>
        <v>The Passing</v>
      </c>
    </row>
    <row r="2932" ht="15.75" customHeight="1">
      <c r="A2932" s="1">
        <v>145.0</v>
      </c>
      <c r="B2932" s="1">
        <v>33.0</v>
      </c>
      <c r="C2932" s="1">
        <v>36.0</v>
      </c>
      <c r="D2932" s="1">
        <v>51.0</v>
      </c>
      <c r="F2932" s="1" t="str">
        <f>LOOKUP(A2932, NPCs!A:A, NPCs!C:C)</f>
        <v>Giant Wraith</v>
      </c>
      <c r="G2932" s="1" t="str">
        <f>LOOKUP(B2932, Maps!A:A, Maps!B:B)</f>
        <v>The Passing</v>
      </c>
    </row>
    <row r="2933" ht="15.75" customHeight="1">
      <c r="A2933" s="1">
        <v>145.0</v>
      </c>
      <c r="B2933" s="1">
        <v>33.0</v>
      </c>
      <c r="C2933" s="1">
        <v>38.0</v>
      </c>
      <c r="D2933" s="1">
        <v>46.0</v>
      </c>
      <c r="F2933" s="1" t="str">
        <f>LOOKUP(A2933, NPCs!A:A, NPCs!C:C)</f>
        <v>Giant Wraith</v>
      </c>
      <c r="G2933" s="1" t="str">
        <f>LOOKUP(B2933, Maps!A:A, Maps!B:B)</f>
        <v>The Passing</v>
      </c>
    </row>
    <row r="2934" ht="15.75" customHeight="1">
      <c r="A2934" s="1">
        <v>145.0</v>
      </c>
      <c r="B2934" s="1">
        <v>33.0</v>
      </c>
      <c r="C2934" s="1">
        <v>39.0</v>
      </c>
      <c r="D2934" s="1">
        <v>39.0</v>
      </c>
      <c r="F2934" s="1" t="str">
        <f>LOOKUP(A2934, NPCs!A:A, NPCs!C:C)</f>
        <v>Giant Wraith</v>
      </c>
      <c r="G2934" s="1" t="str">
        <f>LOOKUP(B2934, Maps!A:A, Maps!B:B)</f>
        <v>The Passing</v>
      </c>
    </row>
    <row r="2935" ht="15.75" customHeight="1">
      <c r="A2935" s="1">
        <v>145.0</v>
      </c>
      <c r="B2935" s="1">
        <v>33.0</v>
      </c>
      <c r="C2935" s="1">
        <v>36.0</v>
      </c>
      <c r="D2935" s="1">
        <v>30.0</v>
      </c>
      <c r="F2935" s="1" t="str">
        <f>LOOKUP(A2935, NPCs!A:A, NPCs!C:C)</f>
        <v>Giant Wraith</v>
      </c>
      <c r="G2935" s="1" t="str">
        <f>LOOKUP(B2935, Maps!A:A, Maps!B:B)</f>
        <v>The Passing</v>
      </c>
    </row>
    <row r="2936" ht="15.75" customHeight="1">
      <c r="A2936" s="1">
        <v>145.0</v>
      </c>
      <c r="B2936" s="1">
        <v>33.0</v>
      </c>
      <c r="C2936" s="1">
        <v>30.0</v>
      </c>
      <c r="D2936" s="1">
        <v>34.0</v>
      </c>
      <c r="F2936" s="1" t="str">
        <f>LOOKUP(A2936, NPCs!A:A, NPCs!C:C)</f>
        <v>Giant Wraith</v>
      </c>
      <c r="G2936" s="1" t="str">
        <f>LOOKUP(B2936, Maps!A:A, Maps!B:B)</f>
        <v>The Passing</v>
      </c>
    </row>
    <row r="2937" ht="15.75" customHeight="1">
      <c r="A2937" s="1">
        <v>145.0</v>
      </c>
      <c r="B2937" s="1">
        <v>33.0</v>
      </c>
      <c r="C2937" s="1">
        <v>27.0</v>
      </c>
      <c r="D2937" s="1">
        <v>31.0</v>
      </c>
      <c r="F2937" s="1" t="str">
        <f>LOOKUP(A2937, NPCs!A:A, NPCs!C:C)</f>
        <v>Giant Wraith</v>
      </c>
      <c r="G2937" s="1" t="str">
        <f>LOOKUP(B2937, Maps!A:A, Maps!B:B)</f>
        <v>The Passing</v>
      </c>
    </row>
    <row r="2938" ht="15.75" customHeight="1">
      <c r="A2938" s="1">
        <v>145.0</v>
      </c>
      <c r="B2938" s="1">
        <v>33.0</v>
      </c>
      <c r="C2938" s="1">
        <v>36.0</v>
      </c>
      <c r="D2938" s="1">
        <v>30.0</v>
      </c>
      <c r="F2938" s="1" t="str">
        <f>LOOKUP(A2938, NPCs!A:A, NPCs!C:C)</f>
        <v>Giant Wraith</v>
      </c>
      <c r="G2938" s="1" t="str">
        <f>LOOKUP(B2938, Maps!A:A, Maps!B:B)</f>
        <v>The Passing</v>
      </c>
    </row>
    <row r="2939" ht="15.75" customHeight="1">
      <c r="A2939" s="1">
        <v>145.0</v>
      </c>
      <c r="B2939" s="1">
        <v>33.0</v>
      </c>
      <c r="C2939" s="1">
        <v>33.0</v>
      </c>
      <c r="D2939" s="1">
        <v>25.0</v>
      </c>
      <c r="F2939" s="1" t="str">
        <f>LOOKUP(A2939, NPCs!A:A, NPCs!C:C)</f>
        <v>Giant Wraith</v>
      </c>
      <c r="G2939" s="1" t="str">
        <f>LOOKUP(B2939, Maps!A:A, Maps!B:B)</f>
        <v>The Passing</v>
      </c>
    </row>
    <row r="2940" ht="15.75" customHeight="1">
      <c r="A2940" s="1">
        <v>145.0</v>
      </c>
      <c r="B2940" s="1">
        <v>33.0</v>
      </c>
      <c r="C2940" s="1">
        <v>25.0</v>
      </c>
      <c r="D2940" s="1">
        <v>25.0</v>
      </c>
      <c r="F2940" s="1" t="str">
        <f>LOOKUP(A2940, NPCs!A:A, NPCs!C:C)</f>
        <v>Giant Wraith</v>
      </c>
      <c r="G2940" s="1" t="str">
        <f>LOOKUP(B2940, Maps!A:A, Maps!B:B)</f>
        <v>The Passing</v>
      </c>
    </row>
    <row r="2941" ht="15.75" customHeight="1">
      <c r="A2941" s="1">
        <v>145.0</v>
      </c>
      <c r="B2941" s="1">
        <v>33.0</v>
      </c>
      <c r="C2941" s="1">
        <v>25.0</v>
      </c>
      <c r="D2941" s="1">
        <v>23.0</v>
      </c>
      <c r="F2941" s="1" t="str">
        <f>LOOKUP(A2941, NPCs!A:A, NPCs!C:C)</f>
        <v>Giant Wraith</v>
      </c>
      <c r="G2941" s="1" t="str">
        <f>LOOKUP(B2941, Maps!A:A, Maps!B:B)</f>
        <v>The Passing</v>
      </c>
    </row>
    <row r="2942" ht="15.75" customHeight="1">
      <c r="A2942" s="1">
        <v>145.0</v>
      </c>
      <c r="B2942" s="1">
        <v>33.0</v>
      </c>
      <c r="C2942" s="1">
        <v>21.0</v>
      </c>
      <c r="D2942" s="1">
        <v>20.0</v>
      </c>
      <c r="F2942" s="1" t="str">
        <f>LOOKUP(A2942, NPCs!A:A, NPCs!C:C)</f>
        <v>Giant Wraith</v>
      </c>
      <c r="G2942" s="1" t="str">
        <f>LOOKUP(B2942, Maps!A:A, Maps!B:B)</f>
        <v>The Passing</v>
      </c>
    </row>
    <row r="2943" ht="15.75" customHeight="1">
      <c r="A2943" s="1">
        <v>145.0</v>
      </c>
      <c r="B2943" s="1">
        <v>33.0</v>
      </c>
      <c r="C2943" s="1">
        <v>17.0</v>
      </c>
      <c r="D2943" s="1">
        <v>23.0</v>
      </c>
      <c r="F2943" s="1" t="str">
        <f>LOOKUP(A2943, NPCs!A:A, NPCs!C:C)</f>
        <v>Giant Wraith</v>
      </c>
      <c r="G2943" s="1" t="str">
        <f>LOOKUP(B2943, Maps!A:A, Maps!B:B)</f>
        <v>The Passing</v>
      </c>
    </row>
    <row r="2944" ht="15.75" customHeight="1">
      <c r="A2944" s="1">
        <v>145.0</v>
      </c>
      <c r="B2944" s="1">
        <v>33.0</v>
      </c>
      <c r="C2944" s="1">
        <v>17.0</v>
      </c>
      <c r="D2944" s="1">
        <v>25.0</v>
      </c>
      <c r="F2944" s="1" t="str">
        <f>LOOKUP(A2944, NPCs!A:A, NPCs!C:C)</f>
        <v>Giant Wraith</v>
      </c>
      <c r="G2944" s="1" t="str">
        <f>LOOKUP(B2944, Maps!A:A, Maps!B:B)</f>
        <v>The Passing</v>
      </c>
    </row>
    <row r="2945" ht="15.75" customHeight="1">
      <c r="A2945" s="1">
        <v>145.0</v>
      </c>
      <c r="B2945" s="1">
        <v>33.0</v>
      </c>
      <c r="C2945" s="1">
        <v>21.0</v>
      </c>
      <c r="D2945" s="1">
        <v>28.0</v>
      </c>
      <c r="F2945" s="1" t="str">
        <f>LOOKUP(A2945, NPCs!A:A, NPCs!C:C)</f>
        <v>Giant Wraith</v>
      </c>
      <c r="G2945" s="1" t="str">
        <f>LOOKUP(B2945, Maps!A:A, Maps!B:B)</f>
        <v>The Passing</v>
      </c>
    </row>
    <row r="2946" ht="15.75" customHeight="1">
      <c r="A2946" s="1">
        <v>145.0</v>
      </c>
      <c r="B2946" s="1">
        <v>33.0</v>
      </c>
      <c r="C2946" s="1">
        <v>29.0</v>
      </c>
      <c r="D2946" s="1">
        <v>18.0</v>
      </c>
      <c r="F2946" s="1" t="str">
        <f>LOOKUP(A2946, NPCs!A:A, NPCs!C:C)</f>
        <v>Giant Wraith</v>
      </c>
      <c r="G2946" s="1" t="str">
        <f>LOOKUP(B2946, Maps!A:A, Maps!B:B)</f>
        <v>The Passing</v>
      </c>
    </row>
    <row r="2947" ht="15.75" customHeight="1">
      <c r="A2947" s="1">
        <v>145.0</v>
      </c>
      <c r="B2947" s="1">
        <v>33.0</v>
      </c>
      <c r="C2947" s="1">
        <v>29.0</v>
      </c>
      <c r="D2947" s="1">
        <v>14.0</v>
      </c>
      <c r="F2947" s="1" t="str">
        <f>LOOKUP(A2947, NPCs!A:A, NPCs!C:C)</f>
        <v>Giant Wraith</v>
      </c>
      <c r="G2947" s="1" t="str">
        <f>LOOKUP(B2947, Maps!A:A, Maps!B:B)</f>
        <v>The Passing</v>
      </c>
    </row>
    <row r="2948" ht="15.75" customHeight="1">
      <c r="A2948" s="1">
        <v>145.0</v>
      </c>
      <c r="B2948" s="1">
        <v>33.0</v>
      </c>
      <c r="C2948" s="1">
        <v>33.0</v>
      </c>
      <c r="D2948" s="1">
        <v>16.0</v>
      </c>
      <c r="F2948" s="1" t="str">
        <f>LOOKUP(A2948, NPCs!A:A, NPCs!C:C)</f>
        <v>Giant Wraith</v>
      </c>
      <c r="G2948" s="1" t="str">
        <f>LOOKUP(B2948, Maps!A:A, Maps!B:B)</f>
        <v>The Passing</v>
      </c>
    </row>
    <row r="2949" ht="15.75" customHeight="1">
      <c r="A2949" s="1">
        <v>145.0</v>
      </c>
      <c r="B2949" s="1">
        <v>33.0</v>
      </c>
      <c r="C2949" s="1">
        <v>37.0</v>
      </c>
      <c r="D2949" s="1">
        <v>18.0</v>
      </c>
      <c r="F2949" s="1" t="str">
        <f>LOOKUP(A2949, NPCs!A:A, NPCs!C:C)</f>
        <v>Giant Wraith</v>
      </c>
      <c r="G2949" s="1" t="str">
        <f>LOOKUP(B2949, Maps!A:A, Maps!B:B)</f>
        <v>The Passing</v>
      </c>
    </row>
    <row r="2950" ht="15.75" customHeight="1">
      <c r="A2950" s="1">
        <v>145.0</v>
      </c>
      <c r="B2950" s="1">
        <v>33.0</v>
      </c>
      <c r="C2950" s="1">
        <v>38.0</v>
      </c>
      <c r="D2950" s="1">
        <v>9.0</v>
      </c>
      <c r="F2950" s="1" t="str">
        <f>LOOKUP(A2950, NPCs!A:A, NPCs!C:C)</f>
        <v>Giant Wraith</v>
      </c>
      <c r="G2950" s="1" t="str">
        <f>LOOKUP(B2950, Maps!A:A, Maps!B:B)</f>
        <v>The Passing</v>
      </c>
    </row>
    <row r="2951" ht="15.75" customHeight="1">
      <c r="A2951" s="1">
        <v>145.0</v>
      </c>
      <c r="B2951" s="1">
        <v>33.0</v>
      </c>
      <c r="C2951" s="1">
        <v>33.0</v>
      </c>
      <c r="D2951" s="1">
        <v>9.0</v>
      </c>
      <c r="F2951" s="1" t="str">
        <f>LOOKUP(A2951, NPCs!A:A, NPCs!C:C)</f>
        <v>Giant Wraith</v>
      </c>
      <c r="G2951" s="1" t="str">
        <f>LOOKUP(B2951, Maps!A:A, Maps!B:B)</f>
        <v>The Passing</v>
      </c>
    </row>
    <row r="2952" ht="15.75" customHeight="1">
      <c r="A2952" s="1">
        <v>145.0</v>
      </c>
      <c r="B2952" s="1">
        <v>33.0</v>
      </c>
      <c r="C2952" s="1">
        <v>33.0</v>
      </c>
      <c r="D2952" s="1">
        <v>4.0</v>
      </c>
      <c r="F2952" s="1" t="str">
        <f>LOOKUP(A2952, NPCs!A:A, NPCs!C:C)</f>
        <v>Giant Wraith</v>
      </c>
      <c r="G2952" s="1" t="str">
        <f>LOOKUP(B2952, Maps!A:A, Maps!B:B)</f>
        <v>The Passing</v>
      </c>
    </row>
    <row r="2953" ht="15.75" customHeight="1">
      <c r="A2953" s="1">
        <v>145.0</v>
      </c>
      <c r="B2953" s="1">
        <v>33.0</v>
      </c>
      <c r="C2953" s="1">
        <v>38.0</v>
      </c>
      <c r="D2953" s="1">
        <v>4.0</v>
      </c>
      <c r="F2953" s="1" t="str">
        <f>LOOKUP(A2953, NPCs!A:A, NPCs!C:C)</f>
        <v>Giant Wraith</v>
      </c>
      <c r="G2953" s="1" t="str">
        <f>LOOKUP(B2953, Maps!A:A, Maps!B:B)</f>
        <v>The Passing</v>
      </c>
    </row>
    <row r="2954" ht="15.75" customHeight="1">
      <c r="A2954" s="1">
        <v>145.0</v>
      </c>
      <c r="B2954" s="1">
        <v>33.0</v>
      </c>
      <c r="C2954" s="1">
        <v>26.0</v>
      </c>
      <c r="D2954" s="1">
        <v>5.0</v>
      </c>
      <c r="F2954" s="1" t="str">
        <f>LOOKUP(A2954, NPCs!A:A, NPCs!C:C)</f>
        <v>Giant Wraith</v>
      </c>
      <c r="G2954" s="1" t="str">
        <f>LOOKUP(B2954, Maps!A:A, Maps!B:B)</f>
        <v>The Passing</v>
      </c>
    </row>
    <row r="2955" ht="15.75" customHeight="1">
      <c r="A2955" s="1">
        <v>145.0</v>
      </c>
      <c r="B2955" s="1">
        <v>33.0</v>
      </c>
      <c r="C2955" s="1">
        <v>26.0</v>
      </c>
      <c r="D2955" s="1">
        <v>1.0</v>
      </c>
      <c r="F2955" s="1" t="str">
        <f>LOOKUP(A2955, NPCs!A:A, NPCs!C:C)</f>
        <v>Giant Wraith</v>
      </c>
      <c r="G2955" s="1" t="str">
        <f>LOOKUP(B2955, Maps!A:A, Maps!B:B)</f>
        <v>The Passing</v>
      </c>
    </row>
    <row r="2956" ht="15.75" customHeight="1">
      <c r="A2956" s="1">
        <v>145.0</v>
      </c>
      <c r="B2956" s="1">
        <v>33.0</v>
      </c>
      <c r="C2956" s="1">
        <v>20.0</v>
      </c>
      <c r="D2956" s="1">
        <v>3.0</v>
      </c>
      <c r="F2956" s="1" t="str">
        <f>LOOKUP(A2956, NPCs!A:A, NPCs!C:C)</f>
        <v>Giant Wraith</v>
      </c>
      <c r="G2956" s="1" t="str">
        <f>LOOKUP(B2956, Maps!A:A, Maps!B:B)</f>
        <v>The Passing</v>
      </c>
    </row>
    <row r="2957" ht="15.75" customHeight="1">
      <c r="A2957" s="1">
        <v>145.0</v>
      </c>
      <c r="B2957" s="1">
        <v>33.0</v>
      </c>
      <c r="C2957" s="1">
        <v>14.0</v>
      </c>
      <c r="D2957" s="1">
        <v>5.0</v>
      </c>
      <c r="F2957" s="1" t="str">
        <f>LOOKUP(A2957, NPCs!A:A, NPCs!C:C)</f>
        <v>Giant Wraith</v>
      </c>
      <c r="G2957" s="1" t="str">
        <f>LOOKUP(B2957, Maps!A:A, Maps!B:B)</f>
        <v>The Passing</v>
      </c>
    </row>
    <row r="2958" ht="15.75" customHeight="1">
      <c r="A2958" s="1">
        <v>145.0</v>
      </c>
      <c r="B2958" s="1">
        <v>33.0</v>
      </c>
      <c r="C2958" s="1">
        <v>8.0</v>
      </c>
      <c r="D2958" s="1">
        <v>5.0</v>
      </c>
      <c r="F2958" s="1" t="str">
        <f>LOOKUP(A2958, NPCs!A:A, NPCs!C:C)</f>
        <v>Giant Wraith</v>
      </c>
      <c r="G2958" s="1" t="str">
        <f>LOOKUP(B2958, Maps!A:A, Maps!B:B)</f>
        <v>The Passing</v>
      </c>
    </row>
    <row r="2959" ht="15.75" customHeight="1">
      <c r="A2959" s="1">
        <v>145.0</v>
      </c>
      <c r="B2959" s="1">
        <v>33.0</v>
      </c>
      <c r="C2959" s="1">
        <v>4.0</v>
      </c>
      <c r="D2959" s="1">
        <v>6.0</v>
      </c>
      <c r="F2959" s="1" t="str">
        <f>LOOKUP(A2959, NPCs!A:A, NPCs!C:C)</f>
        <v>Giant Wraith</v>
      </c>
      <c r="G2959" s="1" t="str">
        <f>LOOKUP(B2959, Maps!A:A, Maps!B:B)</f>
        <v>The Passing</v>
      </c>
    </row>
    <row r="2960" ht="15.75" customHeight="1">
      <c r="A2960" s="1">
        <v>145.0</v>
      </c>
      <c r="B2960" s="1">
        <v>33.0</v>
      </c>
      <c r="C2960" s="1">
        <v>4.0</v>
      </c>
      <c r="D2960" s="1">
        <v>12.0</v>
      </c>
      <c r="F2960" s="1" t="str">
        <f>LOOKUP(A2960, NPCs!A:A, NPCs!C:C)</f>
        <v>Giant Wraith</v>
      </c>
      <c r="G2960" s="1" t="str">
        <f>LOOKUP(B2960, Maps!A:A, Maps!B:B)</f>
        <v>The Passing</v>
      </c>
    </row>
    <row r="2961" ht="15.75" customHeight="1">
      <c r="A2961" s="1">
        <v>145.0</v>
      </c>
      <c r="B2961" s="1">
        <v>33.0</v>
      </c>
      <c r="C2961" s="1">
        <v>10.0</v>
      </c>
      <c r="D2961" s="1">
        <v>12.0</v>
      </c>
      <c r="F2961" s="1" t="str">
        <f>LOOKUP(A2961, NPCs!A:A, NPCs!C:C)</f>
        <v>Giant Wraith</v>
      </c>
      <c r="G2961" s="1" t="str">
        <f>LOOKUP(B2961, Maps!A:A, Maps!B:B)</f>
        <v>The Passing</v>
      </c>
    </row>
    <row r="2962" ht="15.75" customHeight="1">
      <c r="A2962" s="1">
        <v>145.0</v>
      </c>
      <c r="B2962" s="1">
        <v>33.0</v>
      </c>
      <c r="C2962" s="1">
        <v>10.0</v>
      </c>
      <c r="D2962" s="1">
        <v>19.0</v>
      </c>
      <c r="F2962" s="1" t="str">
        <f>LOOKUP(A2962, NPCs!A:A, NPCs!C:C)</f>
        <v>Giant Wraith</v>
      </c>
      <c r="G2962" s="1" t="str">
        <f>LOOKUP(B2962, Maps!A:A, Maps!B:B)</f>
        <v>The Passing</v>
      </c>
    </row>
    <row r="2963" ht="15.75" customHeight="1">
      <c r="A2963" s="1">
        <v>145.0</v>
      </c>
      <c r="B2963" s="1">
        <v>33.0</v>
      </c>
      <c r="C2963" s="1">
        <v>4.0</v>
      </c>
      <c r="D2963" s="1">
        <v>19.0</v>
      </c>
      <c r="F2963" s="1" t="str">
        <f>LOOKUP(A2963, NPCs!A:A, NPCs!C:C)</f>
        <v>Giant Wraith</v>
      </c>
      <c r="G2963" s="1" t="str">
        <f>LOOKUP(B2963, Maps!A:A, Maps!B:B)</f>
        <v>The Passing</v>
      </c>
    </row>
    <row r="2964" ht="15.75" customHeight="1">
      <c r="A2964" s="1">
        <v>145.0</v>
      </c>
      <c r="B2964" s="1">
        <v>33.0</v>
      </c>
      <c r="C2964" s="1">
        <v>6.0</v>
      </c>
      <c r="D2964" s="1">
        <v>26.0</v>
      </c>
      <c r="F2964" s="1" t="str">
        <f>LOOKUP(A2964, NPCs!A:A, NPCs!C:C)</f>
        <v>Giant Wraith</v>
      </c>
      <c r="G2964" s="1" t="str">
        <f>LOOKUP(B2964, Maps!A:A, Maps!B:B)</f>
        <v>The Passing</v>
      </c>
    </row>
    <row r="2965" ht="15.75" customHeight="1">
      <c r="A2965" s="1">
        <v>145.0</v>
      </c>
      <c r="B2965" s="1">
        <v>33.0</v>
      </c>
      <c r="C2965" s="1">
        <v>10.0</v>
      </c>
      <c r="D2965" s="1">
        <v>26.0</v>
      </c>
      <c r="F2965" s="1" t="str">
        <f>LOOKUP(A2965, NPCs!A:A, NPCs!C:C)</f>
        <v>Giant Wraith</v>
      </c>
      <c r="G2965" s="1" t="str">
        <f>LOOKUP(B2965, Maps!A:A, Maps!B:B)</f>
        <v>The Passing</v>
      </c>
    </row>
    <row r="2966" ht="15.75" customHeight="1">
      <c r="A2966" s="1">
        <v>145.0</v>
      </c>
      <c r="B2966" s="1">
        <v>33.0</v>
      </c>
      <c r="C2966" s="1">
        <v>8.0</v>
      </c>
      <c r="D2966" s="1">
        <v>28.0</v>
      </c>
      <c r="F2966" s="1" t="str">
        <f>LOOKUP(A2966, NPCs!A:A, NPCs!C:C)</f>
        <v>Giant Wraith</v>
      </c>
      <c r="G2966" s="1" t="str">
        <f>LOOKUP(B2966, Maps!A:A, Maps!B:B)</f>
        <v>The Passing</v>
      </c>
    </row>
    <row r="2967" ht="15.75" customHeight="1">
      <c r="A2967" s="1">
        <v>145.0</v>
      </c>
      <c r="B2967" s="1">
        <v>33.0</v>
      </c>
      <c r="C2967" s="1">
        <v>14.0</v>
      </c>
      <c r="D2967" s="1">
        <v>19.0</v>
      </c>
      <c r="F2967" s="1" t="str">
        <f>LOOKUP(A2967, NPCs!A:A, NPCs!C:C)</f>
        <v>Giant Wraith</v>
      </c>
      <c r="G2967" s="1" t="str">
        <f>LOOKUP(B2967, Maps!A:A, Maps!B:B)</f>
        <v>The Passing</v>
      </c>
    </row>
    <row r="2968" ht="15.75" customHeight="1">
      <c r="A2968" s="1">
        <v>145.0</v>
      </c>
      <c r="B2968" s="1">
        <v>33.0</v>
      </c>
      <c r="C2968" s="1">
        <v>12.0</v>
      </c>
      <c r="D2968" s="1">
        <v>32.0</v>
      </c>
      <c r="F2968" s="1" t="str">
        <f>LOOKUP(A2968, NPCs!A:A, NPCs!C:C)</f>
        <v>Giant Wraith</v>
      </c>
      <c r="G2968" s="1" t="str">
        <f>LOOKUP(B2968, Maps!A:A, Maps!B:B)</f>
        <v>The Passing</v>
      </c>
    </row>
    <row r="2969" ht="15.75" customHeight="1">
      <c r="A2969" s="1">
        <v>145.0</v>
      </c>
      <c r="B2969" s="1">
        <v>33.0</v>
      </c>
      <c r="C2969" s="1">
        <v>19.0</v>
      </c>
      <c r="D2969" s="1">
        <v>36.0</v>
      </c>
      <c r="F2969" s="1" t="str">
        <f>LOOKUP(A2969, NPCs!A:A, NPCs!C:C)</f>
        <v>Giant Wraith</v>
      </c>
      <c r="G2969" s="1" t="str">
        <f>LOOKUP(B2969, Maps!A:A, Maps!B:B)</f>
        <v>The Passing</v>
      </c>
    </row>
    <row r="2970" ht="15.75" customHeight="1">
      <c r="A2970" s="1">
        <v>145.0</v>
      </c>
      <c r="B2970" s="1">
        <v>33.0</v>
      </c>
      <c r="C2970" s="1">
        <v>14.0</v>
      </c>
      <c r="D2970" s="1">
        <v>40.0</v>
      </c>
      <c r="F2970" s="1" t="str">
        <f>LOOKUP(A2970, NPCs!A:A, NPCs!C:C)</f>
        <v>Giant Wraith</v>
      </c>
      <c r="G2970" s="1" t="str">
        <f>LOOKUP(B2970, Maps!A:A, Maps!B:B)</f>
        <v>The Passing</v>
      </c>
    </row>
    <row r="2971" ht="15.75" customHeight="1">
      <c r="A2971" s="1">
        <v>145.0</v>
      </c>
      <c r="B2971" s="1">
        <v>33.0</v>
      </c>
      <c r="C2971" s="1">
        <v>12.0</v>
      </c>
      <c r="D2971" s="1">
        <v>40.0</v>
      </c>
      <c r="F2971" s="1" t="str">
        <f>LOOKUP(A2971, NPCs!A:A, NPCs!C:C)</f>
        <v>Giant Wraith</v>
      </c>
      <c r="G2971" s="1" t="str">
        <f>LOOKUP(B2971, Maps!A:A, Maps!B:B)</f>
        <v>The Passing</v>
      </c>
    </row>
    <row r="2972" ht="15.75" customHeight="1">
      <c r="A2972" s="1">
        <v>145.0</v>
      </c>
      <c r="B2972" s="1">
        <v>33.0</v>
      </c>
      <c r="C2972" s="1">
        <v>8.0</v>
      </c>
      <c r="D2972" s="1">
        <v>36.0</v>
      </c>
      <c r="F2972" s="1" t="str">
        <f>LOOKUP(A2972, NPCs!A:A, NPCs!C:C)</f>
        <v>Giant Wraith</v>
      </c>
      <c r="G2972" s="1" t="str">
        <f>LOOKUP(B2972, Maps!A:A, Maps!B:B)</f>
        <v>The Passing</v>
      </c>
    </row>
    <row r="2973" ht="15.75" customHeight="1">
      <c r="A2973" s="1">
        <v>145.0</v>
      </c>
      <c r="B2973" s="1">
        <v>33.0</v>
      </c>
      <c r="C2973" s="1">
        <v>4.0</v>
      </c>
      <c r="D2973" s="1">
        <v>40.0</v>
      </c>
      <c r="F2973" s="1" t="str">
        <f>LOOKUP(A2973, NPCs!A:A, NPCs!C:C)</f>
        <v>Giant Wraith</v>
      </c>
      <c r="G2973" s="1" t="str">
        <f>LOOKUP(B2973, Maps!A:A, Maps!B:B)</f>
        <v>The Passing</v>
      </c>
    </row>
    <row r="2974" ht="15.75" customHeight="1">
      <c r="A2974" s="1">
        <v>145.0</v>
      </c>
      <c r="B2974" s="1">
        <v>33.0</v>
      </c>
      <c r="C2974" s="1">
        <v>2.0</v>
      </c>
      <c r="D2974" s="1">
        <v>40.0</v>
      </c>
      <c r="F2974" s="1" t="str">
        <f>LOOKUP(A2974, NPCs!A:A, NPCs!C:C)</f>
        <v>Giant Wraith</v>
      </c>
      <c r="G2974" s="1" t="str">
        <f>LOOKUP(B2974, Maps!A:A, Maps!B:B)</f>
        <v>The Passing</v>
      </c>
    </row>
    <row r="2975" ht="15.75" customHeight="1">
      <c r="A2975" s="1">
        <v>145.0</v>
      </c>
      <c r="B2975" s="1">
        <v>33.0</v>
      </c>
      <c r="C2975" s="1">
        <v>4.0</v>
      </c>
      <c r="D2975" s="1">
        <v>32.0</v>
      </c>
      <c r="F2975" s="1" t="str">
        <f>LOOKUP(A2975, NPCs!A:A, NPCs!C:C)</f>
        <v>Giant Wraith</v>
      </c>
      <c r="G2975" s="1" t="str">
        <f>LOOKUP(B2975, Maps!A:A, Maps!B:B)</f>
        <v>The Passing</v>
      </c>
    </row>
    <row r="2976" ht="15.75" customHeight="1">
      <c r="A2976" s="1">
        <v>145.0</v>
      </c>
      <c r="B2976" s="1">
        <v>33.0</v>
      </c>
      <c r="C2976" s="1">
        <v>9.0</v>
      </c>
      <c r="D2976" s="1">
        <v>47.0</v>
      </c>
      <c r="F2976" s="1" t="str">
        <f>LOOKUP(A2976, NPCs!A:A, NPCs!C:C)</f>
        <v>Giant Wraith</v>
      </c>
      <c r="G2976" s="1" t="str">
        <f>LOOKUP(B2976, Maps!A:A, Maps!B:B)</f>
        <v>The Passing</v>
      </c>
    </row>
    <row r="2977" ht="15.75" customHeight="1">
      <c r="A2977" s="1">
        <v>145.0</v>
      </c>
      <c r="B2977" s="1">
        <v>33.0</v>
      </c>
      <c r="C2977" s="1">
        <v>4.0</v>
      </c>
      <c r="D2977" s="1">
        <v>47.0</v>
      </c>
      <c r="F2977" s="1" t="str">
        <f>LOOKUP(A2977, NPCs!A:A, NPCs!C:C)</f>
        <v>Giant Wraith</v>
      </c>
      <c r="G2977" s="1" t="str">
        <f>LOOKUP(B2977, Maps!A:A, Maps!B:B)</f>
        <v>The Passing</v>
      </c>
    </row>
    <row r="2978" ht="15.75" customHeight="1">
      <c r="A2978" s="1">
        <v>145.0</v>
      </c>
      <c r="B2978" s="1">
        <v>33.0</v>
      </c>
      <c r="C2978" s="1">
        <v>4.0</v>
      </c>
      <c r="D2978" s="1">
        <v>54.0</v>
      </c>
      <c r="F2978" s="1" t="str">
        <f>LOOKUP(A2978, NPCs!A:A, NPCs!C:C)</f>
        <v>Giant Wraith</v>
      </c>
      <c r="G2978" s="1" t="str">
        <f>LOOKUP(B2978, Maps!A:A, Maps!B:B)</f>
        <v>The Passing</v>
      </c>
    </row>
    <row r="2979" ht="15.75" customHeight="1">
      <c r="A2979" s="1">
        <v>145.0</v>
      </c>
      <c r="B2979" s="1">
        <v>33.0</v>
      </c>
      <c r="C2979" s="1">
        <v>9.0</v>
      </c>
      <c r="D2979" s="1">
        <v>54.0</v>
      </c>
      <c r="F2979" s="1" t="str">
        <f>LOOKUP(A2979, NPCs!A:A, NPCs!C:C)</f>
        <v>Giant Wraith</v>
      </c>
      <c r="G2979" s="1" t="str">
        <f>LOOKUP(B2979, Maps!A:A, Maps!B:B)</f>
        <v>The Passing</v>
      </c>
    </row>
    <row r="2980" ht="15.75" customHeight="1">
      <c r="A2980" s="1">
        <v>145.0</v>
      </c>
      <c r="B2980" s="1">
        <v>33.0</v>
      </c>
      <c r="C2980" s="1">
        <v>16.0</v>
      </c>
      <c r="D2980" s="1">
        <v>46.0</v>
      </c>
      <c r="F2980" s="1" t="str">
        <f>LOOKUP(A2980, NPCs!A:A, NPCs!C:C)</f>
        <v>Giant Wraith</v>
      </c>
      <c r="G2980" s="1" t="str">
        <f>LOOKUP(B2980, Maps!A:A, Maps!B:B)</f>
        <v>The Passing</v>
      </c>
    </row>
    <row r="2981" ht="15.75" customHeight="1">
      <c r="A2981" s="1">
        <v>145.0</v>
      </c>
      <c r="B2981" s="1">
        <v>33.0</v>
      </c>
      <c r="C2981" s="1">
        <v>22.0</v>
      </c>
      <c r="D2981" s="1">
        <v>46.0</v>
      </c>
      <c r="F2981" s="1" t="str">
        <f>LOOKUP(A2981, NPCs!A:A, NPCs!C:C)</f>
        <v>Giant Wraith</v>
      </c>
      <c r="G2981" s="1" t="str">
        <f>LOOKUP(B2981, Maps!A:A, Maps!B:B)</f>
        <v>The Passing</v>
      </c>
    </row>
    <row r="2982" ht="15.75" customHeight="1">
      <c r="A2982" s="1">
        <v>145.0</v>
      </c>
      <c r="B2982" s="1">
        <v>33.0</v>
      </c>
      <c r="C2982" s="1">
        <v>27.0</v>
      </c>
      <c r="D2982" s="1">
        <v>46.0</v>
      </c>
      <c r="F2982" s="1" t="str">
        <f>LOOKUP(A2982, NPCs!A:A, NPCs!C:C)</f>
        <v>Giant Wraith</v>
      </c>
      <c r="G2982" s="1" t="str">
        <f>LOOKUP(B2982, Maps!A:A, Maps!B:B)</f>
        <v>The Passing</v>
      </c>
    </row>
    <row r="2983" ht="15.75" customHeight="1">
      <c r="A2983" s="1">
        <v>145.0</v>
      </c>
      <c r="B2983" s="1">
        <v>33.0</v>
      </c>
      <c r="C2983" s="1">
        <v>33.0</v>
      </c>
      <c r="D2983" s="1">
        <v>46.0</v>
      </c>
      <c r="F2983" s="1" t="str">
        <f>LOOKUP(A2983, NPCs!A:A, NPCs!C:C)</f>
        <v>Giant Wraith</v>
      </c>
      <c r="G2983" s="1" t="str">
        <f>LOOKUP(B2983, Maps!A:A, Maps!B:B)</f>
        <v>The Passing</v>
      </c>
    </row>
    <row r="2984" ht="15.75" customHeight="1">
      <c r="A2984" s="1">
        <v>145.0</v>
      </c>
      <c r="B2984" s="1">
        <v>33.0</v>
      </c>
      <c r="C2984" s="1">
        <v>32.0</v>
      </c>
      <c r="D2984" s="1">
        <v>54.0</v>
      </c>
      <c r="F2984" s="1" t="str">
        <f>LOOKUP(A2984, NPCs!A:A, NPCs!C:C)</f>
        <v>Giant Wraith</v>
      </c>
      <c r="G2984" s="1" t="str">
        <f>LOOKUP(B2984, Maps!A:A, Maps!B:B)</f>
        <v>The Passing</v>
      </c>
    </row>
    <row r="2985" ht="15.75" customHeight="1">
      <c r="A2985" s="1">
        <v>145.0</v>
      </c>
      <c r="B2985" s="1">
        <v>33.0</v>
      </c>
      <c r="C2985" s="1">
        <v>24.0</v>
      </c>
      <c r="D2985" s="1">
        <v>54.0</v>
      </c>
      <c r="F2985" s="1" t="str">
        <f>LOOKUP(A2985, NPCs!A:A, NPCs!C:C)</f>
        <v>Giant Wraith</v>
      </c>
      <c r="G2985" s="1" t="str">
        <f>LOOKUP(B2985, Maps!A:A, Maps!B:B)</f>
        <v>The Passing</v>
      </c>
    </row>
    <row r="2986" ht="15.75" customHeight="1">
      <c r="A2986" s="1">
        <v>145.0</v>
      </c>
      <c r="B2986" s="1">
        <v>33.0</v>
      </c>
      <c r="C2986" s="1">
        <v>25.0</v>
      </c>
      <c r="D2986" s="1">
        <v>50.0</v>
      </c>
      <c r="F2986" s="1" t="str">
        <f>LOOKUP(A2986, NPCs!A:A, NPCs!C:C)</f>
        <v>Giant Wraith</v>
      </c>
      <c r="G2986" s="1" t="str">
        <f>LOOKUP(B2986, Maps!A:A, Maps!B:B)</f>
        <v>The Passing</v>
      </c>
    </row>
    <row r="2987" ht="15.75" customHeight="1">
      <c r="A2987" s="1">
        <v>145.0</v>
      </c>
      <c r="B2987" s="1">
        <v>33.0</v>
      </c>
      <c r="C2987" s="1">
        <v>18.0</v>
      </c>
      <c r="D2987" s="1">
        <v>50.0</v>
      </c>
      <c r="F2987" s="1" t="str">
        <f>LOOKUP(A2987, NPCs!A:A, NPCs!C:C)</f>
        <v>Giant Wraith</v>
      </c>
      <c r="G2987" s="1" t="str">
        <f>LOOKUP(B2987, Maps!A:A, Maps!B:B)</f>
        <v>The Passing</v>
      </c>
    </row>
    <row r="2988" ht="15.75" customHeight="1">
      <c r="A2988" s="1">
        <v>145.0</v>
      </c>
      <c r="B2988" s="1">
        <v>33.0</v>
      </c>
      <c r="C2988" s="1">
        <v>15.0</v>
      </c>
      <c r="D2988" s="1">
        <v>56.0</v>
      </c>
      <c r="F2988" s="1" t="str">
        <f>LOOKUP(A2988, NPCs!A:A, NPCs!C:C)</f>
        <v>Giant Wraith</v>
      </c>
      <c r="G2988" s="1" t="str">
        <f>LOOKUP(B2988, Maps!A:A, Maps!B:B)</f>
        <v>The Passing</v>
      </c>
    </row>
    <row r="2989" ht="15.75" customHeight="1">
      <c r="A2989" s="1">
        <v>145.0</v>
      </c>
      <c r="B2989" s="1">
        <v>33.0</v>
      </c>
      <c r="C2989" s="1">
        <v>15.0</v>
      </c>
      <c r="D2989" s="1">
        <v>61.0</v>
      </c>
      <c r="F2989" s="1" t="str">
        <f>LOOKUP(A2989, NPCs!A:A, NPCs!C:C)</f>
        <v>Giant Wraith</v>
      </c>
      <c r="G2989" s="1" t="str">
        <f>LOOKUP(B2989, Maps!A:A, Maps!B:B)</f>
        <v>The Passing</v>
      </c>
    </row>
    <row r="2990" ht="15.75" customHeight="1">
      <c r="A2990" s="1">
        <v>145.0</v>
      </c>
      <c r="B2990" s="1">
        <v>33.0</v>
      </c>
      <c r="C2990" s="1">
        <v>7.0</v>
      </c>
      <c r="D2990" s="1">
        <v>59.0</v>
      </c>
      <c r="F2990" s="1" t="str">
        <f>LOOKUP(A2990, NPCs!A:A, NPCs!C:C)</f>
        <v>Giant Wraith</v>
      </c>
      <c r="G2990" s="1" t="str">
        <f>LOOKUP(B2990, Maps!A:A, Maps!B:B)</f>
        <v>The Passing</v>
      </c>
    </row>
    <row r="2991" ht="15.75" customHeight="1">
      <c r="A2991" s="1">
        <v>145.0</v>
      </c>
      <c r="B2991" s="1">
        <v>33.0</v>
      </c>
      <c r="C2991" s="1">
        <v>6.0</v>
      </c>
      <c r="D2991" s="1">
        <v>59.0</v>
      </c>
      <c r="F2991" s="1" t="str">
        <f>LOOKUP(A2991, NPCs!A:A, NPCs!C:C)</f>
        <v>Giant Wraith</v>
      </c>
      <c r="G2991" s="1" t="str">
        <f>LOOKUP(B2991, Maps!A:A, Maps!B:B)</f>
        <v>The Passing</v>
      </c>
    </row>
    <row r="2992" ht="15.75" customHeight="1">
      <c r="A2992" s="1">
        <v>145.0</v>
      </c>
      <c r="B2992" s="1">
        <v>33.0</v>
      </c>
      <c r="C2992" s="1">
        <v>6.0</v>
      </c>
      <c r="D2992" s="1">
        <v>60.0</v>
      </c>
      <c r="F2992" s="1" t="str">
        <f>LOOKUP(A2992, NPCs!A:A, NPCs!C:C)</f>
        <v>Giant Wraith</v>
      </c>
      <c r="G2992" s="1" t="str">
        <f>LOOKUP(B2992, Maps!A:A, Maps!B:B)</f>
        <v>The Passing</v>
      </c>
    </row>
    <row r="2993" ht="15.75" customHeight="1">
      <c r="A2993" s="1">
        <v>145.0</v>
      </c>
      <c r="B2993" s="1">
        <v>33.0</v>
      </c>
      <c r="C2993" s="1">
        <v>7.0</v>
      </c>
      <c r="D2993" s="1">
        <v>60.0</v>
      </c>
      <c r="F2993" s="1" t="str">
        <f>LOOKUP(A2993, NPCs!A:A, NPCs!C:C)</f>
        <v>Giant Wraith</v>
      </c>
      <c r="G2993" s="1" t="str">
        <f>LOOKUP(B2993, Maps!A:A, Maps!B:B)</f>
        <v>The Passing</v>
      </c>
    </row>
    <row r="2994" ht="15.75" customHeight="1">
      <c r="A2994" s="1">
        <v>145.0</v>
      </c>
      <c r="B2994" s="1">
        <v>33.0</v>
      </c>
      <c r="C2994" s="1">
        <v>24.0</v>
      </c>
      <c r="D2994" s="1">
        <v>59.0</v>
      </c>
      <c r="F2994" s="1" t="str">
        <f>LOOKUP(A2994, NPCs!A:A, NPCs!C:C)</f>
        <v>Giant Wraith</v>
      </c>
      <c r="G2994" s="1" t="str">
        <f>LOOKUP(B2994, Maps!A:A, Maps!B:B)</f>
        <v>The Passing</v>
      </c>
    </row>
    <row r="2995" ht="15.75" customHeight="1">
      <c r="A2995" s="1">
        <v>145.0</v>
      </c>
      <c r="B2995" s="1">
        <v>33.0</v>
      </c>
      <c r="C2995" s="1">
        <v>25.0</v>
      </c>
      <c r="D2995" s="1">
        <v>59.0</v>
      </c>
      <c r="F2995" s="1" t="str">
        <f>LOOKUP(A2995, NPCs!A:A, NPCs!C:C)</f>
        <v>Giant Wraith</v>
      </c>
      <c r="G2995" s="1" t="str">
        <f>LOOKUP(B2995, Maps!A:A, Maps!B:B)</f>
        <v>The Passing</v>
      </c>
    </row>
    <row r="2996" ht="15.75" customHeight="1">
      <c r="A2996" s="1">
        <v>145.0</v>
      </c>
      <c r="B2996" s="1">
        <v>33.0</v>
      </c>
      <c r="C2996" s="1">
        <v>32.0</v>
      </c>
      <c r="D2996" s="1">
        <v>59.0</v>
      </c>
      <c r="F2996" s="1" t="str">
        <f>LOOKUP(A2996, NPCs!A:A, NPCs!C:C)</f>
        <v>Giant Wraith</v>
      </c>
      <c r="G2996" s="1" t="str">
        <f>LOOKUP(B2996, Maps!A:A, Maps!B:B)</f>
        <v>The Passing</v>
      </c>
    </row>
    <row r="2997" ht="15.75" customHeight="1">
      <c r="A2997" s="1">
        <v>145.0</v>
      </c>
      <c r="B2997" s="1">
        <v>33.0</v>
      </c>
      <c r="C2997" s="1">
        <v>40.0</v>
      </c>
      <c r="D2997" s="1">
        <v>59.0</v>
      </c>
      <c r="F2997" s="1" t="str">
        <f>LOOKUP(A2997, NPCs!A:A, NPCs!C:C)</f>
        <v>Giant Wraith</v>
      </c>
      <c r="G2997" s="1" t="str">
        <f>LOOKUP(B2997, Maps!A:A, Maps!B:B)</f>
        <v>The Passing</v>
      </c>
    </row>
    <row r="2998" ht="15.75" customHeight="1">
      <c r="A2998" s="1">
        <v>145.0</v>
      </c>
      <c r="B2998" s="1">
        <v>33.0</v>
      </c>
      <c r="C2998" s="1">
        <v>36.0</v>
      </c>
      <c r="D2998" s="1">
        <v>62.0</v>
      </c>
      <c r="F2998" s="1" t="str">
        <f>LOOKUP(A2998, NPCs!A:A, NPCs!C:C)</f>
        <v>Giant Wraith</v>
      </c>
      <c r="G2998" s="1" t="str">
        <f>LOOKUP(B2998, Maps!A:A, Maps!B:B)</f>
        <v>The Passing</v>
      </c>
    </row>
    <row r="2999" ht="15.75" customHeight="1">
      <c r="A2999" s="1">
        <v>145.0</v>
      </c>
      <c r="B2999" s="1">
        <v>33.0</v>
      </c>
      <c r="C2999" s="1">
        <v>32.0</v>
      </c>
      <c r="D2999" s="1">
        <v>65.0</v>
      </c>
      <c r="F2999" s="1" t="str">
        <f>LOOKUP(A2999, NPCs!A:A, NPCs!C:C)</f>
        <v>Giant Wraith</v>
      </c>
      <c r="G2999" s="1" t="str">
        <f>LOOKUP(B2999, Maps!A:A, Maps!B:B)</f>
        <v>The Passing</v>
      </c>
    </row>
    <row r="3000" ht="15.75" customHeight="1">
      <c r="A3000" s="1">
        <v>145.0</v>
      </c>
      <c r="B3000" s="1">
        <v>33.0</v>
      </c>
      <c r="C3000" s="1">
        <v>36.0</v>
      </c>
      <c r="D3000" s="1">
        <v>65.0</v>
      </c>
      <c r="F3000" s="1" t="str">
        <f>LOOKUP(A3000, NPCs!A:A, NPCs!C:C)</f>
        <v>Giant Wraith</v>
      </c>
      <c r="G3000" s="1" t="str">
        <f>LOOKUP(B3000, Maps!A:A, Maps!B:B)</f>
        <v>The Passing</v>
      </c>
    </row>
    <row r="3001" ht="15.75" customHeight="1">
      <c r="A3001" s="1">
        <v>145.0</v>
      </c>
      <c r="B3001" s="1">
        <v>33.0</v>
      </c>
      <c r="C3001" s="1">
        <v>40.0</v>
      </c>
      <c r="D3001" s="1">
        <v>65.0</v>
      </c>
      <c r="F3001" s="1" t="str">
        <f>LOOKUP(A3001, NPCs!A:A, NPCs!C:C)</f>
        <v>Giant Wraith</v>
      </c>
      <c r="G3001" s="1" t="str">
        <f>LOOKUP(B3001, Maps!A:A, Maps!B:B)</f>
        <v>The Passing</v>
      </c>
    </row>
    <row r="3002" ht="15.75" customHeight="1">
      <c r="A3002" s="1">
        <v>145.0</v>
      </c>
      <c r="B3002" s="1">
        <v>33.0</v>
      </c>
      <c r="C3002" s="1">
        <v>41.0</v>
      </c>
      <c r="D3002" s="1">
        <v>70.0</v>
      </c>
      <c r="F3002" s="1" t="str">
        <f>LOOKUP(A3002, NPCs!A:A, NPCs!C:C)</f>
        <v>Giant Wraith</v>
      </c>
      <c r="G3002" s="1" t="str">
        <f>LOOKUP(B3002, Maps!A:A, Maps!B:B)</f>
        <v>The Passing</v>
      </c>
    </row>
    <row r="3003" ht="15.75" customHeight="1">
      <c r="A3003" s="1">
        <v>145.0</v>
      </c>
      <c r="B3003" s="1">
        <v>33.0</v>
      </c>
      <c r="C3003" s="1">
        <v>32.0</v>
      </c>
      <c r="D3003" s="1">
        <v>70.0</v>
      </c>
      <c r="F3003" s="1" t="str">
        <f>LOOKUP(A3003, NPCs!A:A, NPCs!C:C)</f>
        <v>Giant Wraith</v>
      </c>
      <c r="G3003" s="1" t="str">
        <f>LOOKUP(B3003, Maps!A:A, Maps!B:B)</f>
        <v>The Passing</v>
      </c>
    </row>
    <row r="3004" ht="15.75" customHeight="1">
      <c r="A3004" s="1">
        <v>145.0</v>
      </c>
      <c r="B3004" s="1">
        <v>33.0</v>
      </c>
      <c r="C3004" s="1">
        <v>26.0</v>
      </c>
      <c r="D3004" s="1">
        <v>67.0</v>
      </c>
      <c r="F3004" s="1" t="str">
        <f>LOOKUP(A3004, NPCs!A:A, NPCs!C:C)</f>
        <v>Giant Wraith</v>
      </c>
      <c r="G3004" s="1" t="str">
        <f>LOOKUP(B3004, Maps!A:A, Maps!B:B)</f>
        <v>The Passing</v>
      </c>
    </row>
    <row r="3005" ht="15.75" customHeight="1">
      <c r="A3005" s="1">
        <v>145.0</v>
      </c>
      <c r="B3005" s="1">
        <v>33.0</v>
      </c>
      <c r="C3005" s="1">
        <v>22.0</v>
      </c>
      <c r="D3005" s="1">
        <v>67.0</v>
      </c>
      <c r="F3005" s="1" t="str">
        <f>LOOKUP(A3005, NPCs!A:A, NPCs!C:C)</f>
        <v>Giant Wraith</v>
      </c>
      <c r="G3005" s="1" t="str">
        <f>LOOKUP(B3005, Maps!A:A, Maps!B:B)</f>
        <v>The Passing</v>
      </c>
    </row>
    <row r="3006" ht="15.75" customHeight="1">
      <c r="A3006" s="1">
        <v>145.0</v>
      </c>
      <c r="B3006" s="1">
        <v>33.0</v>
      </c>
      <c r="C3006" s="1">
        <v>18.0</v>
      </c>
      <c r="D3006" s="1">
        <v>67.0</v>
      </c>
      <c r="F3006" s="1" t="str">
        <f>LOOKUP(A3006, NPCs!A:A, NPCs!C:C)</f>
        <v>Giant Wraith</v>
      </c>
      <c r="G3006" s="1" t="str">
        <f>LOOKUP(B3006, Maps!A:A, Maps!B:B)</f>
        <v>The Passing</v>
      </c>
    </row>
    <row r="3007" ht="15.75" customHeight="1">
      <c r="A3007" s="1">
        <v>145.0</v>
      </c>
      <c r="B3007" s="1">
        <v>33.0</v>
      </c>
      <c r="C3007" s="1">
        <v>12.0</v>
      </c>
      <c r="D3007" s="1">
        <v>67.0</v>
      </c>
      <c r="F3007" s="1" t="str">
        <f>LOOKUP(A3007, NPCs!A:A, NPCs!C:C)</f>
        <v>Giant Wraith</v>
      </c>
      <c r="G3007" s="1" t="str">
        <f>LOOKUP(B3007, Maps!A:A, Maps!B:B)</f>
        <v>The Passing</v>
      </c>
    </row>
    <row r="3008" ht="15.75" customHeight="1">
      <c r="A3008" s="1">
        <v>145.0</v>
      </c>
      <c r="B3008" s="1">
        <v>33.0</v>
      </c>
      <c r="C3008" s="1">
        <v>5.0</v>
      </c>
      <c r="D3008" s="1">
        <v>67.0</v>
      </c>
      <c r="F3008" s="1" t="str">
        <f>LOOKUP(A3008, NPCs!A:A, NPCs!C:C)</f>
        <v>Giant Wraith</v>
      </c>
      <c r="G3008" s="1" t="str">
        <f>LOOKUP(B3008, Maps!A:A, Maps!B:B)</f>
        <v>The Passing</v>
      </c>
    </row>
    <row r="3009" ht="15.75" customHeight="1">
      <c r="A3009" s="1">
        <v>145.0</v>
      </c>
      <c r="B3009" s="1">
        <v>33.0</v>
      </c>
      <c r="C3009" s="1">
        <v>10.0</v>
      </c>
      <c r="D3009" s="1">
        <v>71.0</v>
      </c>
      <c r="F3009" s="1" t="str">
        <f>LOOKUP(A3009, NPCs!A:A, NPCs!C:C)</f>
        <v>Giant Wraith</v>
      </c>
      <c r="G3009" s="1" t="str">
        <f>LOOKUP(B3009, Maps!A:A, Maps!B:B)</f>
        <v>The Passing</v>
      </c>
    </row>
    <row r="3010" ht="15.75" customHeight="1">
      <c r="A3010" s="1">
        <v>145.0</v>
      </c>
      <c r="B3010" s="1">
        <v>33.0</v>
      </c>
      <c r="C3010" s="1">
        <v>12.0</v>
      </c>
      <c r="D3010" s="1">
        <v>71.0</v>
      </c>
      <c r="F3010" s="1" t="str">
        <f>LOOKUP(A3010, NPCs!A:A, NPCs!C:C)</f>
        <v>Giant Wraith</v>
      </c>
      <c r="G3010" s="1" t="str">
        <f>LOOKUP(B3010, Maps!A:A, Maps!B:B)</f>
        <v>The Passing</v>
      </c>
    </row>
    <row r="3011" ht="15.75" customHeight="1">
      <c r="A3011" s="1">
        <v>145.0</v>
      </c>
      <c r="B3011" s="1">
        <v>33.0</v>
      </c>
      <c r="C3011" s="1">
        <v>9.0</v>
      </c>
      <c r="D3011" s="1">
        <v>76.0</v>
      </c>
      <c r="F3011" s="1" t="str">
        <f>LOOKUP(A3011, NPCs!A:A, NPCs!C:C)</f>
        <v>Giant Wraith</v>
      </c>
      <c r="G3011" s="1" t="str">
        <f>LOOKUP(B3011, Maps!A:A, Maps!B:B)</f>
        <v>The Passing</v>
      </c>
    </row>
    <row r="3012" ht="15.75" customHeight="1">
      <c r="A3012" s="1">
        <v>145.0</v>
      </c>
      <c r="B3012" s="1">
        <v>33.0</v>
      </c>
      <c r="C3012" s="1">
        <v>3.0</v>
      </c>
      <c r="D3012" s="1">
        <v>75.0</v>
      </c>
      <c r="F3012" s="1" t="str">
        <f>LOOKUP(A3012, NPCs!A:A, NPCs!C:C)</f>
        <v>Giant Wraith</v>
      </c>
      <c r="G3012" s="1" t="str">
        <f>LOOKUP(B3012, Maps!A:A, Maps!B:B)</f>
        <v>The Passing</v>
      </c>
    </row>
    <row r="3013" ht="15.75" customHeight="1">
      <c r="A3013" s="1">
        <v>145.0</v>
      </c>
      <c r="B3013" s="1">
        <v>33.0</v>
      </c>
      <c r="C3013" s="1">
        <v>9.0</v>
      </c>
      <c r="D3013" s="1">
        <v>81.0</v>
      </c>
      <c r="F3013" s="1" t="str">
        <f>LOOKUP(A3013, NPCs!A:A, NPCs!C:C)</f>
        <v>Giant Wraith</v>
      </c>
      <c r="G3013" s="1" t="str">
        <f>LOOKUP(B3013, Maps!A:A, Maps!B:B)</f>
        <v>The Passing</v>
      </c>
    </row>
    <row r="3014" ht="15.75" customHeight="1">
      <c r="A3014" s="1">
        <v>145.0</v>
      </c>
      <c r="B3014" s="1">
        <v>33.0</v>
      </c>
      <c r="C3014" s="1">
        <v>4.0</v>
      </c>
      <c r="D3014" s="1">
        <v>86.0</v>
      </c>
      <c r="F3014" s="1" t="str">
        <f>LOOKUP(A3014, NPCs!A:A, NPCs!C:C)</f>
        <v>Giant Wraith</v>
      </c>
      <c r="G3014" s="1" t="str">
        <f>LOOKUP(B3014, Maps!A:A, Maps!B:B)</f>
        <v>The Passing</v>
      </c>
    </row>
    <row r="3015" ht="15.75" customHeight="1">
      <c r="A3015" s="1">
        <v>145.0</v>
      </c>
      <c r="B3015" s="1">
        <v>33.0</v>
      </c>
      <c r="C3015" s="1">
        <v>13.0</v>
      </c>
      <c r="D3015" s="1">
        <v>87.0</v>
      </c>
      <c r="F3015" s="1" t="str">
        <f>LOOKUP(A3015, NPCs!A:A, NPCs!C:C)</f>
        <v>Giant Wraith</v>
      </c>
      <c r="G3015" s="1" t="str">
        <f>LOOKUP(B3015, Maps!A:A, Maps!B:B)</f>
        <v>The Passing</v>
      </c>
    </row>
    <row r="3016" ht="15.75" customHeight="1">
      <c r="A3016" s="1">
        <v>145.0</v>
      </c>
      <c r="B3016" s="1">
        <v>33.0</v>
      </c>
      <c r="C3016" s="1">
        <v>16.0</v>
      </c>
      <c r="D3016" s="1">
        <v>91.0</v>
      </c>
      <c r="F3016" s="1" t="str">
        <f>LOOKUP(A3016, NPCs!A:A, NPCs!C:C)</f>
        <v>Giant Wraith</v>
      </c>
      <c r="G3016" s="1" t="str">
        <f>LOOKUP(B3016, Maps!A:A, Maps!B:B)</f>
        <v>The Passing</v>
      </c>
    </row>
    <row r="3017" ht="15.75" customHeight="1">
      <c r="A3017" s="1">
        <v>145.0</v>
      </c>
      <c r="B3017" s="1">
        <v>33.0</v>
      </c>
      <c r="C3017" s="1">
        <v>21.0</v>
      </c>
      <c r="D3017" s="1">
        <v>89.0</v>
      </c>
      <c r="F3017" s="1" t="str">
        <f>LOOKUP(A3017, NPCs!A:A, NPCs!C:C)</f>
        <v>Giant Wraith</v>
      </c>
      <c r="G3017" s="1" t="str">
        <f>LOOKUP(B3017, Maps!A:A, Maps!B:B)</f>
        <v>The Passing</v>
      </c>
    </row>
    <row r="3018" ht="15.75" customHeight="1">
      <c r="A3018" s="1">
        <v>145.0</v>
      </c>
      <c r="B3018" s="1">
        <v>33.0</v>
      </c>
      <c r="C3018" s="1">
        <v>25.0</v>
      </c>
      <c r="D3018" s="1">
        <v>91.0</v>
      </c>
      <c r="F3018" s="1" t="str">
        <f>LOOKUP(A3018, NPCs!A:A, NPCs!C:C)</f>
        <v>Giant Wraith</v>
      </c>
      <c r="G3018" s="1" t="str">
        <f>LOOKUP(B3018, Maps!A:A, Maps!B:B)</f>
        <v>The Passing</v>
      </c>
    </row>
    <row r="3019" ht="15.75" customHeight="1">
      <c r="A3019" s="1">
        <v>145.0</v>
      </c>
      <c r="B3019" s="1">
        <v>33.0</v>
      </c>
      <c r="C3019" s="1">
        <v>29.0</v>
      </c>
      <c r="D3019" s="1">
        <v>89.0</v>
      </c>
      <c r="F3019" s="1" t="str">
        <f>LOOKUP(A3019, NPCs!A:A, NPCs!C:C)</f>
        <v>Giant Wraith</v>
      </c>
      <c r="G3019" s="1" t="str">
        <f>LOOKUP(B3019, Maps!A:A, Maps!B:B)</f>
        <v>The Passing</v>
      </c>
    </row>
    <row r="3020" ht="15.75" customHeight="1">
      <c r="A3020" s="1">
        <v>145.0</v>
      </c>
      <c r="B3020" s="1">
        <v>33.0</v>
      </c>
      <c r="C3020" s="1">
        <v>33.0</v>
      </c>
      <c r="D3020" s="1">
        <v>90.0</v>
      </c>
      <c r="F3020" s="1" t="str">
        <f>LOOKUP(A3020, NPCs!A:A, NPCs!C:C)</f>
        <v>Giant Wraith</v>
      </c>
      <c r="G3020" s="1" t="str">
        <f>LOOKUP(B3020, Maps!A:A, Maps!B:B)</f>
        <v>The Passing</v>
      </c>
    </row>
    <row r="3021" ht="15.75" customHeight="1">
      <c r="A3021" s="1">
        <v>145.0</v>
      </c>
      <c r="B3021" s="1">
        <v>33.0</v>
      </c>
      <c r="C3021" s="1">
        <v>35.0</v>
      </c>
      <c r="D3021" s="1">
        <v>92.0</v>
      </c>
      <c r="F3021" s="1" t="str">
        <f>LOOKUP(A3021, NPCs!A:A, NPCs!C:C)</f>
        <v>Giant Wraith</v>
      </c>
      <c r="G3021" s="1" t="str">
        <f>LOOKUP(B3021, Maps!A:A, Maps!B:B)</f>
        <v>The Passing</v>
      </c>
    </row>
    <row r="3022" ht="15.75" customHeight="1">
      <c r="A3022" s="1">
        <v>145.0</v>
      </c>
      <c r="B3022" s="1">
        <v>33.0</v>
      </c>
      <c r="C3022" s="1">
        <v>37.0</v>
      </c>
      <c r="D3022" s="1">
        <v>95.0</v>
      </c>
      <c r="F3022" s="1" t="str">
        <f>LOOKUP(A3022, NPCs!A:A, NPCs!C:C)</f>
        <v>Giant Wraith</v>
      </c>
      <c r="G3022" s="1" t="str">
        <f>LOOKUP(B3022, Maps!A:A, Maps!B:B)</f>
        <v>The Passing</v>
      </c>
    </row>
    <row r="3023" ht="15.75" customHeight="1">
      <c r="A3023" s="1">
        <v>145.0</v>
      </c>
      <c r="B3023" s="1">
        <v>33.0</v>
      </c>
      <c r="C3023" s="1">
        <v>41.0</v>
      </c>
      <c r="D3023" s="1">
        <v>95.0</v>
      </c>
      <c r="F3023" s="1" t="str">
        <f>LOOKUP(A3023, NPCs!A:A, NPCs!C:C)</f>
        <v>Giant Wraith</v>
      </c>
      <c r="G3023" s="1" t="str">
        <f>LOOKUP(B3023, Maps!A:A, Maps!B:B)</f>
        <v>The Passing</v>
      </c>
    </row>
    <row r="3024" ht="15.75" customHeight="1">
      <c r="A3024" s="1">
        <v>145.0</v>
      </c>
      <c r="B3024" s="1">
        <v>33.0</v>
      </c>
      <c r="C3024" s="1">
        <v>39.0</v>
      </c>
      <c r="D3024" s="1">
        <v>92.0</v>
      </c>
      <c r="F3024" s="1" t="str">
        <f>LOOKUP(A3024, NPCs!A:A, NPCs!C:C)</f>
        <v>Giant Wraith</v>
      </c>
      <c r="G3024" s="1" t="str">
        <f>LOOKUP(B3024, Maps!A:A, Maps!B:B)</f>
        <v>The Passing</v>
      </c>
    </row>
    <row r="3025" ht="15.75" customHeight="1">
      <c r="A3025" s="1">
        <v>145.0</v>
      </c>
      <c r="B3025" s="1">
        <v>33.0</v>
      </c>
      <c r="C3025" s="1">
        <v>37.0</v>
      </c>
      <c r="D3025" s="1">
        <v>90.0</v>
      </c>
      <c r="F3025" s="1" t="str">
        <f>LOOKUP(A3025, NPCs!A:A, NPCs!C:C)</f>
        <v>Giant Wraith</v>
      </c>
      <c r="G3025" s="1" t="str">
        <f>LOOKUP(B3025, Maps!A:A, Maps!B:B)</f>
        <v>The Passing</v>
      </c>
    </row>
    <row r="3026" ht="15.75" customHeight="1">
      <c r="A3026" s="1">
        <v>145.0</v>
      </c>
      <c r="B3026" s="1">
        <v>33.0</v>
      </c>
      <c r="C3026" s="1">
        <v>39.0</v>
      </c>
      <c r="D3026" s="1">
        <v>88.0</v>
      </c>
      <c r="F3026" s="1" t="str">
        <f>LOOKUP(A3026, NPCs!A:A, NPCs!C:C)</f>
        <v>Giant Wraith</v>
      </c>
      <c r="G3026" s="1" t="str">
        <f>LOOKUP(B3026, Maps!A:A, Maps!B:B)</f>
        <v>The Passing</v>
      </c>
    </row>
    <row r="3027" ht="15.75" customHeight="1">
      <c r="A3027" s="1">
        <v>145.0</v>
      </c>
      <c r="B3027" s="1">
        <v>33.0</v>
      </c>
      <c r="C3027" s="1">
        <v>35.0</v>
      </c>
      <c r="D3027" s="1">
        <v>88.0</v>
      </c>
      <c r="F3027" s="1" t="str">
        <f>LOOKUP(A3027, NPCs!A:A, NPCs!C:C)</f>
        <v>Giant Wraith</v>
      </c>
      <c r="G3027" s="1" t="str">
        <f>LOOKUP(B3027, Maps!A:A, Maps!B:B)</f>
        <v>The Passing</v>
      </c>
    </row>
    <row r="3028" ht="15.75" customHeight="1">
      <c r="A3028" s="1">
        <v>145.0</v>
      </c>
      <c r="B3028" s="1">
        <v>33.0</v>
      </c>
      <c r="C3028" s="1">
        <v>37.0</v>
      </c>
      <c r="D3028" s="1">
        <v>86.0</v>
      </c>
      <c r="F3028" s="1" t="str">
        <f>LOOKUP(A3028, NPCs!A:A, NPCs!C:C)</f>
        <v>Giant Wraith</v>
      </c>
      <c r="G3028" s="1" t="str">
        <f>LOOKUP(B3028, Maps!A:A, Maps!B:B)</f>
        <v>The Passing</v>
      </c>
    </row>
    <row r="3029" ht="15.75" customHeight="1">
      <c r="A3029" s="1">
        <v>145.0</v>
      </c>
      <c r="B3029" s="1">
        <v>33.0</v>
      </c>
      <c r="C3029" s="1">
        <v>38.0</v>
      </c>
      <c r="D3029" s="1">
        <v>82.0</v>
      </c>
      <c r="F3029" s="1" t="str">
        <f>LOOKUP(A3029, NPCs!A:A, NPCs!C:C)</f>
        <v>Giant Wraith</v>
      </c>
      <c r="G3029" s="1" t="str">
        <f>LOOKUP(B3029, Maps!A:A, Maps!B:B)</f>
        <v>The Passing</v>
      </c>
    </row>
    <row r="3030" ht="15.75" customHeight="1">
      <c r="A3030" s="1">
        <v>145.0</v>
      </c>
      <c r="B3030" s="1">
        <v>33.0</v>
      </c>
      <c r="C3030" s="1">
        <v>36.0</v>
      </c>
      <c r="D3030" s="1">
        <v>82.0</v>
      </c>
      <c r="F3030" s="1" t="str">
        <f>LOOKUP(A3030, NPCs!A:A, NPCs!C:C)</f>
        <v>Giant Wraith</v>
      </c>
      <c r="G3030" s="1" t="str">
        <f>LOOKUP(B3030, Maps!A:A, Maps!B:B)</f>
        <v>The Passing</v>
      </c>
    </row>
    <row r="3031" ht="15.75" customHeight="1">
      <c r="A3031" s="1">
        <v>145.0</v>
      </c>
      <c r="B3031" s="1">
        <v>33.0</v>
      </c>
      <c r="C3031" s="1">
        <v>33.0</v>
      </c>
      <c r="D3031" s="1">
        <v>78.0</v>
      </c>
      <c r="F3031" s="1" t="str">
        <f>LOOKUP(A3031, NPCs!A:A, NPCs!C:C)</f>
        <v>Giant Wraith</v>
      </c>
      <c r="G3031" s="1" t="str">
        <f>LOOKUP(B3031, Maps!A:A, Maps!B:B)</f>
        <v>The Passing</v>
      </c>
    </row>
    <row r="3032" ht="15.75" customHeight="1">
      <c r="A3032" s="1">
        <v>145.0</v>
      </c>
      <c r="B3032" s="1">
        <v>33.0</v>
      </c>
      <c r="C3032" s="1">
        <v>41.0</v>
      </c>
      <c r="D3032" s="1">
        <v>78.0</v>
      </c>
      <c r="F3032" s="1" t="str">
        <f>LOOKUP(A3032, NPCs!A:A, NPCs!C:C)</f>
        <v>Giant Wraith</v>
      </c>
      <c r="G3032" s="1" t="str">
        <f>LOOKUP(B3032, Maps!A:A, Maps!B:B)</f>
        <v>The Passing</v>
      </c>
    </row>
    <row r="3033" ht="15.75" customHeight="1">
      <c r="A3033" s="1">
        <v>145.0</v>
      </c>
      <c r="B3033" s="1">
        <v>33.0</v>
      </c>
      <c r="C3033" s="1">
        <v>38.0</v>
      </c>
      <c r="D3033" s="1">
        <v>74.0</v>
      </c>
      <c r="F3033" s="1" t="str">
        <f>LOOKUP(A3033, NPCs!A:A, NPCs!C:C)</f>
        <v>Giant Wraith</v>
      </c>
      <c r="G3033" s="1" t="str">
        <f>LOOKUP(B3033, Maps!A:A, Maps!B:B)</f>
        <v>The Passing</v>
      </c>
    </row>
    <row r="3034" ht="15.75" customHeight="1">
      <c r="A3034" s="1">
        <v>145.0</v>
      </c>
      <c r="B3034" s="1">
        <v>33.0</v>
      </c>
      <c r="C3034" s="1">
        <v>36.0</v>
      </c>
      <c r="D3034" s="1">
        <v>74.0</v>
      </c>
      <c r="F3034" s="1" t="str">
        <f>LOOKUP(A3034, NPCs!A:A, NPCs!C:C)</f>
        <v>Giant Wraith</v>
      </c>
      <c r="G3034" s="1" t="str">
        <f>LOOKUP(B3034, Maps!A:A, Maps!B:B)</f>
        <v>The Passing</v>
      </c>
    </row>
    <row r="3035" ht="15.75" customHeight="1">
      <c r="A3035" s="1">
        <v>145.0</v>
      </c>
      <c r="B3035" s="1">
        <v>33.0</v>
      </c>
      <c r="C3035" s="1">
        <v>9.0</v>
      </c>
      <c r="D3035" s="1">
        <v>91.0</v>
      </c>
      <c r="F3035" s="1" t="str">
        <f>LOOKUP(A3035, NPCs!A:A, NPCs!C:C)</f>
        <v>Giant Wraith</v>
      </c>
      <c r="G3035" s="1" t="str">
        <f>LOOKUP(B3035, Maps!A:A, Maps!B:B)</f>
        <v>The Passing</v>
      </c>
    </row>
    <row r="3036" ht="15.75" customHeight="1">
      <c r="A3036" s="1">
        <v>145.0</v>
      </c>
      <c r="B3036" s="1">
        <v>33.0</v>
      </c>
      <c r="C3036" s="1">
        <v>4.0</v>
      </c>
      <c r="D3036" s="1">
        <v>92.0</v>
      </c>
      <c r="F3036" s="1" t="str">
        <f>LOOKUP(A3036, NPCs!A:A, NPCs!C:C)</f>
        <v>Giant Wraith</v>
      </c>
      <c r="G3036" s="1" t="str">
        <f>LOOKUP(B3036, Maps!A:A, Maps!B:B)</f>
        <v>The Passing</v>
      </c>
    </row>
    <row r="3037" ht="15.75" customHeight="1">
      <c r="A3037" s="1">
        <v>145.0</v>
      </c>
      <c r="B3037" s="1">
        <v>33.0</v>
      </c>
      <c r="C3037" s="1">
        <v>9.0</v>
      </c>
      <c r="D3037" s="1">
        <v>95.0</v>
      </c>
      <c r="F3037" s="1" t="str">
        <f>LOOKUP(A3037, NPCs!A:A, NPCs!C:C)</f>
        <v>Giant Wraith</v>
      </c>
      <c r="G3037" s="1" t="str">
        <f>LOOKUP(B3037, Maps!A:A, Maps!B:B)</f>
        <v>The Passing</v>
      </c>
    </row>
    <row r="3038" ht="15.75" customHeight="1">
      <c r="A3038" s="1">
        <v>145.0</v>
      </c>
      <c r="B3038" s="1">
        <v>33.0</v>
      </c>
      <c r="C3038" s="1">
        <v>4.0</v>
      </c>
      <c r="D3038" s="1">
        <v>97.0</v>
      </c>
      <c r="F3038" s="1" t="str">
        <f>LOOKUP(A3038, NPCs!A:A, NPCs!C:C)</f>
        <v>Giant Wraith</v>
      </c>
      <c r="G3038" s="1" t="str">
        <f>LOOKUP(B3038, Maps!A:A, Maps!B:B)</f>
        <v>The Passing</v>
      </c>
    </row>
    <row r="3039" ht="15.75" customHeight="1">
      <c r="A3039" s="1">
        <v>145.0</v>
      </c>
      <c r="B3039" s="1">
        <v>33.0</v>
      </c>
      <c r="C3039" s="1">
        <v>13.0</v>
      </c>
      <c r="D3039" s="1">
        <v>93.0</v>
      </c>
      <c r="F3039" s="1" t="str">
        <f>LOOKUP(A3039, NPCs!A:A, NPCs!C:C)</f>
        <v>Giant Wraith</v>
      </c>
      <c r="G3039" s="1" t="str">
        <f>LOOKUP(B3039, Maps!A:A, Maps!B:B)</f>
        <v>The Passing</v>
      </c>
    </row>
    <row r="3040" ht="15.75" customHeight="1">
      <c r="A3040" s="1">
        <v>145.0</v>
      </c>
      <c r="B3040" s="1">
        <v>33.0</v>
      </c>
      <c r="C3040" s="1">
        <v>13.0</v>
      </c>
      <c r="D3040" s="1">
        <v>99.0</v>
      </c>
      <c r="F3040" s="1" t="str">
        <f>LOOKUP(A3040, NPCs!A:A, NPCs!C:C)</f>
        <v>Giant Wraith</v>
      </c>
      <c r="G3040" s="1" t="str">
        <f>LOOKUP(B3040, Maps!A:A, Maps!B:B)</f>
        <v>The Passing</v>
      </c>
    </row>
    <row r="3041" ht="15.75" customHeight="1">
      <c r="A3041" s="1">
        <v>145.0</v>
      </c>
      <c r="B3041" s="1">
        <v>33.0</v>
      </c>
      <c r="C3041" s="1">
        <v>16.0</v>
      </c>
      <c r="D3041" s="1">
        <v>95.0</v>
      </c>
      <c r="F3041" s="1" t="str">
        <f>LOOKUP(A3041, NPCs!A:A, NPCs!C:C)</f>
        <v>Giant Wraith</v>
      </c>
      <c r="G3041" s="1" t="str">
        <f>LOOKUP(B3041, Maps!A:A, Maps!B:B)</f>
        <v>The Passing</v>
      </c>
    </row>
    <row r="3042" ht="15.75" customHeight="1">
      <c r="A3042" s="1">
        <v>145.0</v>
      </c>
      <c r="B3042" s="1">
        <v>33.0</v>
      </c>
      <c r="C3042" s="1">
        <v>23.0</v>
      </c>
      <c r="D3042" s="1">
        <v>95.0</v>
      </c>
      <c r="F3042" s="1" t="str">
        <f>LOOKUP(A3042, NPCs!A:A, NPCs!C:C)</f>
        <v>Giant Wraith</v>
      </c>
      <c r="G3042" s="1" t="str">
        <f>LOOKUP(B3042, Maps!A:A, Maps!B:B)</f>
        <v>The Passing</v>
      </c>
    </row>
    <row r="3043" ht="15.75" customHeight="1">
      <c r="A3043" s="1">
        <v>145.0</v>
      </c>
      <c r="B3043" s="1">
        <v>33.0</v>
      </c>
      <c r="C3043" s="1">
        <v>25.0</v>
      </c>
      <c r="D3043" s="1">
        <v>96.0</v>
      </c>
      <c r="F3043" s="1" t="str">
        <f>LOOKUP(A3043, NPCs!A:A, NPCs!C:C)</f>
        <v>Giant Wraith</v>
      </c>
      <c r="G3043" s="1" t="str">
        <f>LOOKUP(B3043, Maps!A:A, Maps!B:B)</f>
        <v>The Passing</v>
      </c>
    </row>
    <row r="3044" ht="15.75" customHeight="1">
      <c r="A3044" s="1">
        <v>145.0</v>
      </c>
      <c r="B3044" s="1">
        <v>33.0</v>
      </c>
      <c r="C3044" s="1">
        <v>23.0</v>
      </c>
      <c r="D3044" s="1">
        <v>99.0</v>
      </c>
      <c r="F3044" s="1" t="str">
        <f>LOOKUP(A3044, NPCs!A:A, NPCs!C:C)</f>
        <v>Giant Wraith</v>
      </c>
      <c r="G3044" s="1" t="str">
        <f>LOOKUP(B3044, Maps!A:A, Maps!B:B)</f>
        <v>The Passing</v>
      </c>
    </row>
    <row r="3045" ht="15.75" customHeight="1">
      <c r="A3045" s="1">
        <v>145.0</v>
      </c>
      <c r="B3045" s="1">
        <v>33.0</v>
      </c>
      <c r="C3045" s="1">
        <v>29.0</v>
      </c>
      <c r="D3045" s="1">
        <v>99.0</v>
      </c>
      <c r="F3045" s="1" t="str">
        <f>LOOKUP(A3045, NPCs!A:A, NPCs!C:C)</f>
        <v>Giant Wraith</v>
      </c>
      <c r="G3045" s="1" t="str">
        <f>LOOKUP(B3045, Maps!A:A, Maps!B:B)</f>
        <v>The Passing</v>
      </c>
    </row>
    <row r="3046" ht="15.75" customHeight="1">
      <c r="A3046" s="1">
        <v>145.0</v>
      </c>
      <c r="B3046" s="1">
        <v>33.0</v>
      </c>
      <c r="C3046" s="1">
        <v>27.0</v>
      </c>
      <c r="D3046" s="1">
        <v>96.0</v>
      </c>
      <c r="F3046" s="1" t="str">
        <f>LOOKUP(A3046, NPCs!A:A, NPCs!C:C)</f>
        <v>Giant Wraith</v>
      </c>
      <c r="G3046" s="1" t="str">
        <f>LOOKUP(B3046, Maps!A:A, Maps!B:B)</f>
        <v>The Passing</v>
      </c>
    </row>
    <row r="3047" ht="15.75" customHeight="1">
      <c r="A3047" s="1">
        <v>145.0</v>
      </c>
      <c r="B3047" s="1">
        <v>33.0</v>
      </c>
      <c r="C3047" s="1">
        <v>29.0</v>
      </c>
      <c r="D3047" s="1">
        <v>95.0</v>
      </c>
      <c r="F3047" s="1" t="str">
        <f>LOOKUP(A3047, NPCs!A:A, NPCs!C:C)</f>
        <v>Giant Wraith</v>
      </c>
      <c r="G3047" s="1" t="str">
        <f>LOOKUP(B3047, Maps!A:A, Maps!B:B)</f>
        <v>The Passing</v>
      </c>
    </row>
    <row r="3048" ht="15.75" customHeight="1">
      <c r="A3048" s="1">
        <v>147.0</v>
      </c>
      <c r="B3048" s="1">
        <v>33.0</v>
      </c>
      <c r="C3048" s="1">
        <v>25.0</v>
      </c>
      <c r="D3048" s="1">
        <v>94.0</v>
      </c>
      <c r="F3048" s="1" t="str">
        <f>LOOKUP(A3048, NPCs!A:A, NPCs!C:C)</f>
        <v>Invisible 1</v>
      </c>
      <c r="G3048" s="1" t="str">
        <f>LOOKUP(B3048, Maps!A:A, Maps!B:B)</f>
        <v>The Passing</v>
      </c>
    </row>
    <row r="3049" ht="15.75" customHeight="1">
      <c r="A3049" s="1">
        <v>146.0</v>
      </c>
      <c r="B3049" s="1">
        <v>33.0</v>
      </c>
      <c r="C3049" s="1">
        <v>58.0</v>
      </c>
      <c r="D3049" s="1">
        <v>48.0</v>
      </c>
      <c r="F3049" s="1" t="str">
        <f>LOOKUP(A3049, NPCs!A:A, NPCs!C:C)</f>
        <v>Returned</v>
      </c>
      <c r="G3049" s="1" t="str">
        <f>LOOKUP(B3049, Maps!A:A, Maps!B:B)</f>
        <v>The Passing</v>
      </c>
    </row>
    <row r="3050" ht="15.75" customHeight="1">
      <c r="A3050" s="1">
        <v>146.0</v>
      </c>
      <c r="B3050" s="1">
        <v>33.0</v>
      </c>
      <c r="C3050" s="1">
        <v>63.0</v>
      </c>
      <c r="D3050" s="1">
        <v>48.0</v>
      </c>
      <c r="F3050" s="1" t="str">
        <f>LOOKUP(A3050, NPCs!A:A, NPCs!C:C)</f>
        <v>Returned</v>
      </c>
      <c r="G3050" s="1" t="str">
        <f>LOOKUP(B3050, Maps!A:A, Maps!B:B)</f>
        <v>The Passing</v>
      </c>
    </row>
    <row r="3051" ht="15.75" customHeight="1">
      <c r="A3051" s="1">
        <v>146.0</v>
      </c>
      <c r="B3051" s="1">
        <v>33.0</v>
      </c>
      <c r="C3051" s="1">
        <v>63.0</v>
      </c>
      <c r="D3051" s="1">
        <v>45.0</v>
      </c>
      <c r="F3051" s="1" t="str">
        <f>LOOKUP(A3051, NPCs!A:A, NPCs!C:C)</f>
        <v>Returned</v>
      </c>
      <c r="G3051" s="1" t="str">
        <f>LOOKUP(B3051, Maps!A:A, Maps!B:B)</f>
        <v>The Passing</v>
      </c>
    </row>
    <row r="3052" ht="15.75" customHeight="1">
      <c r="A3052" s="1">
        <v>146.0</v>
      </c>
      <c r="B3052" s="1">
        <v>33.0</v>
      </c>
      <c r="C3052" s="1">
        <v>66.0</v>
      </c>
      <c r="D3052" s="1">
        <v>45.0</v>
      </c>
      <c r="F3052" s="1" t="str">
        <f>LOOKUP(A3052, NPCs!A:A, NPCs!C:C)</f>
        <v>Returned</v>
      </c>
      <c r="G3052" s="1" t="str">
        <f>LOOKUP(B3052, Maps!A:A, Maps!B:B)</f>
        <v>The Passing</v>
      </c>
    </row>
    <row r="3053" ht="15.75" customHeight="1">
      <c r="A3053" s="1">
        <v>146.0</v>
      </c>
      <c r="B3053" s="1">
        <v>33.0</v>
      </c>
      <c r="C3053" s="1">
        <v>66.0</v>
      </c>
      <c r="D3053" s="1">
        <v>40.0</v>
      </c>
      <c r="F3053" s="1" t="str">
        <f>LOOKUP(A3053, NPCs!A:A, NPCs!C:C)</f>
        <v>Returned</v>
      </c>
      <c r="G3053" s="1" t="str">
        <f>LOOKUP(B3053, Maps!A:A, Maps!B:B)</f>
        <v>The Passing</v>
      </c>
    </row>
    <row r="3054" ht="15.75" customHeight="1">
      <c r="A3054" s="1">
        <v>146.0</v>
      </c>
      <c r="B3054" s="1">
        <v>33.0</v>
      </c>
      <c r="C3054" s="1">
        <v>68.0</v>
      </c>
      <c r="D3054" s="1">
        <v>40.0</v>
      </c>
      <c r="F3054" s="1" t="str">
        <f>LOOKUP(A3054, NPCs!A:A, NPCs!C:C)</f>
        <v>Returned</v>
      </c>
      <c r="G3054" s="1" t="str">
        <f>LOOKUP(B3054, Maps!A:A, Maps!B:B)</f>
        <v>The Passing</v>
      </c>
    </row>
    <row r="3055" ht="15.75" customHeight="1">
      <c r="A3055" s="1">
        <v>146.0</v>
      </c>
      <c r="B3055" s="1">
        <v>33.0</v>
      </c>
      <c r="C3055" s="1">
        <v>63.0</v>
      </c>
      <c r="D3055" s="1">
        <v>40.0</v>
      </c>
      <c r="F3055" s="1" t="str">
        <f>LOOKUP(A3055, NPCs!A:A, NPCs!C:C)</f>
        <v>Returned</v>
      </c>
      <c r="G3055" s="1" t="str">
        <f>LOOKUP(B3055, Maps!A:A, Maps!B:B)</f>
        <v>The Passing</v>
      </c>
    </row>
    <row r="3056" ht="15.75" customHeight="1">
      <c r="A3056" s="1">
        <v>146.0</v>
      </c>
      <c r="B3056" s="1">
        <v>33.0</v>
      </c>
      <c r="C3056" s="1">
        <v>63.0</v>
      </c>
      <c r="D3056" s="1">
        <v>35.0</v>
      </c>
      <c r="F3056" s="1" t="str">
        <f>LOOKUP(A3056, NPCs!A:A, NPCs!C:C)</f>
        <v>Returned</v>
      </c>
      <c r="G3056" s="1" t="str">
        <f>LOOKUP(B3056, Maps!A:A, Maps!B:B)</f>
        <v>The Passing</v>
      </c>
    </row>
    <row r="3057" ht="15.75" customHeight="1">
      <c r="A3057" s="1">
        <v>146.0</v>
      </c>
      <c r="B3057" s="1">
        <v>33.0</v>
      </c>
      <c r="C3057" s="1">
        <v>60.0</v>
      </c>
      <c r="D3057" s="1">
        <v>35.0</v>
      </c>
      <c r="F3057" s="1" t="str">
        <f>LOOKUP(A3057, NPCs!A:A, NPCs!C:C)</f>
        <v>Returned</v>
      </c>
      <c r="G3057" s="1" t="str">
        <f>LOOKUP(B3057, Maps!A:A, Maps!B:B)</f>
        <v>The Passing</v>
      </c>
    </row>
    <row r="3058" ht="15.75" customHeight="1">
      <c r="A3058" s="1">
        <v>146.0</v>
      </c>
      <c r="B3058" s="1">
        <v>33.0</v>
      </c>
      <c r="C3058" s="1">
        <v>73.0</v>
      </c>
      <c r="D3058" s="1">
        <v>35.0</v>
      </c>
      <c r="F3058" s="1" t="str">
        <f>LOOKUP(A3058, NPCs!A:A, NPCs!C:C)</f>
        <v>Returned</v>
      </c>
      <c r="G3058" s="1" t="str">
        <f>LOOKUP(B3058, Maps!A:A, Maps!B:B)</f>
        <v>The Passing</v>
      </c>
    </row>
    <row r="3059" ht="15.75" customHeight="1">
      <c r="A3059" s="1">
        <v>146.0</v>
      </c>
      <c r="B3059" s="1">
        <v>33.0</v>
      </c>
      <c r="C3059" s="1">
        <v>73.0</v>
      </c>
      <c r="D3059" s="1">
        <v>30.0</v>
      </c>
      <c r="F3059" s="1" t="str">
        <f>LOOKUP(A3059, NPCs!A:A, NPCs!C:C)</f>
        <v>Returned</v>
      </c>
      <c r="G3059" s="1" t="str">
        <f>LOOKUP(B3059, Maps!A:A, Maps!B:B)</f>
        <v>The Passing</v>
      </c>
    </row>
    <row r="3060" ht="15.75" customHeight="1">
      <c r="A3060" s="1">
        <v>146.0</v>
      </c>
      <c r="B3060" s="1">
        <v>33.0</v>
      </c>
      <c r="C3060" s="1">
        <v>68.0</v>
      </c>
      <c r="D3060" s="1">
        <v>30.0</v>
      </c>
      <c r="F3060" s="1" t="str">
        <f>LOOKUP(A3060, NPCs!A:A, NPCs!C:C)</f>
        <v>Returned</v>
      </c>
      <c r="G3060" s="1" t="str">
        <f>LOOKUP(B3060, Maps!A:A, Maps!B:B)</f>
        <v>The Passing</v>
      </c>
    </row>
    <row r="3061" ht="15.75" customHeight="1">
      <c r="A3061" s="1">
        <v>146.0</v>
      </c>
      <c r="B3061" s="1">
        <v>33.0</v>
      </c>
      <c r="C3061" s="1">
        <v>63.0</v>
      </c>
      <c r="D3061" s="1">
        <v>30.0</v>
      </c>
      <c r="F3061" s="1" t="str">
        <f>LOOKUP(A3061, NPCs!A:A, NPCs!C:C)</f>
        <v>Returned</v>
      </c>
      <c r="G3061" s="1" t="str">
        <f>LOOKUP(B3061, Maps!A:A, Maps!B:B)</f>
        <v>The Passing</v>
      </c>
    </row>
    <row r="3062" ht="15.75" customHeight="1">
      <c r="A3062" s="1">
        <v>146.0</v>
      </c>
      <c r="B3062" s="1">
        <v>33.0</v>
      </c>
      <c r="C3062" s="1">
        <v>63.0</v>
      </c>
      <c r="D3062" s="1">
        <v>25.0</v>
      </c>
      <c r="F3062" s="1" t="str">
        <f>LOOKUP(A3062, NPCs!A:A, NPCs!C:C)</f>
        <v>Returned</v>
      </c>
      <c r="G3062" s="1" t="str">
        <f>LOOKUP(B3062, Maps!A:A, Maps!B:B)</f>
        <v>The Passing</v>
      </c>
    </row>
    <row r="3063" ht="15.75" customHeight="1">
      <c r="A3063" s="1">
        <v>146.0</v>
      </c>
      <c r="B3063" s="1">
        <v>33.0</v>
      </c>
      <c r="C3063" s="1">
        <v>68.0</v>
      </c>
      <c r="D3063" s="1">
        <v>25.0</v>
      </c>
      <c r="F3063" s="1" t="str">
        <f>LOOKUP(A3063, NPCs!A:A, NPCs!C:C)</f>
        <v>Returned</v>
      </c>
      <c r="G3063" s="1" t="str">
        <f>LOOKUP(B3063, Maps!A:A, Maps!B:B)</f>
        <v>The Passing</v>
      </c>
    </row>
    <row r="3064" ht="15.75" customHeight="1">
      <c r="A3064" s="1">
        <v>146.0</v>
      </c>
      <c r="B3064" s="1">
        <v>33.0</v>
      </c>
      <c r="C3064" s="1">
        <v>73.0</v>
      </c>
      <c r="D3064" s="1">
        <v>25.0</v>
      </c>
      <c r="F3064" s="1" t="str">
        <f>LOOKUP(A3064, NPCs!A:A, NPCs!C:C)</f>
        <v>Returned</v>
      </c>
      <c r="G3064" s="1" t="str">
        <f>LOOKUP(B3064, Maps!A:A, Maps!B:B)</f>
        <v>The Passing</v>
      </c>
    </row>
    <row r="3065" ht="15.75" customHeight="1">
      <c r="A3065" s="1">
        <v>146.0</v>
      </c>
      <c r="B3065" s="1">
        <v>33.0</v>
      </c>
      <c r="C3065" s="1">
        <v>73.0</v>
      </c>
      <c r="D3065" s="1">
        <v>20.0</v>
      </c>
      <c r="F3065" s="1" t="str">
        <f>LOOKUP(A3065, NPCs!A:A, NPCs!C:C)</f>
        <v>Returned</v>
      </c>
      <c r="G3065" s="1" t="str">
        <f>LOOKUP(B3065, Maps!A:A, Maps!B:B)</f>
        <v>The Passing</v>
      </c>
    </row>
    <row r="3066" ht="15.75" customHeight="1">
      <c r="A3066" s="1">
        <v>146.0</v>
      </c>
      <c r="B3066" s="1">
        <v>33.0</v>
      </c>
      <c r="C3066" s="1">
        <v>68.0</v>
      </c>
      <c r="D3066" s="1">
        <v>20.0</v>
      </c>
      <c r="F3066" s="1" t="str">
        <f>LOOKUP(A3066, NPCs!A:A, NPCs!C:C)</f>
        <v>Returned</v>
      </c>
      <c r="G3066" s="1" t="str">
        <f>LOOKUP(B3066, Maps!A:A, Maps!B:B)</f>
        <v>The Passing</v>
      </c>
    </row>
    <row r="3067" ht="15.75" customHeight="1">
      <c r="A3067" s="1">
        <v>146.0</v>
      </c>
      <c r="B3067" s="1">
        <v>33.0</v>
      </c>
      <c r="C3067" s="1">
        <v>63.0</v>
      </c>
      <c r="D3067" s="1">
        <v>20.0</v>
      </c>
      <c r="F3067" s="1" t="str">
        <f>LOOKUP(A3067, NPCs!A:A, NPCs!C:C)</f>
        <v>Returned</v>
      </c>
      <c r="G3067" s="1" t="str">
        <f>LOOKUP(B3067, Maps!A:A, Maps!B:B)</f>
        <v>The Passing</v>
      </c>
    </row>
    <row r="3068" ht="15.75" customHeight="1">
      <c r="A3068" s="1">
        <v>146.0</v>
      </c>
      <c r="B3068" s="1">
        <v>33.0</v>
      </c>
      <c r="C3068" s="1">
        <v>63.0</v>
      </c>
      <c r="D3068" s="1">
        <v>15.0</v>
      </c>
      <c r="F3068" s="1" t="str">
        <f>LOOKUP(A3068, NPCs!A:A, NPCs!C:C)</f>
        <v>Returned</v>
      </c>
      <c r="G3068" s="1" t="str">
        <f>LOOKUP(B3068, Maps!A:A, Maps!B:B)</f>
        <v>The Passing</v>
      </c>
    </row>
    <row r="3069" ht="15.75" customHeight="1">
      <c r="A3069" s="1">
        <v>146.0</v>
      </c>
      <c r="B3069" s="1">
        <v>33.0</v>
      </c>
      <c r="C3069" s="1">
        <v>68.0</v>
      </c>
      <c r="D3069" s="1">
        <v>15.0</v>
      </c>
      <c r="F3069" s="1" t="str">
        <f>LOOKUP(A3069, NPCs!A:A, NPCs!C:C)</f>
        <v>Returned</v>
      </c>
      <c r="G3069" s="1" t="str">
        <f>LOOKUP(B3069, Maps!A:A, Maps!B:B)</f>
        <v>The Passing</v>
      </c>
    </row>
    <row r="3070" ht="15.75" customHeight="1">
      <c r="A3070" s="1">
        <v>146.0</v>
      </c>
      <c r="B3070" s="1">
        <v>33.0</v>
      </c>
      <c r="C3070" s="1">
        <v>73.0</v>
      </c>
      <c r="D3070" s="1">
        <v>15.0</v>
      </c>
      <c r="F3070" s="1" t="str">
        <f>LOOKUP(A3070, NPCs!A:A, NPCs!C:C)</f>
        <v>Returned</v>
      </c>
      <c r="G3070" s="1" t="str">
        <f>LOOKUP(B3070, Maps!A:A, Maps!B:B)</f>
        <v>The Passing</v>
      </c>
    </row>
    <row r="3071" ht="15.75" customHeight="1">
      <c r="A3071" s="1">
        <v>146.0</v>
      </c>
      <c r="B3071" s="1">
        <v>33.0</v>
      </c>
      <c r="C3071" s="1">
        <v>63.0</v>
      </c>
      <c r="D3071" s="1">
        <v>10.0</v>
      </c>
      <c r="F3071" s="1" t="str">
        <f>LOOKUP(A3071, NPCs!A:A, NPCs!C:C)</f>
        <v>Returned</v>
      </c>
      <c r="G3071" s="1" t="str">
        <f>LOOKUP(B3071, Maps!A:A, Maps!B:B)</f>
        <v>The Passing</v>
      </c>
    </row>
    <row r="3072" ht="15.75" customHeight="1">
      <c r="A3072" s="1">
        <v>146.0</v>
      </c>
      <c r="B3072" s="1">
        <v>33.0</v>
      </c>
      <c r="C3072" s="1">
        <v>63.0</v>
      </c>
      <c r="D3072" s="1">
        <v>5.0</v>
      </c>
      <c r="F3072" s="1" t="str">
        <f>LOOKUP(A3072, NPCs!A:A, NPCs!C:C)</f>
        <v>Returned</v>
      </c>
      <c r="G3072" s="1" t="str">
        <f>LOOKUP(B3072, Maps!A:A, Maps!B:B)</f>
        <v>The Passing</v>
      </c>
    </row>
    <row r="3073" ht="15.75" customHeight="1">
      <c r="A3073" s="1">
        <v>146.0</v>
      </c>
      <c r="B3073" s="1">
        <v>33.0</v>
      </c>
      <c r="C3073" s="1">
        <v>68.0</v>
      </c>
      <c r="D3073" s="1">
        <v>5.0</v>
      </c>
      <c r="F3073" s="1" t="str">
        <f>LOOKUP(A3073, NPCs!A:A, NPCs!C:C)</f>
        <v>Returned</v>
      </c>
      <c r="G3073" s="1" t="str">
        <f>LOOKUP(B3073, Maps!A:A, Maps!B:B)</f>
        <v>The Passing</v>
      </c>
    </row>
    <row r="3074" ht="15.75" customHeight="1">
      <c r="A3074" s="1">
        <v>146.0</v>
      </c>
      <c r="B3074" s="1">
        <v>33.0</v>
      </c>
      <c r="C3074" s="1">
        <v>73.0</v>
      </c>
      <c r="D3074" s="1">
        <v>5.0</v>
      </c>
      <c r="F3074" s="1" t="str">
        <f>LOOKUP(A3074, NPCs!A:A, NPCs!C:C)</f>
        <v>Returned</v>
      </c>
      <c r="G3074" s="1" t="str">
        <f>LOOKUP(B3074, Maps!A:A, Maps!B:B)</f>
        <v>The Passing</v>
      </c>
    </row>
    <row r="3075" ht="15.75" customHeight="1">
      <c r="A3075" s="1">
        <v>146.0</v>
      </c>
      <c r="B3075" s="1">
        <v>33.0</v>
      </c>
      <c r="C3075" s="1">
        <v>78.0</v>
      </c>
      <c r="D3075" s="1">
        <v>5.0</v>
      </c>
      <c r="F3075" s="1" t="str">
        <f>LOOKUP(A3075, NPCs!A:A, NPCs!C:C)</f>
        <v>Returned</v>
      </c>
      <c r="G3075" s="1" t="str">
        <f>LOOKUP(B3075, Maps!A:A, Maps!B:B)</f>
        <v>The Passing</v>
      </c>
    </row>
    <row r="3076" ht="15.75" customHeight="1">
      <c r="A3076" s="1">
        <v>146.0</v>
      </c>
      <c r="B3076" s="1">
        <v>33.0</v>
      </c>
      <c r="C3076" s="1">
        <v>78.0</v>
      </c>
      <c r="D3076" s="1">
        <v>10.0</v>
      </c>
      <c r="F3076" s="1" t="str">
        <f>LOOKUP(A3076, NPCs!A:A, NPCs!C:C)</f>
        <v>Returned</v>
      </c>
      <c r="G3076" s="1" t="str">
        <f>LOOKUP(B3076, Maps!A:A, Maps!B:B)</f>
        <v>The Passing</v>
      </c>
    </row>
    <row r="3077" ht="15.75" customHeight="1">
      <c r="A3077" s="1">
        <v>146.0</v>
      </c>
      <c r="B3077" s="1">
        <v>33.0</v>
      </c>
      <c r="C3077" s="1">
        <v>78.0</v>
      </c>
      <c r="D3077" s="1">
        <v>15.0</v>
      </c>
      <c r="F3077" s="1" t="str">
        <f>LOOKUP(A3077, NPCs!A:A, NPCs!C:C)</f>
        <v>Returned</v>
      </c>
      <c r="G3077" s="1" t="str">
        <f>LOOKUP(B3077, Maps!A:A, Maps!B:B)</f>
        <v>The Passing</v>
      </c>
    </row>
    <row r="3078" ht="15.75" customHeight="1">
      <c r="A3078" s="1">
        <v>146.0</v>
      </c>
      <c r="B3078" s="1">
        <v>33.0</v>
      </c>
      <c r="C3078" s="1">
        <v>78.0</v>
      </c>
      <c r="D3078" s="1">
        <v>20.0</v>
      </c>
      <c r="F3078" s="1" t="str">
        <f>LOOKUP(A3078, NPCs!A:A, NPCs!C:C)</f>
        <v>Returned</v>
      </c>
      <c r="G3078" s="1" t="str">
        <f>LOOKUP(B3078, Maps!A:A, Maps!B:B)</f>
        <v>The Passing</v>
      </c>
    </row>
    <row r="3079" ht="15.75" customHeight="1">
      <c r="A3079" s="1">
        <v>146.0</v>
      </c>
      <c r="B3079" s="1">
        <v>33.0</v>
      </c>
      <c r="C3079" s="1">
        <v>78.0</v>
      </c>
      <c r="D3079" s="1">
        <v>25.0</v>
      </c>
      <c r="F3079" s="1" t="str">
        <f>LOOKUP(A3079, NPCs!A:A, NPCs!C:C)</f>
        <v>Returned</v>
      </c>
      <c r="G3079" s="1" t="str">
        <f>LOOKUP(B3079, Maps!A:A, Maps!B:B)</f>
        <v>The Passing</v>
      </c>
    </row>
    <row r="3080" ht="15.75" customHeight="1">
      <c r="A3080" s="1">
        <v>146.0</v>
      </c>
      <c r="B3080" s="1">
        <v>33.0</v>
      </c>
      <c r="C3080" s="1">
        <v>78.0</v>
      </c>
      <c r="D3080" s="1">
        <v>30.0</v>
      </c>
      <c r="F3080" s="1" t="str">
        <f>LOOKUP(A3080, NPCs!A:A, NPCs!C:C)</f>
        <v>Returned</v>
      </c>
      <c r="G3080" s="1" t="str">
        <f>LOOKUP(B3080, Maps!A:A, Maps!B:B)</f>
        <v>The Passing</v>
      </c>
    </row>
    <row r="3081" ht="15.75" customHeight="1">
      <c r="A3081" s="1">
        <v>146.0</v>
      </c>
      <c r="B3081" s="1">
        <v>33.0</v>
      </c>
      <c r="C3081" s="1">
        <v>78.0</v>
      </c>
      <c r="D3081" s="1">
        <v>35.0</v>
      </c>
      <c r="F3081" s="1" t="str">
        <f>LOOKUP(A3081, NPCs!A:A, NPCs!C:C)</f>
        <v>Returned</v>
      </c>
      <c r="G3081" s="1" t="str">
        <f>LOOKUP(B3081, Maps!A:A, Maps!B:B)</f>
        <v>The Passing</v>
      </c>
    </row>
    <row r="3082" ht="15.75" customHeight="1">
      <c r="A3082" s="1">
        <v>146.0</v>
      </c>
      <c r="B3082" s="1">
        <v>33.0</v>
      </c>
      <c r="C3082" s="1">
        <v>83.0</v>
      </c>
      <c r="D3082" s="1">
        <v>35.0</v>
      </c>
      <c r="F3082" s="1" t="str">
        <f>LOOKUP(A3082, NPCs!A:A, NPCs!C:C)</f>
        <v>Returned</v>
      </c>
      <c r="G3082" s="1" t="str">
        <f>LOOKUP(B3082, Maps!A:A, Maps!B:B)</f>
        <v>The Passing</v>
      </c>
    </row>
    <row r="3083" ht="15.75" customHeight="1">
      <c r="A3083" s="1">
        <v>146.0</v>
      </c>
      <c r="B3083" s="1">
        <v>33.0</v>
      </c>
      <c r="C3083" s="1">
        <v>83.0</v>
      </c>
      <c r="D3083" s="1">
        <v>30.0</v>
      </c>
      <c r="F3083" s="1" t="str">
        <f>LOOKUP(A3083, NPCs!A:A, NPCs!C:C)</f>
        <v>Returned</v>
      </c>
      <c r="G3083" s="1" t="str">
        <f>LOOKUP(B3083, Maps!A:A, Maps!B:B)</f>
        <v>The Passing</v>
      </c>
    </row>
    <row r="3084" ht="15.75" customHeight="1">
      <c r="A3084" s="1">
        <v>146.0</v>
      </c>
      <c r="B3084" s="1">
        <v>33.0</v>
      </c>
      <c r="C3084" s="1">
        <v>83.0</v>
      </c>
      <c r="D3084" s="1">
        <v>25.0</v>
      </c>
      <c r="F3084" s="1" t="str">
        <f>LOOKUP(A3084, NPCs!A:A, NPCs!C:C)</f>
        <v>Returned</v>
      </c>
      <c r="G3084" s="1" t="str">
        <f>LOOKUP(B3084, Maps!A:A, Maps!B:B)</f>
        <v>The Passing</v>
      </c>
    </row>
    <row r="3085" ht="15.75" customHeight="1">
      <c r="A3085" s="1">
        <v>146.0</v>
      </c>
      <c r="B3085" s="1">
        <v>33.0</v>
      </c>
      <c r="C3085" s="1">
        <v>83.0</v>
      </c>
      <c r="D3085" s="1">
        <v>20.0</v>
      </c>
      <c r="F3085" s="1" t="str">
        <f>LOOKUP(A3085, NPCs!A:A, NPCs!C:C)</f>
        <v>Returned</v>
      </c>
      <c r="G3085" s="1" t="str">
        <f>LOOKUP(B3085, Maps!A:A, Maps!B:B)</f>
        <v>The Passing</v>
      </c>
    </row>
    <row r="3086" ht="15.75" customHeight="1">
      <c r="A3086" s="1">
        <v>146.0</v>
      </c>
      <c r="B3086" s="1">
        <v>33.0</v>
      </c>
      <c r="C3086" s="1">
        <v>83.0</v>
      </c>
      <c r="D3086" s="1">
        <v>15.0</v>
      </c>
      <c r="F3086" s="1" t="str">
        <f>LOOKUP(A3086, NPCs!A:A, NPCs!C:C)</f>
        <v>Returned</v>
      </c>
      <c r="G3086" s="1" t="str">
        <f>LOOKUP(B3086, Maps!A:A, Maps!B:B)</f>
        <v>The Passing</v>
      </c>
    </row>
    <row r="3087" ht="15.75" customHeight="1">
      <c r="A3087" s="1">
        <v>146.0</v>
      </c>
      <c r="B3087" s="1">
        <v>33.0</v>
      </c>
      <c r="C3087" s="1">
        <v>83.0</v>
      </c>
      <c r="D3087" s="1">
        <v>10.0</v>
      </c>
      <c r="F3087" s="1" t="str">
        <f>LOOKUP(A3087, NPCs!A:A, NPCs!C:C)</f>
        <v>Returned</v>
      </c>
      <c r="G3087" s="1" t="str">
        <f>LOOKUP(B3087, Maps!A:A, Maps!B:B)</f>
        <v>The Passing</v>
      </c>
    </row>
    <row r="3088" ht="15.75" customHeight="1">
      <c r="A3088" s="1">
        <v>146.0</v>
      </c>
      <c r="B3088" s="1">
        <v>33.0</v>
      </c>
      <c r="C3088" s="1">
        <v>83.0</v>
      </c>
      <c r="D3088" s="1">
        <v>5.0</v>
      </c>
      <c r="F3088" s="1" t="str">
        <f>LOOKUP(A3088, NPCs!A:A, NPCs!C:C)</f>
        <v>Returned</v>
      </c>
      <c r="G3088" s="1" t="str">
        <f>LOOKUP(B3088, Maps!A:A, Maps!B:B)</f>
        <v>The Passing</v>
      </c>
    </row>
    <row r="3089" ht="15.75" customHeight="1">
      <c r="A3089" s="1">
        <v>146.0</v>
      </c>
      <c r="B3089" s="1">
        <v>33.0</v>
      </c>
      <c r="C3089" s="1">
        <v>88.0</v>
      </c>
      <c r="D3089" s="1">
        <v>5.0</v>
      </c>
      <c r="F3089" s="1" t="str">
        <f>LOOKUP(A3089, NPCs!A:A, NPCs!C:C)</f>
        <v>Returned</v>
      </c>
      <c r="G3089" s="1" t="str">
        <f>LOOKUP(B3089, Maps!A:A, Maps!B:B)</f>
        <v>The Passing</v>
      </c>
    </row>
    <row r="3090" ht="15.75" customHeight="1">
      <c r="A3090" s="1">
        <v>146.0</v>
      </c>
      <c r="B3090" s="1">
        <v>33.0</v>
      </c>
      <c r="C3090" s="1">
        <v>88.0</v>
      </c>
      <c r="D3090" s="1">
        <v>10.0</v>
      </c>
      <c r="F3090" s="1" t="str">
        <f>LOOKUP(A3090, NPCs!A:A, NPCs!C:C)</f>
        <v>Returned</v>
      </c>
      <c r="G3090" s="1" t="str">
        <f>LOOKUP(B3090, Maps!A:A, Maps!B:B)</f>
        <v>The Passing</v>
      </c>
    </row>
    <row r="3091" ht="15.75" customHeight="1">
      <c r="A3091" s="1">
        <v>146.0</v>
      </c>
      <c r="B3091" s="1">
        <v>33.0</v>
      </c>
      <c r="C3091" s="1">
        <v>88.0</v>
      </c>
      <c r="D3091" s="1">
        <v>15.0</v>
      </c>
      <c r="F3091" s="1" t="str">
        <f>LOOKUP(A3091, NPCs!A:A, NPCs!C:C)</f>
        <v>Returned</v>
      </c>
      <c r="G3091" s="1" t="str">
        <f>LOOKUP(B3091, Maps!A:A, Maps!B:B)</f>
        <v>The Passing</v>
      </c>
    </row>
    <row r="3092" ht="15.75" customHeight="1">
      <c r="A3092" s="1">
        <v>146.0</v>
      </c>
      <c r="B3092" s="1">
        <v>33.0</v>
      </c>
      <c r="C3092" s="1">
        <v>88.0</v>
      </c>
      <c r="D3092" s="1">
        <v>20.0</v>
      </c>
      <c r="F3092" s="1" t="str">
        <f>LOOKUP(A3092, NPCs!A:A, NPCs!C:C)</f>
        <v>Returned</v>
      </c>
      <c r="G3092" s="1" t="str">
        <f>LOOKUP(B3092, Maps!A:A, Maps!B:B)</f>
        <v>The Passing</v>
      </c>
    </row>
    <row r="3093" ht="15.75" customHeight="1">
      <c r="A3093" s="1">
        <v>146.0</v>
      </c>
      <c r="B3093" s="1">
        <v>33.0</v>
      </c>
      <c r="C3093" s="1">
        <v>88.0</v>
      </c>
      <c r="D3093" s="1">
        <v>25.0</v>
      </c>
      <c r="F3093" s="1" t="str">
        <f>LOOKUP(A3093, NPCs!A:A, NPCs!C:C)</f>
        <v>Returned</v>
      </c>
      <c r="G3093" s="1" t="str">
        <f>LOOKUP(B3093, Maps!A:A, Maps!B:B)</f>
        <v>The Passing</v>
      </c>
    </row>
    <row r="3094" ht="15.75" customHeight="1">
      <c r="A3094" s="1">
        <v>146.0</v>
      </c>
      <c r="B3094" s="1">
        <v>33.0</v>
      </c>
      <c r="C3094" s="1">
        <v>88.0</v>
      </c>
      <c r="D3094" s="1">
        <v>30.0</v>
      </c>
      <c r="F3094" s="1" t="str">
        <f>LOOKUP(A3094, NPCs!A:A, NPCs!C:C)</f>
        <v>Returned</v>
      </c>
      <c r="G3094" s="1" t="str">
        <f>LOOKUP(B3094, Maps!A:A, Maps!B:B)</f>
        <v>The Passing</v>
      </c>
    </row>
    <row r="3095" ht="15.75" customHeight="1">
      <c r="A3095" s="1">
        <v>146.0</v>
      </c>
      <c r="B3095" s="1">
        <v>33.0</v>
      </c>
      <c r="C3095" s="1">
        <v>88.0</v>
      </c>
      <c r="D3095" s="1">
        <v>35.0</v>
      </c>
      <c r="F3095" s="1" t="str">
        <f>LOOKUP(A3095, NPCs!A:A, NPCs!C:C)</f>
        <v>Returned</v>
      </c>
      <c r="G3095" s="1" t="str">
        <f>LOOKUP(B3095, Maps!A:A, Maps!B:B)</f>
        <v>The Passing</v>
      </c>
    </row>
    <row r="3096" ht="15.75" customHeight="1">
      <c r="A3096" s="1">
        <v>146.0</v>
      </c>
      <c r="B3096" s="1">
        <v>33.0</v>
      </c>
      <c r="C3096" s="1">
        <v>88.0</v>
      </c>
      <c r="D3096" s="1">
        <v>40.0</v>
      </c>
      <c r="F3096" s="1" t="str">
        <f>LOOKUP(A3096, NPCs!A:A, NPCs!C:C)</f>
        <v>Returned</v>
      </c>
      <c r="G3096" s="1" t="str">
        <f>LOOKUP(B3096, Maps!A:A, Maps!B:B)</f>
        <v>The Passing</v>
      </c>
    </row>
    <row r="3097" ht="15.75" customHeight="1">
      <c r="A3097" s="1">
        <v>146.0</v>
      </c>
      <c r="B3097" s="1">
        <v>33.0</v>
      </c>
      <c r="C3097" s="1">
        <v>93.0</v>
      </c>
      <c r="D3097" s="1">
        <v>40.0</v>
      </c>
      <c r="F3097" s="1" t="str">
        <f>LOOKUP(A3097, NPCs!A:A, NPCs!C:C)</f>
        <v>Returned</v>
      </c>
      <c r="G3097" s="1" t="str">
        <f>LOOKUP(B3097, Maps!A:A, Maps!B:B)</f>
        <v>The Passing</v>
      </c>
    </row>
    <row r="3098" ht="15.75" customHeight="1">
      <c r="A3098" s="1">
        <v>146.0</v>
      </c>
      <c r="B3098" s="1">
        <v>33.0</v>
      </c>
      <c r="C3098" s="1">
        <v>93.0</v>
      </c>
      <c r="D3098" s="1">
        <v>35.0</v>
      </c>
      <c r="F3098" s="1" t="str">
        <f>LOOKUP(A3098, NPCs!A:A, NPCs!C:C)</f>
        <v>Returned</v>
      </c>
      <c r="G3098" s="1" t="str">
        <f>LOOKUP(B3098, Maps!A:A, Maps!B:B)</f>
        <v>The Passing</v>
      </c>
    </row>
    <row r="3099" ht="15.75" customHeight="1">
      <c r="A3099" s="1">
        <v>146.0</v>
      </c>
      <c r="B3099" s="1">
        <v>33.0</v>
      </c>
      <c r="C3099" s="1">
        <v>93.0</v>
      </c>
      <c r="D3099" s="1">
        <v>25.0</v>
      </c>
      <c r="F3099" s="1" t="str">
        <f>LOOKUP(A3099, NPCs!A:A, NPCs!C:C)</f>
        <v>Returned</v>
      </c>
      <c r="G3099" s="1" t="str">
        <f>LOOKUP(B3099, Maps!A:A, Maps!B:B)</f>
        <v>The Passing</v>
      </c>
    </row>
    <row r="3100" ht="15.75" customHeight="1">
      <c r="A3100" s="1">
        <v>146.0</v>
      </c>
      <c r="B3100" s="1">
        <v>33.0</v>
      </c>
      <c r="C3100" s="1">
        <v>93.0</v>
      </c>
      <c r="D3100" s="1">
        <v>20.0</v>
      </c>
      <c r="F3100" s="1" t="str">
        <f>LOOKUP(A3100, NPCs!A:A, NPCs!C:C)</f>
        <v>Returned</v>
      </c>
      <c r="G3100" s="1" t="str">
        <f>LOOKUP(B3100, Maps!A:A, Maps!B:B)</f>
        <v>The Passing</v>
      </c>
    </row>
    <row r="3101" ht="15.75" customHeight="1">
      <c r="A3101" s="1">
        <v>146.0</v>
      </c>
      <c r="B3101" s="1">
        <v>33.0</v>
      </c>
      <c r="C3101" s="1">
        <v>93.0</v>
      </c>
      <c r="D3101" s="1">
        <v>15.0</v>
      </c>
      <c r="F3101" s="1" t="str">
        <f>LOOKUP(A3101, NPCs!A:A, NPCs!C:C)</f>
        <v>Returned</v>
      </c>
      <c r="G3101" s="1" t="str">
        <f>LOOKUP(B3101, Maps!A:A, Maps!B:B)</f>
        <v>The Passing</v>
      </c>
    </row>
    <row r="3102" ht="15.75" customHeight="1">
      <c r="A3102" s="1">
        <v>146.0</v>
      </c>
      <c r="B3102" s="1">
        <v>33.0</v>
      </c>
      <c r="C3102" s="1">
        <v>93.0</v>
      </c>
      <c r="D3102" s="1">
        <v>10.0</v>
      </c>
      <c r="F3102" s="1" t="str">
        <f>LOOKUP(A3102, NPCs!A:A, NPCs!C:C)</f>
        <v>Returned</v>
      </c>
      <c r="G3102" s="1" t="str">
        <f>LOOKUP(B3102, Maps!A:A, Maps!B:B)</f>
        <v>The Passing</v>
      </c>
    </row>
    <row r="3103" ht="15.75" customHeight="1">
      <c r="A3103" s="1">
        <v>146.0</v>
      </c>
      <c r="B3103" s="1">
        <v>33.0</v>
      </c>
      <c r="C3103" s="1">
        <v>93.0</v>
      </c>
      <c r="D3103" s="1">
        <v>5.0</v>
      </c>
      <c r="F3103" s="1" t="str">
        <f>LOOKUP(A3103, NPCs!A:A, NPCs!C:C)</f>
        <v>Returned</v>
      </c>
      <c r="G3103" s="1" t="str">
        <f>LOOKUP(B3103, Maps!A:A, Maps!B:B)</f>
        <v>The Passing</v>
      </c>
    </row>
    <row r="3104" ht="15.75" customHeight="1">
      <c r="A3104" s="1">
        <v>146.0</v>
      </c>
      <c r="B3104" s="1">
        <v>33.0</v>
      </c>
      <c r="C3104" s="1">
        <v>98.0</v>
      </c>
      <c r="D3104" s="1">
        <v>5.0</v>
      </c>
      <c r="F3104" s="1" t="str">
        <f>LOOKUP(A3104, NPCs!A:A, NPCs!C:C)</f>
        <v>Returned</v>
      </c>
      <c r="G3104" s="1" t="str">
        <f>LOOKUP(B3104, Maps!A:A, Maps!B:B)</f>
        <v>The Passing</v>
      </c>
    </row>
    <row r="3105" ht="15.75" customHeight="1">
      <c r="A3105" s="1">
        <v>146.0</v>
      </c>
      <c r="B3105" s="1">
        <v>33.0</v>
      </c>
      <c r="C3105" s="1">
        <v>98.0</v>
      </c>
      <c r="D3105" s="1">
        <v>10.0</v>
      </c>
      <c r="F3105" s="1" t="str">
        <f>LOOKUP(A3105, NPCs!A:A, NPCs!C:C)</f>
        <v>Returned</v>
      </c>
      <c r="G3105" s="1" t="str">
        <f>LOOKUP(B3105, Maps!A:A, Maps!B:B)</f>
        <v>The Passing</v>
      </c>
    </row>
    <row r="3106" ht="15.75" customHeight="1">
      <c r="A3106" s="1">
        <v>146.0</v>
      </c>
      <c r="B3106" s="1">
        <v>33.0</v>
      </c>
      <c r="C3106" s="1">
        <v>98.0</v>
      </c>
      <c r="D3106" s="1">
        <v>15.0</v>
      </c>
      <c r="F3106" s="1" t="str">
        <f>LOOKUP(A3106, NPCs!A:A, NPCs!C:C)</f>
        <v>Returned</v>
      </c>
      <c r="G3106" s="1" t="str">
        <f>LOOKUP(B3106, Maps!A:A, Maps!B:B)</f>
        <v>The Passing</v>
      </c>
    </row>
    <row r="3107" ht="15.75" customHeight="1">
      <c r="A3107" s="1">
        <v>146.0</v>
      </c>
      <c r="B3107" s="1">
        <v>33.0</v>
      </c>
      <c r="C3107" s="1">
        <v>98.0</v>
      </c>
      <c r="D3107" s="1">
        <v>20.0</v>
      </c>
      <c r="F3107" s="1" t="str">
        <f>LOOKUP(A3107, NPCs!A:A, NPCs!C:C)</f>
        <v>Returned</v>
      </c>
      <c r="G3107" s="1" t="str">
        <f>LOOKUP(B3107, Maps!A:A, Maps!B:B)</f>
        <v>The Passing</v>
      </c>
    </row>
    <row r="3108" ht="15.75" customHeight="1">
      <c r="A3108" s="1">
        <v>146.0</v>
      </c>
      <c r="B3108" s="1">
        <v>33.0</v>
      </c>
      <c r="C3108" s="1">
        <v>98.0</v>
      </c>
      <c r="D3108" s="1">
        <v>25.0</v>
      </c>
      <c r="F3108" s="1" t="str">
        <f>LOOKUP(A3108, NPCs!A:A, NPCs!C:C)</f>
        <v>Returned</v>
      </c>
      <c r="G3108" s="1" t="str">
        <f>LOOKUP(B3108, Maps!A:A, Maps!B:B)</f>
        <v>The Passing</v>
      </c>
    </row>
    <row r="3109" ht="15.75" customHeight="1">
      <c r="A3109" s="1">
        <v>146.0</v>
      </c>
      <c r="B3109" s="1">
        <v>33.0</v>
      </c>
      <c r="C3109" s="1">
        <v>98.0</v>
      </c>
      <c r="D3109" s="1">
        <v>30.0</v>
      </c>
      <c r="F3109" s="1" t="str">
        <f>LOOKUP(A3109, NPCs!A:A, NPCs!C:C)</f>
        <v>Returned</v>
      </c>
      <c r="G3109" s="1" t="str">
        <f>LOOKUP(B3109, Maps!A:A, Maps!B:B)</f>
        <v>The Passing</v>
      </c>
    </row>
    <row r="3110" ht="15.75" customHeight="1">
      <c r="A3110" s="1">
        <v>146.0</v>
      </c>
      <c r="B3110" s="1">
        <v>33.0</v>
      </c>
      <c r="C3110" s="1">
        <v>98.0</v>
      </c>
      <c r="D3110" s="1">
        <v>35.0</v>
      </c>
      <c r="F3110" s="1" t="str">
        <f>LOOKUP(A3110, NPCs!A:A, NPCs!C:C)</f>
        <v>Returned</v>
      </c>
      <c r="G3110" s="1" t="str">
        <f>LOOKUP(B3110, Maps!A:A, Maps!B:B)</f>
        <v>The Passing</v>
      </c>
    </row>
    <row r="3111" ht="15.75" customHeight="1">
      <c r="A3111" s="1">
        <v>146.0</v>
      </c>
      <c r="B3111" s="1">
        <v>33.0</v>
      </c>
      <c r="C3111" s="1">
        <v>98.0</v>
      </c>
      <c r="D3111" s="1">
        <v>40.0</v>
      </c>
      <c r="F3111" s="1" t="str">
        <f>LOOKUP(A3111, NPCs!A:A, NPCs!C:C)</f>
        <v>Returned</v>
      </c>
      <c r="G3111" s="1" t="str">
        <f>LOOKUP(B3111, Maps!A:A, Maps!B:B)</f>
        <v>The Passing</v>
      </c>
    </row>
    <row r="3112" ht="15.75" customHeight="1">
      <c r="A3112" s="1">
        <v>146.0</v>
      </c>
      <c r="B3112" s="1">
        <v>33.0</v>
      </c>
      <c r="C3112" s="1">
        <v>98.0</v>
      </c>
      <c r="D3112" s="1">
        <v>45.0</v>
      </c>
      <c r="F3112" s="1" t="str">
        <f>LOOKUP(A3112, NPCs!A:A, NPCs!C:C)</f>
        <v>Returned</v>
      </c>
      <c r="G3112" s="1" t="str">
        <f>LOOKUP(B3112, Maps!A:A, Maps!B:B)</f>
        <v>The Passing</v>
      </c>
    </row>
    <row r="3113" ht="15.75" customHeight="1">
      <c r="A3113" s="1">
        <v>146.0</v>
      </c>
      <c r="B3113" s="1">
        <v>33.0</v>
      </c>
      <c r="C3113" s="1">
        <v>93.0</v>
      </c>
      <c r="D3113" s="1">
        <v>45.0</v>
      </c>
      <c r="F3113" s="1" t="str">
        <f>LOOKUP(A3113, NPCs!A:A, NPCs!C:C)</f>
        <v>Returned</v>
      </c>
      <c r="G3113" s="1" t="str">
        <f>LOOKUP(B3113, Maps!A:A, Maps!B:B)</f>
        <v>The Passing</v>
      </c>
    </row>
    <row r="3114" ht="15.75" customHeight="1">
      <c r="A3114" s="1">
        <v>146.0</v>
      </c>
      <c r="B3114" s="1">
        <v>33.0</v>
      </c>
      <c r="C3114" s="1">
        <v>88.0</v>
      </c>
      <c r="D3114" s="1">
        <v>45.0</v>
      </c>
      <c r="F3114" s="1" t="str">
        <f>LOOKUP(A3114, NPCs!A:A, NPCs!C:C)</f>
        <v>Returned</v>
      </c>
      <c r="G3114" s="1" t="str">
        <f>LOOKUP(B3114, Maps!A:A, Maps!B:B)</f>
        <v>The Passing</v>
      </c>
    </row>
    <row r="3115" ht="15.75" customHeight="1">
      <c r="A3115" s="1">
        <v>146.0</v>
      </c>
      <c r="B3115" s="1">
        <v>33.0</v>
      </c>
      <c r="C3115" s="1">
        <v>88.0</v>
      </c>
      <c r="D3115" s="1">
        <v>50.0</v>
      </c>
      <c r="F3115" s="1" t="str">
        <f>LOOKUP(A3115, NPCs!A:A, NPCs!C:C)</f>
        <v>Returned</v>
      </c>
      <c r="G3115" s="1" t="str">
        <f>LOOKUP(B3115, Maps!A:A, Maps!B:B)</f>
        <v>The Passing</v>
      </c>
    </row>
    <row r="3116" ht="15.75" customHeight="1">
      <c r="A3116" s="1">
        <v>146.0</v>
      </c>
      <c r="B3116" s="1">
        <v>33.0</v>
      </c>
      <c r="C3116" s="1">
        <v>93.0</v>
      </c>
      <c r="D3116" s="1">
        <v>50.0</v>
      </c>
      <c r="F3116" s="1" t="str">
        <f>LOOKUP(A3116, NPCs!A:A, NPCs!C:C)</f>
        <v>Returned</v>
      </c>
      <c r="G3116" s="1" t="str">
        <f>LOOKUP(B3116, Maps!A:A, Maps!B:B)</f>
        <v>The Passing</v>
      </c>
    </row>
    <row r="3117" ht="15.75" customHeight="1">
      <c r="A3117" s="1">
        <v>146.0</v>
      </c>
      <c r="B3117" s="1">
        <v>33.0</v>
      </c>
      <c r="C3117" s="1">
        <v>98.0</v>
      </c>
      <c r="D3117" s="1">
        <v>50.0</v>
      </c>
      <c r="F3117" s="1" t="str">
        <f>LOOKUP(A3117, NPCs!A:A, NPCs!C:C)</f>
        <v>Returned</v>
      </c>
      <c r="G3117" s="1" t="str">
        <f>LOOKUP(B3117, Maps!A:A, Maps!B:B)</f>
        <v>The Passing</v>
      </c>
    </row>
    <row r="3118" ht="15.75" customHeight="1">
      <c r="A3118" s="1">
        <v>146.0</v>
      </c>
      <c r="B3118" s="1">
        <v>33.0</v>
      </c>
      <c r="C3118" s="1">
        <v>98.0</v>
      </c>
      <c r="D3118" s="1">
        <v>55.0</v>
      </c>
      <c r="F3118" s="1" t="str">
        <f>LOOKUP(A3118, NPCs!A:A, NPCs!C:C)</f>
        <v>Returned</v>
      </c>
      <c r="G3118" s="1" t="str">
        <f>LOOKUP(B3118, Maps!A:A, Maps!B:B)</f>
        <v>The Passing</v>
      </c>
    </row>
    <row r="3119" ht="15.75" customHeight="1">
      <c r="A3119" s="1">
        <v>146.0</v>
      </c>
      <c r="B3119" s="1">
        <v>33.0</v>
      </c>
      <c r="C3119" s="1">
        <v>93.0</v>
      </c>
      <c r="D3119" s="1">
        <v>55.0</v>
      </c>
      <c r="F3119" s="1" t="str">
        <f>LOOKUP(A3119, NPCs!A:A, NPCs!C:C)</f>
        <v>Returned</v>
      </c>
      <c r="G3119" s="1" t="str">
        <f>LOOKUP(B3119, Maps!A:A, Maps!B:B)</f>
        <v>The Passing</v>
      </c>
    </row>
    <row r="3120" ht="15.75" customHeight="1">
      <c r="A3120" s="1">
        <v>146.0</v>
      </c>
      <c r="B3120" s="1">
        <v>33.0</v>
      </c>
      <c r="C3120" s="1">
        <v>88.0</v>
      </c>
      <c r="D3120" s="1">
        <v>55.0</v>
      </c>
      <c r="F3120" s="1" t="str">
        <f>LOOKUP(A3120, NPCs!A:A, NPCs!C:C)</f>
        <v>Returned</v>
      </c>
      <c r="G3120" s="1" t="str">
        <f>LOOKUP(B3120, Maps!A:A, Maps!B:B)</f>
        <v>The Passing</v>
      </c>
    </row>
    <row r="3121" ht="15.75" customHeight="1">
      <c r="A3121" s="1">
        <v>146.0</v>
      </c>
      <c r="B3121" s="1">
        <v>33.0</v>
      </c>
      <c r="C3121" s="1">
        <v>83.0</v>
      </c>
      <c r="D3121" s="1">
        <v>55.0</v>
      </c>
      <c r="F3121" s="1" t="str">
        <f>LOOKUP(A3121, NPCs!A:A, NPCs!C:C)</f>
        <v>Returned</v>
      </c>
      <c r="G3121" s="1" t="str">
        <f>LOOKUP(B3121, Maps!A:A, Maps!B:B)</f>
        <v>The Passing</v>
      </c>
    </row>
    <row r="3122" ht="15.75" customHeight="1">
      <c r="A3122" s="1">
        <v>146.0</v>
      </c>
      <c r="B3122" s="1">
        <v>33.0</v>
      </c>
      <c r="C3122" s="1">
        <v>78.0</v>
      </c>
      <c r="D3122" s="1">
        <v>55.0</v>
      </c>
      <c r="F3122" s="1" t="str">
        <f>LOOKUP(A3122, NPCs!A:A, NPCs!C:C)</f>
        <v>Returned</v>
      </c>
      <c r="G3122" s="1" t="str">
        <f>LOOKUP(B3122, Maps!A:A, Maps!B:B)</f>
        <v>The Passing</v>
      </c>
    </row>
    <row r="3123" ht="15.75" customHeight="1">
      <c r="A3123" s="1">
        <v>146.0</v>
      </c>
      <c r="B3123" s="1">
        <v>33.0</v>
      </c>
      <c r="C3123" s="1">
        <v>73.0</v>
      </c>
      <c r="D3123" s="1">
        <v>55.0</v>
      </c>
      <c r="F3123" s="1" t="str">
        <f>LOOKUP(A3123, NPCs!A:A, NPCs!C:C)</f>
        <v>Returned</v>
      </c>
      <c r="G3123" s="1" t="str">
        <f>LOOKUP(B3123, Maps!A:A, Maps!B:B)</f>
        <v>The Passing</v>
      </c>
    </row>
    <row r="3124" ht="15.75" customHeight="1">
      <c r="A3124" s="1">
        <v>146.0</v>
      </c>
      <c r="B3124" s="1">
        <v>33.0</v>
      </c>
      <c r="C3124" s="1">
        <v>68.0</v>
      </c>
      <c r="D3124" s="1">
        <v>55.0</v>
      </c>
      <c r="F3124" s="1" t="str">
        <f>LOOKUP(A3124, NPCs!A:A, NPCs!C:C)</f>
        <v>Returned</v>
      </c>
      <c r="G3124" s="1" t="str">
        <f>LOOKUP(B3124, Maps!A:A, Maps!B:B)</f>
        <v>The Passing</v>
      </c>
    </row>
    <row r="3125" ht="15.75" customHeight="1">
      <c r="A3125" s="1">
        <v>146.0</v>
      </c>
      <c r="B3125" s="1">
        <v>33.0</v>
      </c>
      <c r="C3125" s="1">
        <v>63.0</v>
      </c>
      <c r="D3125" s="1">
        <v>55.0</v>
      </c>
      <c r="F3125" s="1" t="str">
        <f>LOOKUP(A3125, NPCs!A:A, NPCs!C:C)</f>
        <v>Returned</v>
      </c>
      <c r="G3125" s="1" t="str">
        <f>LOOKUP(B3125, Maps!A:A, Maps!B:B)</f>
        <v>The Passing</v>
      </c>
    </row>
    <row r="3126" ht="15.75" customHeight="1">
      <c r="A3126" s="1">
        <v>146.0</v>
      </c>
      <c r="B3126" s="1">
        <v>33.0</v>
      </c>
      <c r="C3126" s="1">
        <v>63.0</v>
      </c>
      <c r="D3126" s="1">
        <v>60.0</v>
      </c>
      <c r="F3126" s="1" t="str">
        <f>LOOKUP(A3126, NPCs!A:A, NPCs!C:C)</f>
        <v>Returned</v>
      </c>
      <c r="G3126" s="1" t="str">
        <f>LOOKUP(B3126, Maps!A:A, Maps!B:B)</f>
        <v>The Passing</v>
      </c>
    </row>
    <row r="3127" ht="15.75" customHeight="1">
      <c r="A3127" s="1">
        <v>146.0</v>
      </c>
      <c r="B3127" s="1">
        <v>33.0</v>
      </c>
      <c r="C3127" s="1">
        <v>68.0</v>
      </c>
      <c r="D3127" s="1">
        <v>60.0</v>
      </c>
      <c r="F3127" s="1" t="str">
        <f>LOOKUP(A3127, NPCs!A:A, NPCs!C:C)</f>
        <v>Returned</v>
      </c>
      <c r="G3127" s="1" t="str">
        <f>LOOKUP(B3127, Maps!A:A, Maps!B:B)</f>
        <v>The Passing</v>
      </c>
    </row>
    <row r="3128" ht="15.75" customHeight="1">
      <c r="A3128" s="1">
        <v>146.0</v>
      </c>
      <c r="B3128" s="1">
        <v>33.0</v>
      </c>
      <c r="C3128" s="1">
        <v>63.0</v>
      </c>
      <c r="D3128" s="1">
        <v>65.0</v>
      </c>
      <c r="F3128" s="1" t="str">
        <f>LOOKUP(A3128, NPCs!A:A, NPCs!C:C)</f>
        <v>Returned</v>
      </c>
      <c r="G3128" s="1" t="str">
        <f>LOOKUP(B3128, Maps!A:A, Maps!B:B)</f>
        <v>The Passing</v>
      </c>
    </row>
    <row r="3129" ht="15.75" customHeight="1">
      <c r="A3129" s="1">
        <v>146.0</v>
      </c>
      <c r="B3129" s="1">
        <v>33.0</v>
      </c>
      <c r="C3129" s="1">
        <v>63.0</v>
      </c>
      <c r="D3129" s="1">
        <v>70.0</v>
      </c>
      <c r="F3129" s="1" t="str">
        <f>LOOKUP(A3129, NPCs!A:A, NPCs!C:C)</f>
        <v>Returned</v>
      </c>
      <c r="G3129" s="1" t="str">
        <f>LOOKUP(B3129, Maps!A:A, Maps!B:B)</f>
        <v>The Passing</v>
      </c>
    </row>
    <row r="3130" ht="15.75" customHeight="1">
      <c r="A3130" s="1">
        <v>146.0</v>
      </c>
      <c r="B3130" s="1">
        <v>33.0</v>
      </c>
      <c r="C3130" s="1">
        <v>63.0</v>
      </c>
      <c r="D3130" s="1">
        <v>75.0</v>
      </c>
      <c r="F3130" s="1" t="str">
        <f>LOOKUP(A3130, NPCs!A:A, NPCs!C:C)</f>
        <v>Returned</v>
      </c>
      <c r="G3130" s="1" t="str">
        <f>LOOKUP(B3130, Maps!A:A, Maps!B:B)</f>
        <v>The Passing</v>
      </c>
    </row>
    <row r="3131" ht="15.75" customHeight="1">
      <c r="A3131" s="1">
        <v>146.0</v>
      </c>
      <c r="B3131" s="1">
        <v>33.0</v>
      </c>
      <c r="C3131" s="1">
        <v>63.0</v>
      </c>
      <c r="D3131" s="1">
        <v>80.0</v>
      </c>
      <c r="F3131" s="1" t="str">
        <f>LOOKUP(A3131, NPCs!A:A, NPCs!C:C)</f>
        <v>Returned</v>
      </c>
      <c r="G3131" s="1" t="str">
        <f>LOOKUP(B3131, Maps!A:A, Maps!B:B)</f>
        <v>The Passing</v>
      </c>
    </row>
    <row r="3132" ht="15.75" customHeight="1">
      <c r="A3132" s="1">
        <v>146.0</v>
      </c>
      <c r="B3132" s="1">
        <v>33.0</v>
      </c>
      <c r="C3132" s="1">
        <v>63.0</v>
      </c>
      <c r="D3132" s="1">
        <v>85.0</v>
      </c>
      <c r="F3132" s="1" t="str">
        <f>LOOKUP(A3132, NPCs!A:A, NPCs!C:C)</f>
        <v>Returned</v>
      </c>
      <c r="G3132" s="1" t="str">
        <f>LOOKUP(B3132, Maps!A:A, Maps!B:B)</f>
        <v>The Passing</v>
      </c>
    </row>
    <row r="3133" ht="15.75" customHeight="1">
      <c r="A3133" s="1">
        <v>146.0</v>
      </c>
      <c r="B3133" s="1">
        <v>33.0</v>
      </c>
      <c r="C3133" s="1">
        <v>63.0</v>
      </c>
      <c r="D3133" s="1">
        <v>90.0</v>
      </c>
      <c r="F3133" s="1" t="str">
        <f>LOOKUP(A3133, NPCs!A:A, NPCs!C:C)</f>
        <v>Returned</v>
      </c>
      <c r="G3133" s="1" t="str">
        <f>LOOKUP(B3133, Maps!A:A, Maps!B:B)</f>
        <v>The Passing</v>
      </c>
    </row>
    <row r="3134" ht="15.75" customHeight="1">
      <c r="A3134" s="1">
        <v>146.0</v>
      </c>
      <c r="B3134" s="1">
        <v>33.0</v>
      </c>
      <c r="C3134" s="1">
        <v>63.0</v>
      </c>
      <c r="D3134" s="1">
        <v>95.0</v>
      </c>
      <c r="F3134" s="1" t="str">
        <f>LOOKUP(A3134, NPCs!A:A, NPCs!C:C)</f>
        <v>Returned</v>
      </c>
      <c r="G3134" s="1" t="str">
        <f>LOOKUP(B3134, Maps!A:A, Maps!B:B)</f>
        <v>The Passing</v>
      </c>
    </row>
    <row r="3135" ht="15.75" customHeight="1">
      <c r="A3135" s="1">
        <v>146.0</v>
      </c>
      <c r="B3135" s="1">
        <v>33.0</v>
      </c>
      <c r="C3135" s="1">
        <v>63.0</v>
      </c>
      <c r="D3135" s="1">
        <v>99.0</v>
      </c>
      <c r="F3135" s="1" t="str">
        <f>LOOKUP(A3135, NPCs!A:A, NPCs!C:C)</f>
        <v>Returned</v>
      </c>
      <c r="G3135" s="1" t="str">
        <f>LOOKUP(B3135, Maps!A:A, Maps!B:B)</f>
        <v>The Passing</v>
      </c>
    </row>
    <row r="3136" ht="15.75" customHeight="1">
      <c r="A3136" s="1">
        <v>146.0</v>
      </c>
      <c r="B3136" s="1">
        <v>33.0</v>
      </c>
      <c r="C3136" s="1">
        <v>68.0</v>
      </c>
      <c r="D3136" s="1">
        <v>99.0</v>
      </c>
      <c r="F3136" s="1" t="str">
        <f>LOOKUP(A3136, NPCs!A:A, NPCs!C:C)</f>
        <v>Returned</v>
      </c>
      <c r="G3136" s="1" t="str">
        <f>LOOKUP(B3136, Maps!A:A, Maps!B:B)</f>
        <v>The Passing</v>
      </c>
    </row>
    <row r="3137" ht="15.75" customHeight="1">
      <c r="A3137" s="1">
        <v>146.0</v>
      </c>
      <c r="B3137" s="1">
        <v>33.0</v>
      </c>
      <c r="C3137" s="1">
        <v>68.0</v>
      </c>
      <c r="D3137" s="1">
        <v>95.0</v>
      </c>
      <c r="F3137" s="1" t="str">
        <f>LOOKUP(A3137, NPCs!A:A, NPCs!C:C)</f>
        <v>Returned</v>
      </c>
      <c r="G3137" s="1" t="str">
        <f>LOOKUP(B3137, Maps!A:A, Maps!B:B)</f>
        <v>The Passing</v>
      </c>
    </row>
    <row r="3138" ht="15.75" customHeight="1">
      <c r="A3138" s="1">
        <v>146.0</v>
      </c>
      <c r="B3138" s="1">
        <v>33.0</v>
      </c>
      <c r="C3138" s="1">
        <v>68.0</v>
      </c>
      <c r="D3138" s="1">
        <v>90.0</v>
      </c>
      <c r="F3138" s="1" t="str">
        <f>LOOKUP(A3138, NPCs!A:A, NPCs!C:C)</f>
        <v>Returned</v>
      </c>
      <c r="G3138" s="1" t="str">
        <f>LOOKUP(B3138, Maps!A:A, Maps!B:B)</f>
        <v>The Passing</v>
      </c>
    </row>
    <row r="3139" ht="15.75" customHeight="1">
      <c r="A3139" s="1">
        <v>146.0</v>
      </c>
      <c r="B3139" s="1">
        <v>33.0</v>
      </c>
      <c r="C3139" s="1">
        <v>68.0</v>
      </c>
      <c r="D3139" s="1">
        <v>85.0</v>
      </c>
      <c r="F3139" s="1" t="str">
        <f>LOOKUP(A3139, NPCs!A:A, NPCs!C:C)</f>
        <v>Returned</v>
      </c>
      <c r="G3139" s="1" t="str">
        <f>LOOKUP(B3139, Maps!A:A, Maps!B:B)</f>
        <v>The Passing</v>
      </c>
    </row>
    <row r="3140" ht="15.75" customHeight="1">
      <c r="A3140" s="1">
        <v>146.0</v>
      </c>
      <c r="B3140" s="1">
        <v>33.0</v>
      </c>
      <c r="C3140" s="1">
        <v>68.0</v>
      </c>
      <c r="D3140" s="1">
        <v>80.0</v>
      </c>
      <c r="F3140" s="1" t="str">
        <f>LOOKUP(A3140, NPCs!A:A, NPCs!C:C)</f>
        <v>Returned</v>
      </c>
      <c r="G3140" s="1" t="str">
        <f>LOOKUP(B3140, Maps!A:A, Maps!B:B)</f>
        <v>The Passing</v>
      </c>
    </row>
    <row r="3141" ht="15.75" customHeight="1">
      <c r="A3141" s="1">
        <v>146.0</v>
      </c>
      <c r="B3141" s="1">
        <v>33.0</v>
      </c>
      <c r="C3141" s="1">
        <v>68.0</v>
      </c>
      <c r="D3141" s="1">
        <v>75.0</v>
      </c>
      <c r="F3141" s="1" t="str">
        <f>LOOKUP(A3141, NPCs!A:A, NPCs!C:C)</f>
        <v>Returned</v>
      </c>
      <c r="G3141" s="1" t="str">
        <f>LOOKUP(B3141, Maps!A:A, Maps!B:B)</f>
        <v>The Passing</v>
      </c>
    </row>
    <row r="3142" ht="15.75" customHeight="1">
      <c r="A3142" s="1">
        <v>146.0</v>
      </c>
      <c r="B3142" s="1">
        <v>33.0</v>
      </c>
      <c r="C3142" s="1">
        <v>68.0</v>
      </c>
      <c r="D3142" s="1">
        <v>70.0</v>
      </c>
      <c r="F3142" s="1" t="str">
        <f>LOOKUP(A3142, NPCs!A:A, NPCs!C:C)</f>
        <v>Returned</v>
      </c>
      <c r="G3142" s="1" t="str">
        <f>LOOKUP(B3142, Maps!A:A, Maps!B:B)</f>
        <v>The Passing</v>
      </c>
    </row>
    <row r="3143" ht="15.75" customHeight="1">
      <c r="A3143" s="1">
        <v>146.0</v>
      </c>
      <c r="B3143" s="1">
        <v>33.0</v>
      </c>
      <c r="C3143" s="1">
        <v>68.0</v>
      </c>
      <c r="D3143" s="1">
        <v>65.0</v>
      </c>
      <c r="F3143" s="1" t="str">
        <f>LOOKUP(A3143, NPCs!A:A, NPCs!C:C)</f>
        <v>Returned</v>
      </c>
      <c r="G3143" s="1" t="str">
        <f>LOOKUP(B3143, Maps!A:A, Maps!B:B)</f>
        <v>The Passing</v>
      </c>
    </row>
    <row r="3144" ht="15.75" customHeight="1">
      <c r="A3144" s="1">
        <v>146.0</v>
      </c>
      <c r="B3144" s="1">
        <v>33.0</v>
      </c>
      <c r="C3144" s="1">
        <v>73.0</v>
      </c>
      <c r="D3144" s="1">
        <v>60.0</v>
      </c>
      <c r="F3144" s="1" t="str">
        <f>LOOKUP(A3144, NPCs!A:A, NPCs!C:C)</f>
        <v>Returned</v>
      </c>
      <c r="G3144" s="1" t="str">
        <f>LOOKUP(B3144, Maps!A:A, Maps!B:B)</f>
        <v>The Passing</v>
      </c>
    </row>
    <row r="3145" ht="15.75" customHeight="1">
      <c r="A3145" s="1">
        <v>146.0</v>
      </c>
      <c r="B3145" s="1">
        <v>33.0</v>
      </c>
      <c r="C3145" s="1">
        <v>73.0</v>
      </c>
      <c r="D3145" s="1">
        <v>65.0</v>
      </c>
      <c r="F3145" s="1" t="str">
        <f>LOOKUP(A3145, NPCs!A:A, NPCs!C:C)</f>
        <v>Returned</v>
      </c>
      <c r="G3145" s="1" t="str">
        <f>LOOKUP(B3145, Maps!A:A, Maps!B:B)</f>
        <v>The Passing</v>
      </c>
    </row>
    <row r="3146" ht="15.75" customHeight="1">
      <c r="A3146" s="1">
        <v>146.0</v>
      </c>
      <c r="B3146" s="1">
        <v>33.0</v>
      </c>
      <c r="C3146" s="1">
        <v>73.0</v>
      </c>
      <c r="D3146" s="1">
        <v>70.0</v>
      </c>
      <c r="F3146" s="1" t="str">
        <f>LOOKUP(A3146, NPCs!A:A, NPCs!C:C)</f>
        <v>Returned</v>
      </c>
      <c r="G3146" s="1" t="str">
        <f>LOOKUP(B3146, Maps!A:A, Maps!B:B)</f>
        <v>The Passing</v>
      </c>
    </row>
    <row r="3147" ht="15.75" customHeight="1">
      <c r="A3147" s="1">
        <v>146.0</v>
      </c>
      <c r="B3147" s="1">
        <v>33.0</v>
      </c>
      <c r="C3147" s="1">
        <v>73.0</v>
      </c>
      <c r="D3147" s="1">
        <v>75.0</v>
      </c>
      <c r="F3147" s="1" t="str">
        <f>LOOKUP(A3147, NPCs!A:A, NPCs!C:C)</f>
        <v>Returned</v>
      </c>
      <c r="G3147" s="1" t="str">
        <f>LOOKUP(B3147, Maps!A:A, Maps!B:B)</f>
        <v>The Passing</v>
      </c>
    </row>
    <row r="3148" ht="15.75" customHeight="1">
      <c r="A3148" s="1">
        <v>146.0</v>
      </c>
      <c r="B3148" s="1">
        <v>33.0</v>
      </c>
      <c r="C3148" s="1">
        <v>73.0</v>
      </c>
      <c r="D3148" s="1">
        <v>80.0</v>
      </c>
      <c r="F3148" s="1" t="str">
        <f>LOOKUP(A3148, NPCs!A:A, NPCs!C:C)</f>
        <v>Returned</v>
      </c>
      <c r="G3148" s="1" t="str">
        <f>LOOKUP(B3148, Maps!A:A, Maps!B:B)</f>
        <v>The Passing</v>
      </c>
    </row>
    <row r="3149" ht="15.75" customHeight="1">
      <c r="A3149" s="1">
        <v>146.0</v>
      </c>
      <c r="B3149" s="1">
        <v>33.0</v>
      </c>
      <c r="C3149" s="1">
        <v>78.0</v>
      </c>
      <c r="D3149" s="1">
        <v>80.0</v>
      </c>
      <c r="F3149" s="1" t="str">
        <f>LOOKUP(A3149, NPCs!A:A, NPCs!C:C)</f>
        <v>Returned</v>
      </c>
      <c r="G3149" s="1" t="str">
        <f>LOOKUP(B3149, Maps!A:A, Maps!B:B)</f>
        <v>The Passing</v>
      </c>
    </row>
    <row r="3150" ht="15.75" customHeight="1">
      <c r="A3150" s="1">
        <v>146.0</v>
      </c>
      <c r="B3150" s="1">
        <v>33.0</v>
      </c>
      <c r="C3150" s="1">
        <v>78.0</v>
      </c>
      <c r="D3150" s="1">
        <v>75.0</v>
      </c>
      <c r="F3150" s="1" t="str">
        <f>LOOKUP(A3150, NPCs!A:A, NPCs!C:C)</f>
        <v>Returned</v>
      </c>
      <c r="G3150" s="1" t="str">
        <f>LOOKUP(B3150, Maps!A:A, Maps!B:B)</f>
        <v>The Passing</v>
      </c>
    </row>
    <row r="3151" ht="15.75" customHeight="1">
      <c r="A3151" s="1">
        <v>146.0</v>
      </c>
      <c r="B3151" s="1">
        <v>33.0</v>
      </c>
      <c r="C3151" s="1">
        <v>78.0</v>
      </c>
      <c r="D3151" s="1">
        <v>70.0</v>
      </c>
      <c r="F3151" s="1" t="str">
        <f>LOOKUP(A3151, NPCs!A:A, NPCs!C:C)</f>
        <v>Returned</v>
      </c>
      <c r="G3151" s="1" t="str">
        <f>LOOKUP(B3151, Maps!A:A, Maps!B:B)</f>
        <v>The Passing</v>
      </c>
    </row>
    <row r="3152" ht="15.75" customHeight="1">
      <c r="A3152" s="1">
        <v>146.0</v>
      </c>
      <c r="B3152" s="1">
        <v>33.0</v>
      </c>
      <c r="C3152" s="1">
        <v>78.0</v>
      </c>
      <c r="D3152" s="1">
        <v>65.0</v>
      </c>
      <c r="F3152" s="1" t="str">
        <f>LOOKUP(A3152, NPCs!A:A, NPCs!C:C)</f>
        <v>Returned</v>
      </c>
      <c r="G3152" s="1" t="str">
        <f>LOOKUP(B3152, Maps!A:A, Maps!B:B)</f>
        <v>The Passing</v>
      </c>
    </row>
    <row r="3153" ht="15.75" customHeight="1">
      <c r="A3153" s="1">
        <v>146.0</v>
      </c>
      <c r="B3153" s="1">
        <v>33.0</v>
      </c>
      <c r="C3153" s="1">
        <v>78.0</v>
      </c>
      <c r="D3153" s="1">
        <v>60.0</v>
      </c>
      <c r="F3153" s="1" t="str">
        <f>LOOKUP(A3153, NPCs!A:A, NPCs!C:C)</f>
        <v>Returned</v>
      </c>
      <c r="G3153" s="1" t="str">
        <f>LOOKUP(B3153, Maps!A:A, Maps!B:B)</f>
        <v>The Passing</v>
      </c>
    </row>
    <row r="3154" ht="15.75" customHeight="1">
      <c r="A3154" s="1">
        <v>146.0</v>
      </c>
      <c r="B3154" s="1">
        <v>33.0</v>
      </c>
      <c r="C3154" s="1">
        <v>83.0</v>
      </c>
      <c r="D3154" s="1">
        <v>60.0</v>
      </c>
      <c r="F3154" s="1" t="str">
        <f>LOOKUP(A3154, NPCs!A:A, NPCs!C:C)</f>
        <v>Returned</v>
      </c>
      <c r="G3154" s="1" t="str">
        <f>LOOKUP(B3154, Maps!A:A, Maps!B:B)</f>
        <v>The Passing</v>
      </c>
    </row>
    <row r="3155" ht="15.75" customHeight="1">
      <c r="A3155" s="1">
        <v>146.0</v>
      </c>
      <c r="B3155" s="1">
        <v>33.0</v>
      </c>
      <c r="C3155" s="1">
        <v>83.0</v>
      </c>
      <c r="D3155" s="1">
        <v>65.0</v>
      </c>
      <c r="F3155" s="1" t="str">
        <f>LOOKUP(A3155, NPCs!A:A, NPCs!C:C)</f>
        <v>Returned</v>
      </c>
      <c r="G3155" s="1" t="str">
        <f>LOOKUP(B3155, Maps!A:A, Maps!B:B)</f>
        <v>The Passing</v>
      </c>
    </row>
    <row r="3156" ht="15.75" customHeight="1">
      <c r="A3156" s="1">
        <v>146.0</v>
      </c>
      <c r="B3156" s="1">
        <v>33.0</v>
      </c>
      <c r="C3156" s="1">
        <v>83.0</v>
      </c>
      <c r="D3156" s="1">
        <v>70.0</v>
      </c>
      <c r="F3156" s="1" t="str">
        <f>LOOKUP(A3156, NPCs!A:A, NPCs!C:C)</f>
        <v>Returned</v>
      </c>
      <c r="G3156" s="1" t="str">
        <f>LOOKUP(B3156, Maps!A:A, Maps!B:B)</f>
        <v>The Passing</v>
      </c>
    </row>
    <row r="3157" ht="15.75" customHeight="1">
      <c r="A3157" s="1">
        <v>146.0</v>
      </c>
      <c r="B3157" s="1">
        <v>33.0</v>
      </c>
      <c r="C3157" s="1">
        <v>83.0</v>
      </c>
      <c r="D3157" s="1">
        <v>75.0</v>
      </c>
      <c r="F3157" s="1" t="str">
        <f>LOOKUP(A3157, NPCs!A:A, NPCs!C:C)</f>
        <v>Returned</v>
      </c>
      <c r="G3157" s="1" t="str">
        <f>LOOKUP(B3157, Maps!A:A, Maps!B:B)</f>
        <v>The Passing</v>
      </c>
    </row>
    <row r="3158" ht="15.75" customHeight="1">
      <c r="A3158" s="1">
        <v>146.0</v>
      </c>
      <c r="B3158" s="1">
        <v>33.0</v>
      </c>
      <c r="C3158" s="1">
        <v>83.0</v>
      </c>
      <c r="D3158" s="1">
        <v>80.0</v>
      </c>
      <c r="F3158" s="1" t="str">
        <f>LOOKUP(A3158, NPCs!A:A, NPCs!C:C)</f>
        <v>Returned</v>
      </c>
      <c r="G3158" s="1" t="str">
        <f>LOOKUP(B3158, Maps!A:A, Maps!B:B)</f>
        <v>The Passing</v>
      </c>
    </row>
    <row r="3159" ht="15.75" customHeight="1">
      <c r="A3159" s="1">
        <v>146.0</v>
      </c>
      <c r="B3159" s="1">
        <v>33.0</v>
      </c>
      <c r="C3159" s="1">
        <v>88.0</v>
      </c>
      <c r="D3159" s="1">
        <v>80.0</v>
      </c>
      <c r="F3159" s="1" t="str">
        <f>LOOKUP(A3159, NPCs!A:A, NPCs!C:C)</f>
        <v>Returned</v>
      </c>
      <c r="G3159" s="1" t="str">
        <f>LOOKUP(B3159, Maps!A:A, Maps!B:B)</f>
        <v>The Passing</v>
      </c>
    </row>
    <row r="3160" ht="15.75" customHeight="1">
      <c r="A3160" s="1">
        <v>146.0</v>
      </c>
      <c r="B3160" s="1">
        <v>33.0</v>
      </c>
      <c r="C3160" s="1">
        <v>93.0</v>
      </c>
      <c r="D3160" s="1">
        <v>80.0</v>
      </c>
      <c r="F3160" s="1" t="str">
        <f>LOOKUP(A3160, NPCs!A:A, NPCs!C:C)</f>
        <v>Returned</v>
      </c>
      <c r="G3160" s="1" t="str">
        <f>LOOKUP(B3160, Maps!A:A, Maps!B:B)</f>
        <v>The Passing</v>
      </c>
    </row>
    <row r="3161" ht="15.75" customHeight="1">
      <c r="A3161" s="1">
        <v>146.0</v>
      </c>
      <c r="B3161" s="1">
        <v>33.0</v>
      </c>
      <c r="C3161" s="1">
        <v>98.0</v>
      </c>
      <c r="D3161" s="1">
        <v>80.0</v>
      </c>
      <c r="F3161" s="1" t="str">
        <f>LOOKUP(A3161, NPCs!A:A, NPCs!C:C)</f>
        <v>Returned</v>
      </c>
      <c r="G3161" s="1" t="str">
        <f>LOOKUP(B3161, Maps!A:A, Maps!B:B)</f>
        <v>The Passing</v>
      </c>
    </row>
    <row r="3162" ht="15.75" customHeight="1">
      <c r="A3162" s="1">
        <v>146.0</v>
      </c>
      <c r="B3162" s="1">
        <v>33.0</v>
      </c>
      <c r="C3162" s="1">
        <v>98.0</v>
      </c>
      <c r="D3162" s="1">
        <v>75.0</v>
      </c>
      <c r="F3162" s="1" t="str">
        <f>LOOKUP(A3162, NPCs!A:A, NPCs!C:C)</f>
        <v>Returned</v>
      </c>
      <c r="G3162" s="1" t="str">
        <f>LOOKUP(B3162, Maps!A:A, Maps!B:B)</f>
        <v>The Passing</v>
      </c>
    </row>
    <row r="3163" ht="15.75" customHeight="1">
      <c r="A3163" s="1">
        <v>146.0</v>
      </c>
      <c r="B3163" s="1">
        <v>33.0</v>
      </c>
      <c r="C3163" s="1">
        <v>98.0</v>
      </c>
      <c r="D3163" s="1">
        <v>70.0</v>
      </c>
      <c r="F3163" s="1" t="str">
        <f>LOOKUP(A3163, NPCs!A:A, NPCs!C:C)</f>
        <v>Returned</v>
      </c>
      <c r="G3163" s="1" t="str">
        <f>LOOKUP(B3163, Maps!A:A, Maps!B:B)</f>
        <v>The Passing</v>
      </c>
    </row>
    <row r="3164" ht="15.75" customHeight="1">
      <c r="A3164" s="1">
        <v>146.0</v>
      </c>
      <c r="B3164" s="1">
        <v>33.0</v>
      </c>
      <c r="C3164" s="1">
        <v>98.0</v>
      </c>
      <c r="D3164" s="1">
        <v>65.0</v>
      </c>
      <c r="F3164" s="1" t="str">
        <f>LOOKUP(A3164, NPCs!A:A, NPCs!C:C)</f>
        <v>Returned</v>
      </c>
      <c r="G3164" s="1" t="str">
        <f>LOOKUP(B3164, Maps!A:A, Maps!B:B)</f>
        <v>The Passing</v>
      </c>
    </row>
    <row r="3165" ht="15.75" customHeight="1">
      <c r="A3165" s="1">
        <v>146.0</v>
      </c>
      <c r="B3165" s="1">
        <v>33.0</v>
      </c>
      <c r="C3165" s="1">
        <v>98.0</v>
      </c>
      <c r="D3165" s="1">
        <v>60.0</v>
      </c>
      <c r="F3165" s="1" t="str">
        <f>LOOKUP(A3165, NPCs!A:A, NPCs!C:C)</f>
        <v>Returned</v>
      </c>
      <c r="G3165" s="1" t="str">
        <f>LOOKUP(B3165, Maps!A:A, Maps!B:B)</f>
        <v>The Passing</v>
      </c>
    </row>
    <row r="3166" ht="15.75" customHeight="1">
      <c r="A3166" s="1">
        <v>146.0</v>
      </c>
      <c r="B3166" s="1">
        <v>33.0</v>
      </c>
      <c r="C3166" s="1">
        <v>93.0</v>
      </c>
      <c r="D3166" s="1">
        <v>60.0</v>
      </c>
      <c r="F3166" s="1" t="str">
        <f>LOOKUP(A3166, NPCs!A:A, NPCs!C:C)</f>
        <v>Returned</v>
      </c>
      <c r="G3166" s="1" t="str">
        <f>LOOKUP(B3166, Maps!A:A, Maps!B:B)</f>
        <v>The Passing</v>
      </c>
    </row>
    <row r="3167" ht="15.75" customHeight="1">
      <c r="A3167" s="1">
        <v>146.0</v>
      </c>
      <c r="B3167" s="1">
        <v>33.0</v>
      </c>
      <c r="C3167" s="1">
        <v>93.0</v>
      </c>
      <c r="D3167" s="1">
        <v>65.0</v>
      </c>
      <c r="F3167" s="1" t="str">
        <f>LOOKUP(A3167, NPCs!A:A, NPCs!C:C)</f>
        <v>Returned</v>
      </c>
      <c r="G3167" s="1" t="str">
        <f>LOOKUP(B3167, Maps!A:A, Maps!B:B)</f>
        <v>The Passing</v>
      </c>
    </row>
    <row r="3168" ht="15.75" customHeight="1">
      <c r="A3168" s="1">
        <v>146.0</v>
      </c>
      <c r="B3168" s="1">
        <v>33.0</v>
      </c>
      <c r="C3168" s="1">
        <v>88.0</v>
      </c>
      <c r="D3168" s="1">
        <v>60.0</v>
      </c>
      <c r="F3168" s="1" t="str">
        <f>LOOKUP(A3168, NPCs!A:A, NPCs!C:C)</f>
        <v>Returned</v>
      </c>
      <c r="G3168" s="1" t="str">
        <f>LOOKUP(B3168, Maps!A:A, Maps!B:B)</f>
        <v>The Passing</v>
      </c>
    </row>
    <row r="3169" ht="15.75" customHeight="1">
      <c r="A3169" s="1">
        <v>146.0</v>
      </c>
      <c r="B3169" s="1">
        <v>33.0</v>
      </c>
      <c r="C3169" s="1">
        <v>88.0</v>
      </c>
      <c r="D3169" s="1">
        <v>65.0</v>
      </c>
      <c r="F3169" s="1" t="str">
        <f>LOOKUP(A3169, NPCs!A:A, NPCs!C:C)</f>
        <v>Returned</v>
      </c>
      <c r="G3169" s="1" t="str">
        <f>LOOKUP(B3169, Maps!A:A, Maps!B:B)</f>
        <v>The Passing</v>
      </c>
    </row>
    <row r="3170" ht="15.75" customHeight="1">
      <c r="A3170" s="1">
        <v>146.0</v>
      </c>
      <c r="B3170" s="1">
        <v>33.0</v>
      </c>
      <c r="C3170" s="1">
        <v>88.0</v>
      </c>
      <c r="D3170" s="1">
        <v>70.0</v>
      </c>
      <c r="F3170" s="1" t="str">
        <f>LOOKUP(A3170, NPCs!A:A, NPCs!C:C)</f>
        <v>Returned</v>
      </c>
      <c r="G3170" s="1" t="str">
        <f>LOOKUP(B3170, Maps!A:A, Maps!B:B)</f>
        <v>The Passing</v>
      </c>
    </row>
    <row r="3171" ht="15.75" customHeight="1">
      <c r="A3171" s="1">
        <v>146.0</v>
      </c>
      <c r="B3171" s="1">
        <v>33.0</v>
      </c>
      <c r="C3171" s="1">
        <v>93.0</v>
      </c>
      <c r="D3171" s="1">
        <v>70.0</v>
      </c>
      <c r="F3171" s="1" t="str">
        <f>LOOKUP(A3171, NPCs!A:A, NPCs!C:C)</f>
        <v>Returned</v>
      </c>
      <c r="G3171" s="1" t="str">
        <f>LOOKUP(B3171, Maps!A:A, Maps!B:B)</f>
        <v>The Passing</v>
      </c>
    </row>
    <row r="3172" ht="15.75" customHeight="1">
      <c r="A3172" s="1">
        <v>146.0</v>
      </c>
      <c r="B3172" s="1">
        <v>33.0</v>
      </c>
      <c r="C3172" s="1">
        <v>93.0</v>
      </c>
      <c r="D3172" s="1">
        <v>75.0</v>
      </c>
      <c r="F3172" s="1" t="str">
        <f>LOOKUP(A3172, NPCs!A:A, NPCs!C:C)</f>
        <v>Returned</v>
      </c>
      <c r="G3172" s="1" t="str">
        <f>LOOKUP(B3172, Maps!A:A, Maps!B:B)</f>
        <v>The Passing</v>
      </c>
    </row>
    <row r="3173" ht="15.75" customHeight="1">
      <c r="A3173" s="1">
        <v>146.0</v>
      </c>
      <c r="B3173" s="1">
        <v>33.0</v>
      </c>
      <c r="C3173" s="1">
        <v>88.0</v>
      </c>
      <c r="D3173" s="1">
        <v>75.0</v>
      </c>
      <c r="F3173" s="1" t="str">
        <f>LOOKUP(A3173, NPCs!A:A, NPCs!C:C)</f>
        <v>Returned</v>
      </c>
      <c r="G3173" s="1" t="str">
        <f>LOOKUP(B3173, Maps!A:A, Maps!B:B)</f>
        <v>The Passing</v>
      </c>
    </row>
    <row r="3174" ht="15.75" customHeight="1">
      <c r="A3174" s="1">
        <v>146.0</v>
      </c>
      <c r="B3174" s="1">
        <v>33.0</v>
      </c>
      <c r="C3174" s="1">
        <v>88.0</v>
      </c>
      <c r="D3174" s="1">
        <v>85.0</v>
      </c>
      <c r="F3174" s="1" t="str">
        <f>LOOKUP(A3174, NPCs!A:A, NPCs!C:C)</f>
        <v>Returned</v>
      </c>
      <c r="G3174" s="1" t="str">
        <f>LOOKUP(B3174, Maps!A:A, Maps!B:B)</f>
        <v>The Passing</v>
      </c>
    </row>
    <row r="3175" ht="15.75" customHeight="1">
      <c r="A3175" s="1">
        <v>146.0</v>
      </c>
      <c r="B3175" s="1">
        <v>33.0</v>
      </c>
      <c r="C3175" s="1">
        <v>93.0</v>
      </c>
      <c r="D3175" s="1">
        <v>85.0</v>
      </c>
      <c r="F3175" s="1" t="str">
        <f>LOOKUP(A3175, NPCs!A:A, NPCs!C:C)</f>
        <v>Returned</v>
      </c>
      <c r="G3175" s="1" t="str">
        <f>LOOKUP(B3175, Maps!A:A, Maps!B:B)</f>
        <v>The Passing</v>
      </c>
    </row>
    <row r="3176" ht="15.75" customHeight="1">
      <c r="A3176" s="1">
        <v>146.0</v>
      </c>
      <c r="B3176" s="1">
        <v>33.0</v>
      </c>
      <c r="C3176" s="1">
        <v>98.0</v>
      </c>
      <c r="D3176" s="1">
        <v>85.0</v>
      </c>
      <c r="F3176" s="1" t="str">
        <f>LOOKUP(A3176, NPCs!A:A, NPCs!C:C)</f>
        <v>Returned</v>
      </c>
      <c r="G3176" s="1" t="str">
        <f>LOOKUP(B3176, Maps!A:A, Maps!B:B)</f>
        <v>The Passing</v>
      </c>
    </row>
    <row r="3177" ht="15.75" customHeight="1">
      <c r="A3177" s="1">
        <v>146.0</v>
      </c>
      <c r="B3177" s="1">
        <v>33.0</v>
      </c>
      <c r="C3177" s="1">
        <v>98.0</v>
      </c>
      <c r="D3177" s="1">
        <v>90.0</v>
      </c>
      <c r="F3177" s="1" t="str">
        <f>LOOKUP(A3177, NPCs!A:A, NPCs!C:C)</f>
        <v>Returned</v>
      </c>
      <c r="G3177" s="1" t="str">
        <f>LOOKUP(B3177, Maps!A:A, Maps!B:B)</f>
        <v>The Passing</v>
      </c>
    </row>
    <row r="3178" ht="15.75" customHeight="1">
      <c r="A3178" s="1">
        <v>146.0</v>
      </c>
      <c r="B3178" s="1">
        <v>33.0</v>
      </c>
      <c r="C3178" s="1">
        <v>93.0</v>
      </c>
      <c r="D3178" s="1">
        <v>90.0</v>
      </c>
      <c r="F3178" s="1" t="str">
        <f>LOOKUP(A3178, NPCs!A:A, NPCs!C:C)</f>
        <v>Returned</v>
      </c>
      <c r="G3178" s="1" t="str">
        <f>LOOKUP(B3178, Maps!A:A, Maps!B:B)</f>
        <v>The Passing</v>
      </c>
    </row>
    <row r="3179" ht="15.75" customHeight="1">
      <c r="A3179" s="1">
        <v>146.0</v>
      </c>
      <c r="B3179" s="1">
        <v>33.0</v>
      </c>
      <c r="C3179" s="1">
        <v>88.0</v>
      </c>
      <c r="D3179" s="1">
        <v>90.0</v>
      </c>
      <c r="F3179" s="1" t="str">
        <f>LOOKUP(A3179, NPCs!A:A, NPCs!C:C)</f>
        <v>Returned</v>
      </c>
      <c r="G3179" s="1" t="str">
        <f>LOOKUP(B3179, Maps!A:A, Maps!B:B)</f>
        <v>The Passing</v>
      </c>
    </row>
    <row r="3180" ht="15.75" customHeight="1">
      <c r="A3180" s="1">
        <v>146.0</v>
      </c>
      <c r="B3180" s="1">
        <v>33.0</v>
      </c>
      <c r="C3180" s="1">
        <v>88.0</v>
      </c>
      <c r="D3180" s="1">
        <v>95.0</v>
      </c>
      <c r="F3180" s="1" t="str">
        <f>LOOKUP(A3180, NPCs!A:A, NPCs!C:C)</f>
        <v>Returned</v>
      </c>
      <c r="G3180" s="1" t="str">
        <f>LOOKUP(B3180, Maps!A:A, Maps!B:B)</f>
        <v>The Passing</v>
      </c>
    </row>
    <row r="3181" ht="15.75" customHeight="1">
      <c r="A3181" s="1">
        <v>146.0</v>
      </c>
      <c r="B3181" s="1">
        <v>33.0</v>
      </c>
      <c r="C3181" s="1">
        <v>93.0</v>
      </c>
      <c r="D3181" s="1">
        <v>95.0</v>
      </c>
      <c r="F3181" s="1" t="str">
        <f>LOOKUP(A3181, NPCs!A:A, NPCs!C:C)</f>
        <v>Returned</v>
      </c>
      <c r="G3181" s="1" t="str">
        <f>LOOKUP(B3181, Maps!A:A, Maps!B:B)</f>
        <v>The Passing</v>
      </c>
    </row>
    <row r="3182" ht="15.75" customHeight="1">
      <c r="A3182" s="1">
        <v>146.0</v>
      </c>
      <c r="B3182" s="1">
        <v>33.0</v>
      </c>
      <c r="C3182" s="1">
        <v>98.0</v>
      </c>
      <c r="D3182" s="1">
        <v>95.0</v>
      </c>
      <c r="F3182" s="1" t="str">
        <f>LOOKUP(A3182, NPCs!A:A, NPCs!C:C)</f>
        <v>Returned</v>
      </c>
      <c r="G3182" s="1" t="str">
        <f>LOOKUP(B3182, Maps!A:A, Maps!B:B)</f>
        <v>The Passing</v>
      </c>
    </row>
    <row r="3183" ht="15.75" customHeight="1">
      <c r="A3183" s="1">
        <v>146.0</v>
      </c>
      <c r="B3183" s="1">
        <v>33.0</v>
      </c>
      <c r="C3183" s="1">
        <v>98.0</v>
      </c>
      <c r="D3183" s="1">
        <v>99.0</v>
      </c>
      <c r="F3183" s="1" t="str">
        <f>LOOKUP(A3183, NPCs!A:A, NPCs!C:C)</f>
        <v>Returned</v>
      </c>
      <c r="G3183" s="1" t="str">
        <f>LOOKUP(B3183, Maps!A:A, Maps!B:B)</f>
        <v>The Passing</v>
      </c>
    </row>
    <row r="3184" ht="15.75" customHeight="1">
      <c r="A3184" s="1">
        <v>146.0</v>
      </c>
      <c r="B3184" s="1">
        <v>33.0</v>
      </c>
      <c r="C3184" s="1">
        <v>93.0</v>
      </c>
      <c r="D3184" s="1">
        <v>99.0</v>
      </c>
      <c r="F3184" s="1" t="str">
        <f>LOOKUP(A3184, NPCs!A:A, NPCs!C:C)</f>
        <v>Returned</v>
      </c>
      <c r="G3184" s="1" t="str">
        <f>LOOKUP(B3184, Maps!A:A, Maps!B:B)</f>
        <v>The Passing</v>
      </c>
    </row>
    <row r="3185" ht="15.75" customHeight="1">
      <c r="A3185" s="1">
        <v>146.0</v>
      </c>
      <c r="B3185" s="1">
        <v>33.0</v>
      </c>
      <c r="C3185" s="1">
        <v>88.0</v>
      </c>
      <c r="D3185" s="1">
        <v>99.0</v>
      </c>
      <c r="F3185" s="1" t="str">
        <f>LOOKUP(A3185, NPCs!A:A, NPCs!C:C)</f>
        <v>Returned</v>
      </c>
      <c r="G3185" s="1" t="str">
        <f>LOOKUP(B3185, Maps!A:A, Maps!B:B)</f>
        <v>The Passing</v>
      </c>
    </row>
    <row r="3186" ht="15.75" customHeight="1">
      <c r="A3186" s="1">
        <v>146.0</v>
      </c>
      <c r="B3186" s="1">
        <v>33.0</v>
      </c>
      <c r="C3186" s="1">
        <v>83.0</v>
      </c>
      <c r="D3186" s="1">
        <v>99.0</v>
      </c>
      <c r="F3186" s="1" t="str">
        <f>LOOKUP(A3186, NPCs!A:A, NPCs!C:C)</f>
        <v>Returned</v>
      </c>
      <c r="G3186" s="1" t="str">
        <f>LOOKUP(B3186, Maps!A:A, Maps!B:B)</f>
        <v>The Passing</v>
      </c>
    </row>
    <row r="3187" ht="15.75" customHeight="1">
      <c r="A3187" s="1">
        <v>146.0</v>
      </c>
      <c r="B3187" s="1">
        <v>33.0</v>
      </c>
      <c r="C3187" s="1">
        <v>83.0</v>
      </c>
      <c r="D3187" s="1">
        <v>95.0</v>
      </c>
      <c r="F3187" s="1" t="str">
        <f>LOOKUP(A3187, NPCs!A:A, NPCs!C:C)</f>
        <v>Returned</v>
      </c>
      <c r="G3187" s="1" t="str">
        <f>LOOKUP(B3187, Maps!A:A, Maps!B:B)</f>
        <v>The Passing</v>
      </c>
    </row>
    <row r="3188" ht="15.75" customHeight="1">
      <c r="A3188" s="1">
        <v>146.0</v>
      </c>
      <c r="B3188" s="1">
        <v>33.0</v>
      </c>
      <c r="C3188" s="1">
        <v>78.0</v>
      </c>
      <c r="D3188" s="1">
        <v>95.0</v>
      </c>
      <c r="F3188" s="1" t="str">
        <f>LOOKUP(A3188, NPCs!A:A, NPCs!C:C)</f>
        <v>Returned</v>
      </c>
      <c r="G3188" s="1" t="str">
        <f>LOOKUP(B3188, Maps!A:A, Maps!B:B)</f>
        <v>The Passing</v>
      </c>
    </row>
    <row r="3189" ht="15.75" customHeight="1">
      <c r="A3189" s="1">
        <v>146.0</v>
      </c>
      <c r="B3189" s="1">
        <v>33.0</v>
      </c>
      <c r="C3189" s="1">
        <v>78.0</v>
      </c>
      <c r="D3189" s="1">
        <v>99.0</v>
      </c>
      <c r="F3189" s="1" t="str">
        <f>LOOKUP(A3189, NPCs!A:A, NPCs!C:C)</f>
        <v>Returned</v>
      </c>
      <c r="G3189" s="1" t="str">
        <f>LOOKUP(B3189, Maps!A:A, Maps!B:B)</f>
        <v>The Passing</v>
      </c>
    </row>
    <row r="3190" ht="15.75" customHeight="1">
      <c r="A3190" s="1">
        <v>146.0</v>
      </c>
      <c r="B3190" s="1">
        <v>33.0</v>
      </c>
      <c r="C3190" s="1">
        <v>73.0</v>
      </c>
      <c r="D3190" s="1">
        <v>99.0</v>
      </c>
      <c r="F3190" s="1" t="str">
        <f>LOOKUP(A3190, NPCs!A:A, NPCs!C:C)</f>
        <v>Returned</v>
      </c>
      <c r="G3190" s="1" t="str">
        <f>LOOKUP(B3190, Maps!A:A, Maps!B:B)</f>
        <v>The Passing</v>
      </c>
    </row>
    <row r="3191" ht="15.75" customHeight="1">
      <c r="A3191" s="1">
        <v>146.0</v>
      </c>
      <c r="B3191" s="1">
        <v>33.0</v>
      </c>
      <c r="C3191" s="1">
        <v>73.0</v>
      </c>
      <c r="D3191" s="1">
        <v>95.0</v>
      </c>
      <c r="F3191" s="1" t="str">
        <f>LOOKUP(A3191, NPCs!A:A, NPCs!C:C)</f>
        <v>Returned</v>
      </c>
      <c r="G3191" s="1" t="str">
        <f>LOOKUP(B3191, Maps!A:A, Maps!B:B)</f>
        <v>The Passing</v>
      </c>
    </row>
    <row r="3192" ht="15.75" customHeight="1">
      <c r="A3192" s="1">
        <v>144.0</v>
      </c>
      <c r="B3192" s="1">
        <v>33.0</v>
      </c>
      <c r="C3192" s="1">
        <v>81.0</v>
      </c>
      <c r="D3192" s="1">
        <v>20.0</v>
      </c>
      <c r="F3192" s="1" t="str">
        <f>LOOKUP(A3192, NPCs!A:A, NPCs!C:C)</f>
        <v>Invisible 2</v>
      </c>
      <c r="G3192" s="1" t="str">
        <f>LOOKUP(B3192, Maps!A:A, Maps!B:B)</f>
        <v>The Passing</v>
      </c>
    </row>
    <row r="3193" ht="15.75" customHeight="1">
      <c r="A3193" s="1">
        <v>148.0</v>
      </c>
      <c r="B3193" s="1">
        <v>36.0</v>
      </c>
      <c r="C3193" s="1">
        <v>14.0</v>
      </c>
      <c r="D3193" s="1">
        <v>6.0</v>
      </c>
      <c r="F3193" s="1" t="str">
        <f>LOOKUP(A3193, NPCs!A:A, NPCs!C:C)</f>
        <v>Tailoring Supplies</v>
      </c>
      <c r="G3193" s="1" t="str">
        <f>LOOKUP(B3193, Maps!A:A, Maps!B:B)</f>
        <v>Shops</v>
      </c>
    </row>
    <row r="3194" ht="15.75" customHeight="1">
      <c r="A3194" s="1">
        <v>149.0</v>
      </c>
      <c r="B3194" s="1">
        <v>36.0</v>
      </c>
      <c r="C3194" s="1">
        <v>2.0</v>
      </c>
      <c r="D3194" s="1">
        <v>41.0</v>
      </c>
      <c r="F3194" s="1" t="str">
        <f>LOOKUP(A3194, NPCs!A:A, NPCs!C:C)</f>
        <v>Smithing Supplies</v>
      </c>
      <c r="G3194" s="1" t="str">
        <f>LOOKUP(B3194, Maps!A:A, Maps!B:B)</f>
        <v>Shops</v>
      </c>
    </row>
    <row r="3195" ht="15.75" customHeight="1">
      <c r="A3195" s="1">
        <v>150.0</v>
      </c>
      <c r="B3195" s="1">
        <v>36.0</v>
      </c>
      <c r="C3195" s="1">
        <v>24.0</v>
      </c>
      <c r="D3195" s="1">
        <v>6.0</v>
      </c>
      <c r="F3195" s="1" t="str">
        <f>LOOKUP(A3195, NPCs!A:A, NPCs!C:C)</f>
        <v>Scriber</v>
      </c>
      <c r="G3195" s="1" t="str">
        <f>LOOKUP(B3195, Maps!A:A, Maps!B:B)</f>
        <v>Shops</v>
      </c>
    </row>
    <row r="3196" ht="15.75" customHeight="1">
      <c r="A3196" s="1">
        <v>151.0</v>
      </c>
      <c r="B3196" s="1">
        <v>34.0</v>
      </c>
      <c r="C3196" s="1">
        <v>52.0</v>
      </c>
      <c r="D3196" s="1">
        <v>44.0</v>
      </c>
      <c r="F3196" s="1" t="str">
        <f>LOOKUP(A3196, NPCs!A:A, NPCs!C:C)</f>
        <v>Richard</v>
      </c>
      <c r="G3196" s="1" t="str">
        <f>LOOKUP(B3196, Maps!A:A, Maps!B:B)</f>
        <v>Winter Heights</v>
      </c>
    </row>
    <row r="3197" ht="15.75" customHeight="1">
      <c r="A3197" s="1">
        <v>151.0</v>
      </c>
      <c r="B3197" s="1">
        <v>34.0</v>
      </c>
      <c r="C3197" s="1">
        <v>57.0</v>
      </c>
      <c r="D3197" s="1">
        <v>44.0</v>
      </c>
      <c r="F3197" s="1" t="str">
        <f>LOOKUP(A3197, NPCs!A:A, NPCs!C:C)</f>
        <v>Richard</v>
      </c>
      <c r="G3197" s="1" t="str">
        <f>LOOKUP(B3197, Maps!A:A, Maps!B:B)</f>
        <v>Winter Heights</v>
      </c>
    </row>
    <row r="3198" ht="15.75" customHeight="1">
      <c r="A3198" s="1">
        <v>151.0</v>
      </c>
      <c r="B3198" s="1">
        <v>34.0</v>
      </c>
      <c r="C3198" s="1">
        <v>59.0</v>
      </c>
      <c r="D3198" s="1">
        <v>38.0</v>
      </c>
      <c r="F3198" s="1" t="str">
        <f>LOOKUP(A3198, NPCs!A:A, NPCs!C:C)</f>
        <v>Richard</v>
      </c>
      <c r="G3198" s="1" t="str">
        <f>LOOKUP(B3198, Maps!A:A, Maps!B:B)</f>
        <v>Winter Heights</v>
      </c>
    </row>
    <row r="3199" ht="15.75" customHeight="1">
      <c r="A3199" s="1">
        <v>151.0</v>
      </c>
      <c r="B3199" s="1">
        <v>34.0</v>
      </c>
      <c r="C3199" s="1">
        <v>57.0</v>
      </c>
      <c r="D3199" s="1">
        <v>32.0</v>
      </c>
      <c r="F3199" s="1" t="str">
        <f>LOOKUP(A3199, NPCs!A:A, NPCs!C:C)</f>
        <v>Richard</v>
      </c>
      <c r="G3199" s="1" t="str">
        <f>LOOKUP(B3199, Maps!A:A, Maps!B:B)</f>
        <v>Winter Heights</v>
      </c>
    </row>
    <row r="3200" ht="15.75" customHeight="1">
      <c r="A3200" s="1">
        <v>151.0</v>
      </c>
      <c r="B3200" s="1">
        <v>34.0</v>
      </c>
      <c r="C3200" s="1">
        <v>50.0</v>
      </c>
      <c r="D3200" s="1">
        <v>36.0</v>
      </c>
      <c r="F3200" s="1" t="str">
        <f>LOOKUP(A3200, NPCs!A:A, NPCs!C:C)</f>
        <v>Richard</v>
      </c>
      <c r="G3200" s="1" t="str">
        <f>LOOKUP(B3200, Maps!A:A, Maps!B:B)</f>
        <v>Winter Heights</v>
      </c>
    </row>
    <row r="3201" ht="15.75" customHeight="1">
      <c r="A3201" s="1">
        <v>151.0</v>
      </c>
      <c r="B3201" s="1">
        <v>34.0</v>
      </c>
      <c r="C3201" s="1">
        <v>45.0</v>
      </c>
      <c r="D3201" s="1">
        <v>42.0</v>
      </c>
      <c r="F3201" s="1" t="str">
        <f>LOOKUP(A3201, NPCs!A:A, NPCs!C:C)</f>
        <v>Richard</v>
      </c>
      <c r="G3201" s="1" t="str">
        <f>LOOKUP(B3201, Maps!A:A, Maps!B:B)</f>
        <v>Winter Heights</v>
      </c>
    </row>
    <row r="3202" ht="15.75" customHeight="1">
      <c r="A3202" s="1">
        <v>151.0</v>
      </c>
      <c r="B3202" s="1">
        <v>34.0</v>
      </c>
      <c r="C3202" s="1">
        <v>38.0</v>
      </c>
      <c r="D3202" s="1">
        <v>39.0</v>
      </c>
      <c r="F3202" s="1" t="str">
        <f>LOOKUP(A3202, NPCs!A:A, NPCs!C:C)</f>
        <v>Richard</v>
      </c>
      <c r="G3202" s="1" t="str">
        <f>LOOKUP(B3202, Maps!A:A, Maps!B:B)</f>
        <v>Winter Heights</v>
      </c>
    </row>
    <row r="3203" ht="15.75" customHeight="1">
      <c r="A3203" s="1">
        <v>151.0</v>
      </c>
      <c r="B3203" s="1">
        <v>34.0</v>
      </c>
      <c r="C3203" s="1">
        <v>37.0</v>
      </c>
      <c r="D3203" s="1">
        <v>39.0</v>
      </c>
      <c r="F3203" s="1" t="str">
        <f>LOOKUP(A3203, NPCs!A:A, NPCs!C:C)</f>
        <v>Richard</v>
      </c>
      <c r="G3203" s="1" t="str">
        <f>LOOKUP(B3203, Maps!A:A, Maps!B:B)</f>
        <v>Winter Heights</v>
      </c>
    </row>
    <row r="3204" ht="15.75" customHeight="1">
      <c r="A3204" s="1">
        <v>151.0</v>
      </c>
      <c r="B3204" s="1">
        <v>34.0</v>
      </c>
      <c r="C3204" s="1">
        <v>30.0</v>
      </c>
      <c r="D3204" s="1">
        <v>42.0</v>
      </c>
      <c r="F3204" s="1" t="str">
        <f>LOOKUP(A3204, NPCs!A:A, NPCs!C:C)</f>
        <v>Richard</v>
      </c>
      <c r="G3204" s="1" t="str">
        <f>LOOKUP(B3204, Maps!A:A, Maps!B:B)</f>
        <v>Winter Heights</v>
      </c>
    </row>
    <row r="3205" ht="15.75" customHeight="1">
      <c r="A3205" s="1">
        <v>151.0</v>
      </c>
      <c r="B3205" s="1">
        <v>34.0</v>
      </c>
      <c r="C3205" s="1">
        <v>25.0</v>
      </c>
      <c r="D3205" s="1">
        <v>48.0</v>
      </c>
      <c r="F3205" s="1" t="str">
        <f>LOOKUP(A3205, NPCs!A:A, NPCs!C:C)</f>
        <v>Richard</v>
      </c>
      <c r="G3205" s="1" t="str">
        <f>LOOKUP(B3205, Maps!A:A, Maps!B:B)</f>
        <v>Winter Heights</v>
      </c>
    </row>
    <row r="3206" ht="15.75" customHeight="1">
      <c r="A3206" s="1">
        <v>151.0</v>
      </c>
      <c r="B3206" s="1">
        <v>34.0</v>
      </c>
      <c r="C3206" s="1">
        <v>18.0</v>
      </c>
      <c r="D3206" s="1">
        <v>48.0</v>
      </c>
      <c r="F3206" s="1" t="str">
        <f>LOOKUP(A3206, NPCs!A:A, NPCs!C:C)</f>
        <v>Richard</v>
      </c>
      <c r="G3206" s="1" t="str">
        <f>LOOKUP(B3206, Maps!A:A, Maps!B:B)</f>
        <v>Winter Heights</v>
      </c>
    </row>
    <row r="3207" ht="15.75" customHeight="1">
      <c r="A3207" s="1">
        <v>151.0</v>
      </c>
      <c r="B3207" s="1">
        <v>34.0</v>
      </c>
      <c r="C3207" s="1">
        <v>21.0</v>
      </c>
      <c r="D3207" s="1">
        <v>42.0</v>
      </c>
      <c r="F3207" s="1" t="str">
        <f>LOOKUP(A3207, NPCs!A:A, NPCs!C:C)</f>
        <v>Richard</v>
      </c>
      <c r="G3207" s="1" t="str">
        <f>LOOKUP(B3207, Maps!A:A, Maps!B:B)</f>
        <v>Winter Heights</v>
      </c>
    </row>
    <row r="3208" ht="15.75" customHeight="1">
      <c r="A3208" s="1">
        <v>151.0</v>
      </c>
      <c r="B3208" s="1">
        <v>34.0</v>
      </c>
      <c r="C3208" s="1">
        <v>12.0</v>
      </c>
      <c r="D3208" s="1">
        <v>42.0</v>
      </c>
      <c r="F3208" s="1" t="str">
        <f>LOOKUP(A3208, NPCs!A:A, NPCs!C:C)</f>
        <v>Richard</v>
      </c>
      <c r="G3208" s="1" t="str">
        <f>LOOKUP(B3208, Maps!A:A, Maps!B:B)</f>
        <v>Winter Heights</v>
      </c>
    </row>
    <row r="3209" ht="15.75" customHeight="1">
      <c r="A3209" s="1">
        <v>151.0</v>
      </c>
      <c r="B3209" s="1">
        <v>34.0</v>
      </c>
      <c r="C3209" s="1">
        <v>7.0</v>
      </c>
      <c r="D3209" s="1">
        <v>37.0</v>
      </c>
      <c r="F3209" s="1" t="str">
        <f>LOOKUP(A3209, NPCs!A:A, NPCs!C:C)</f>
        <v>Richard</v>
      </c>
      <c r="G3209" s="1" t="str">
        <f>LOOKUP(B3209, Maps!A:A, Maps!B:B)</f>
        <v>Winter Heights</v>
      </c>
    </row>
    <row r="3210" ht="15.75" customHeight="1">
      <c r="A3210" s="1">
        <v>151.0</v>
      </c>
      <c r="B3210" s="1">
        <v>34.0</v>
      </c>
      <c r="C3210" s="1">
        <v>17.0</v>
      </c>
      <c r="D3210" s="1">
        <v>37.0</v>
      </c>
      <c r="F3210" s="1" t="str">
        <f>LOOKUP(A3210, NPCs!A:A, NPCs!C:C)</f>
        <v>Richard</v>
      </c>
      <c r="G3210" s="1" t="str">
        <f>LOOKUP(B3210, Maps!A:A, Maps!B:B)</f>
        <v>Winter Heights</v>
      </c>
    </row>
    <row r="3211" ht="15.75" customHeight="1">
      <c r="A3211" s="1">
        <v>151.0</v>
      </c>
      <c r="B3211" s="1">
        <v>34.0</v>
      </c>
      <c r="C3211" s="1">
        <v>25.0</v>
      </c>
      <c r="D3211" s="1">
        <v>37.0</v>
      </c>
      <c r="F3211" s="1" t="str">
        <f>LOOKUP(A3211, NPCs!A:A, NPCs!C:C)</f>
        <v>Richard</v>
      </c>
      <c r="G3211" s="1" t="str">
        <f>LOOKUP(B3211, Maps!A:A, Maps!B:B)</f>
        <v>Winter Heights</v>
      </c>
    </row>
    <row r="3212" ht="15.75" customHeight="1">
      <c r="A3212" s="1">
        <v>151.0</v>
      </c>
      <c r="B3212" s="1">
        <v>34.0</v>
      </c>
      <c r="C3212" s="1">
        <v>6.0</v>
      </c>
      <c r="D3212" s="1">
        <v>28.0</v>
      </c>
      <c r="F3212" s="1" t="str">
        <f>LOOKUP(A3212, NPCs!A:A, NPCs!C:C)</f>
        <v>Richard</v>
      </c>
      <c r="G3212" s="1" t="str">
        <f>LOOKUP(B3212, Maps!A:A, Maps!B:B)</f>
        <v>Winter Heights</v>
      </c>
    </row>
    <row r="3213" ht="15.75" customHeight="1">
      <c r="A3213" s="1">
        <v>151.0</v>
      </c>
      <c r="B3213" s="1">
        <v>34.0</v>
      </c>
      <c r="C3213" s="1">
        <v>14.0</v>
      </c>
      <c r="D3213" s="1">
        <v>24.0</v>
      </c>
      <c r="F3213" s="1" t="str">
        <f>LOOKUP(A3213, NPCs!A:A, NPCs!C:C)</f>
        <v>Richard</v>
      </c>
      <c r="G3213" s="1" t="str">
        <f>LOOKUP(B3213, Maps!A:A, Maps!B:B)</f>
        <v>Winter Heights</v>
      </c>
    </row>
    <row r="3214" ht="15.75" customHeight="1">
      <c r="A3214" s="1">
        <v>151.0</v>
      </c>
      <c r="B3214" s="1">
        <v>34.0</v>
      </c>
      <c r="C3214" s="1">
        <v>17.0</v>
      </c>
      <c r="D3214" s="1">
        <v>27.0</v>
      </c>
      <c r="F3214" s="1" t="str">
        <f>LOOKUP(A3214, NPCs!A:A, NPCs!C:C)</f>
        <v>Richard</v>
      </c>
      <c r="G3214" s="1" t="str">
        <f>LOOKUP(B3214, Maps!A:A, Maps!B:B)</f>
        <v>Winter Heights</v>
      </c>
    </row>
    <row r="3215" ht="15.75" customHeight="1">
      <c r="A3215" s="1">
        <v>151.0</v>
      </c>
      <c r="B3215" s="1">
        <v>34.0</v>
      </c>
      <c r="C3215" s="1">
        <v>20.0</v>
      </c>
      <c r="D3215" s="1">
        <v>31.0</v>
      </c>
      <c r="F3215" s="1" t="str">
        <f>LOOKUP(A3215, NPCs!A:A, NPCs!C:C)</f>
        <v>Richard</v>
      </c>
      <c r="G3215" s="1" t="str">
        <f>LOOKUP(B3215, Maps!A:A, Maps!B:B)</f>
        <v>Winter Heights</v>
      </c>
    </row>
    <row r="3216" ht="15.75" customHeight="1">
      <c r="A3216" s="1">
        <v>151.0</v>
      </c>
      <c r="B3216" s="1">
        <v>34.0</v>
      </c>
      <c r="C3216" s="1">
        <v>30.0</v>
      </c>
      <c r="D3216" s="1">
        <v>30.0</v>
      </c>
      <c r="F3216" s="1" t="str">
        <f>LOOKUP(A3216, NPCs!A:A, NPCs!C:C)</f>
        <v>Richard</v>
      </c>
      <c r="G3216" s="1" t="str">
        <f>LOOKUP(B3216, Maps!A:A, Maps!B:B)</f>
        <v>Winter Heights</v>
      </c>
    </row>
    <row r="3217" ht="15.75" customHeight="1">
      <c r="A3217" s="1">
        <v>151.0</v>
      </c>
      <c r="B3217" s="1">
        <v>34.0</v>
      </c>
      <c r="C3217" s="1">
        <v>37.0</v>
      </c>
      <c r="D3217" s="1">
        <v>33.0</v>
      </c>
      <c r="F3217" s="1" t="str">
        <f>LOOKUP(A3217, NPCs!A:A, NPCs!C:C)</f>
        <v>Richard</v>
      </c>
      <c r="G3217" s="1" t="str">
        <f>LOOKUP(B3217, Maps!A:A, Maps!B:B)</f>
        <v>Winter Heights</v>
      </c>
    </row>
    <row r="3218" ht="15.75" customHeight="1">
      <c r="A3218" s="1">
        <v>151.0</v>
      </c>
      <c r="B3218" s="1">
        <v>34.0</v>
      </c>
      <c r="C3218" s="1">
        <v>38.0</v>
      </c>
      <c r="D3218" s="1">
        <v>26.0</v>
      </c>
      <c r="F3218" s="1" t="str">
        <f>LOOKUP(A3218, NPCs!A:A, NPCs!C:C)</f>
        <v>Richard</v>
      </c>
      <c r="G3218" s="1" t="str">
        <f>LOOKUP(B3218, Maps!A:A, Maps!B:B)</f>
        <v>Winter Heights</v>
      </c>
    </row>
    <row r="3219" ht="15.75" customHeight="1">
      <c r="A3219" s="1">
        <v>151.0</v>
      </c>
      <c r="B3219" s="1">
        <v>34.0</v>
      </c>
      <c r="C3219" s="1">
        <v>33.0</v>
      </c>
      <c r="D3219" s="1">
        <v>25.0</v>
      </c>
      <c r="F3219" s="1" t="str">
        <f>LOOKUP(A3219, NPCs!A:A, NPCs!C:C)</f>
        <v>Richard</v>
      </c>
      <c r="G3219" s="1" t="str">
        <f>LOOKUP(B3219, Maps!A:A, Maps!B:B)</f>
        <v>Winter Heights</v>
      </c>
    </row>
    <row r="3220" ht="15.75" customHeight="1">
      <c r="A3220" s="1">
        <v>151.0</v>
      </c>
      <c r="B3220" s="1">
        <v>34.0</v>
      </c>
      <c r="C3220" s="1">
        <v>33.0</v>
      </c>
      <c r="D3220" s="1">
        <v>21.0</v>
      </c>
      <c r="F3220" s="1" t="str">
        <f>LOOKUP(A3220, NPCs!A:A, NPCs!C:C)</f>
        <v>Richard</v>
      </c>
      <c r="G3220" s="1" t="str">
        <f>LOOKUP(B3220, Maps!A:A, Maps!B:B)</f>
        <v>Winter Heights</v>
      </c>
    </row>
    <row r="3221" ht="15.75" customHeight="1">
      <c r="A3221" s="1">
        <v>151.0</v>
      </c>
      <c r="B3221" s="1">
        <v>34.0</v>
      </c>
      <c r="C3221" s="1">
        <v>27.0</v>
      </c>
      <c r="D3221" s="1">
        <v>23.0</v>
      </c>
      <c r="F3221" s="1" t="str">
        <f>LOOKUP(A3221, NPCs!A:A, NPCs!C:C)</f>
        <v>Richard</v>
      </c>
      <c r="G3221" s="1" t="str">
        <f>LOOKUP(B3221, Maps!A:A, Maps!B:B)</f>
        <v>Winter Heights</v>
      </c>
    </row>
    <row r="3222" ht="15.75" customHeight="1">
      <c r="A3222" s="1">
        <v>151.0</v>
      </c>
      <c r="B3222" s="1">
        <v>34.0</v>
      </c>
      <c r="C3222" s="1">
        <v>8.0</v>
      </c>
      <c r="D3222" s="1">
        <v>18.0</v>
      </c>
      <c r="F3222" s="1" t="str">
        <f>LOOKUP(A3222, NPCs!A:A, NPCs!C:C)</f>
        <v>Richard</v>
      </c>
      <c r="G3222" s="1" t="str">
        <f>LOOKUP(B3222, Maps!A:A, Maps!B:B)</f>
        <v>Winter Heights</v>
      </c>
    </row>
    <row r="3223" ht="15.75" customHeight="1">
      <c r="A3223" s="1">
        <v>151.0</v>
      </c>
      <c r="B3223" s="1">
        <v>34.0</v>
      </c>
      <c r="C3223" s="1">
        <v>22.0</v>
      </c>
      <c r="D3223" s="1">
        <v>22.0</v>
      </c>
      <c r="F3223" s="1" t="str">
        <f>LOOKUP(A3223, NPCs!A:A, NPCs!C:C)</f>
        <v>Richard</v>
      </c>
      <c r="G3223" s="1" t="str">
        <f>LOOKUP(B3223, Maps!A:A, Maps!B:B)</f>
        <v>Winter Heights</v>
      </c>
    </row>
    <row r="3224" ht="15.75" customHeight="1">
      <c r="A3224" s="1">
        <v>151.0</v>
      </c>
      <c r="B3224" s="1">
        <v>34.0</v>
      </c>
      <c r="C3224" s="1">
        <v>25.0</v>
      </c>
      <c r="D3224" s="1">
        <v>16.0</v>
      </c>
      <c r="F3224" s="1" t="str">
        <f>LOOKUP(A3224, NPCs!A:A, NPCs!C:C)</f>
        <v>Richard</v>
      </c>
      <c r="G3224" s="1" t="str">
        <f>LOOKUP(B3224, Maps!A:A, Maps!B:B)</f>
        <v>Winter Heights</v>
      </c>
    </row>
    <row r="3225" ht="15.75" customHeight="1">
      <c r="A3225" s="1">
        <v>151.0</v>
      </c>
      <c r="B3225" s="1">
        <v>34.0</v>
      </c>
      <c r="C3225" s="1">
        <v>31.0</v>
      </c>
      <c r="D3225" s="1">
        <v>10.0</v>
      </c>
      <c r="F3225" s="1" t="str">
        <f>LOOKUP(A3225, NPCs!A:A, NPCs!C:C)</f>
        <v>Richard</v>
      </c>
      <c r="G3225" s="1" t="str">
        <f>LOOKUP(B3225, Maps!A:A, Maps!B:B)</f>
        <v>Winter Heights</v>
      </c>
    </row>
    <row r="3226" ht="15.75" customHeight="1">
      <c r="A3226" s="1">
        <v>151.0</v>
      </c>
      <c r="B3226" s="1">
        <v>34.0</v>
      </c>
      <c r="C3226" s="1">
        <v>31.0</v>
      </c>
      <c r="D3226" s="1">
        <v>4.0</v>
      </c>
      <c r="F3226" s="1" t="str">
        <f>LOOKUP(A3226, NPCs!A:A, NPCs!C:C)</f>
        <v>Richard</v>
      </c>
      <c r="G3226" s="1" t="str">
        <f>LOOKUP(B3226, Maps!A:A, Maps!B:B)</f>
        <v>Winter Heights</v>
      </c>
    </row>
    <row r="3227" ht="15.75" customHeight="1">
      <c r="A3227" s="1">
        <v>151.0</v>
      </c>
      <c r="B3227" s="1">
        <v>34.0</v>
      </c>
      <c r="C3227" s="1">
        <v>19.0</v>
      </c>
      <c r="D3227" s="1">
        <v>4.0</v>
      </c>
      <c r="F3227" s="1" t="str">
        <f>LOOKUP(A3227, NPCs!A:A, NPCs!C:C)</f>
        <v>Richard</v>
      </c>
      <c r="G3227" s="1" t="str">
        <f>LOOKUP(B3227, Maps!A:A, Maps!B:B)</f>
        <v>Winter Heights</v>
      </c>
    </row>
    <row r="3228" ht="15.75" customHeight="1">
      <c r="A3228" s="1">
        <v>151.0</v>
      </c>
      <c r="B3228" s="1">
        <v>34.0</v>
      </c>
      <c r="C3228" s="1">
        <v>13.0</v>
      </c>
      <c r="D3228" s="1">
        <v>4.0</v>
      </c>
      <c r="F3228" s="1" t="str">
        <f>LOOKUP(A3228, NPCs!A:A, NPCs!C:C)</f>
        <v>Richard</v>
      </c>
      <c r="G3228" s="1" t="str">
        <f>LOOKUP(B3228, Maps!A:A, Maps!B:B)</f>
        <v>Winter Heights</v>
      </c>
    </row>
    <row r="3229" ht="15.75" customHeight="1">
      <c r="A3229" s="1">
        <v>151.0</v>
      </c>
      <c r="B3229" s="1">
        <v>34.0</v>
      </c>
      <c r="C3229" s="1">
        <v>16.0</v>
      </c>
      <c r="D3229" s="1">
        <v>1.0</v>
      </c>
      <c r="F3229" s="1" t="str">
        <f>LOOKUP(A3229, NPCs!A:A, NPCs!C:C)</f>
        <v>Richard</v>
      </c>
      <c r="G3229" s="1" t="str">
        <f>LOOKUP(B3229, Maps!A:A, Maps!B:B)</f>
        <v>Winter Heights</v>
      </c>
    </row>
    <row r="3230" ht="15.75" customHeight="1">
      <c r="A3230" s="1">
        <v>151.0</v>
      </c>
      <c r="B3230" s="1">
        <v>34.0</v>
      </c>
      <c r="C3230" s="1">
        <v>7.0</v>
      </c>
      <c r="D3230" s="1">
        <v>8.0</v>
      </c>
      <c r="F3230" s="1" t="str">
        <f>LOOKUP(A3230, NPCs!A:A, NPCs!C:C)</f>
        <v>Richard</v>
      </c>
      <c r="G3230" s="1" t="str">
        <f>LOOKUP(B3230, Maps!A:A, Maps!B:B)</f>
        <v>Winter Heights</v>
      </c>
    </row>
    <row r="3231" ht="15.75" customHeight="1">
      <c r="A3231" s="1">
        <v>151.0</v>
      </c>
      <c r="B3231" s="1">
        <v>34.0</v>
      </c>
      <c r="C3231" s="1">
        <v>42.0</v>
      </c>
      <c r="D3231" s="1">
        <v>6.0</v>
      </c>
      <c r="F3231" s="1" t="str">
        <f>LOOKUP(A3231, NPCs!A:A, NPCs!C:C)</f>
        <v>Richard</v>
      </c>
      <c r="G3231" s="1" t="str">
        <f>LOOKUP(B3231, Maps!A:A, Maps!B:B)</f>
        <v>Winter Heights</v>
      </c>
    </row>
    <row r="3232" ht="15.75" customHeight="1">
      <c r="A3232" s="1">
        <v>151.0</v>
      </c>
      <c r="B3232" s="1">
        <v>34.0</v>
      </c>
      <c r="C3232" s="1">
        <v>40.0</v>
      </c>
      <c r="D3232" s="1">
        <v>14.0</v>
      </c>
      <c r="F3232" s="1" t="str">
        <f>LOOKUP(A3232, NPCs!A:A, NPCs!C:C)</f>
        <v>Richard</v>
      </c>
      <c r="G3232" s="1" t="str">
        <f>LOOKUP(B3232, Maps!A:A, Maps!B:B)</f>
        <v>Winter Heights</v>
      </c>
    </row>
    <row r="3233" ht="15.75" customHeight="1">
      <c r="A3233" s="1">
        <v>151.0</v>
      </c>
      <c r="B3233" s="1">
        <v>34.0</v>
      </c>
      <c r="C3233" s="1">
        <v>47.0</v>
      </c>
      <c r="D3233" s="1">
        <v>20.0</v>
      </c>
      <c r="F3233" s="1" t="str">
        <f>LOOKUP(A3233, NPCs!A:A, NPCs!C:C)</f>
        <v>Richard</v>
      </c>
      <c r="G3233" s="1" t="str">
        <f>LOOKUP(B3233, Maps!A:A, Maps!B:B)</f>
        <v>Winter Heights</v>
      </c>
    </row>
    <row r="3234" ht="15.75" customHeight="1">
      <c r="A3234" s="1">
        <v>151.0</v>
      </c>
      <c r="B3234" s="1">
        <v>34.0</v>
      </c>
      <c r="C3234" s="1">
        <v>46.0</v>
      </c>
      <c r="D3234" s="1">
        <v>25.0</v>
      </c>
      <c r="F3234" s="1" t="str">
        <f>LOOKUP(A3234, NPCs!A:A, NPCs!C:C)</f>
        <v>Richard</v>
      </c>
      <c r="G3234" s="1" t="str">
        <f>LOOKUP(B3234, Maps!A:A, Maps!B:B)</f>
        <v>Winter Heights</v>
      </c>
    </row>
    <row r="3235" ht="15.75" customHeight="1">
      <c r="A3235" s="1">
        <v>151.0</v>
      </c>
      <c r="B3235" s="1">
        <v>34.0</v>
      </c>
      <c r="C3235" s="1">
        <v>53.0</v>
      </c>
      <c r="D3235" s="1">
        <v>28.0</v>
      </c>
      <c r="F3235" s="1" t="str">
        <f>LOOKUP(A3235, NPCs!A:A, NPCs!C:C)</f>
        <v>Richard</v>
      </c>
      <c r="G3235" s="1" t="str">
        <f>LOOKUP(B3235, Maps!A:A, Maps!B:B)</f>
        <v>Winter Heights</v>
      </c>
    </row>
    <row r="3236" ht="15.75" customHeight="1">
      <c r="A3236" s="1">
        <v>151.0</v>
      </c>
      <c r="B3236" s="1">
        <v>34.0</v>
      </c>
      <c r="C3236" s="1">
        <v>63.0</v>
      </c>
      <c r="D3236" s="1">
        <v>27.0</v>
      </c>
      <c r="F3236" s="1" t="str">
        <f>LOOKUP(A3236, NPCs!A:A, NPCs!C:C)</f>
        <v>Richard</v>
      </c>
      <c r="G3236" s="1" t="str">
        <f>LOOKUP(B3236, Maps!A:A, Maps!B:B)</f>
        <v>Winter Heights</v>
      </c>
    </row>
    <row r="3237" ht="15.75" customHeight="1">
      <c r="A3237" s="1">
        <v>151.0</v>
      </c>
      <c r="B3237" s="1">
        <v>34.0</v>
      </c>
      <c r="C3237" s="1">
        <v>64.0</v>
      </c>
      <c r="D3237" s="1">
        <v>25.0</v>
      </c>
      <c r="F3237" s="1" t="str">
        <f>LOOKUP(A3237, NPCs!A:A, NPCs!C:C)</f>
        <v>Richard</v>
      </c>
      <c r="G3237" s="1" t="str">
        <f>LOOKUP(B3237, Maps!A:A, Maps!B:B)</f>
        <v>Winter Heights</v>
      </c>
    </row>
    <row r="3238" ht="15.75" customHeight="1">
      <c r="A3238" s="1">
        <v>151.0</v>
      </c>
      <c r="B3238" s="1">
        <v>34.0</v>
      </c>
      <c r="C3238" s="1">
        <v>70.0</v>
      </c>
      <c r="D3238" s="1">
        <v>28.0</v>
      </c>
      <c r="F3238" s="1" t="str">
        <f>LOOKUP(A3238, NPCs!A:A, NPCs!C:C)</f>
        <v>Richard</v>
      </c>
      <c r="G3238" s="1" t="str">
        <f>LOOKUP(B3238, Maps!A:A, Maps!B:B)</f>
        <v>Winter Heights</v>
      </c>
    </row>
    <row r="3239" ht="15.75" customHeight="1">
      <c r="A3239" s="1">
        <v>151.0</v>
      </c>
      <c r="B3239" s="1">
        <v>34.0</v>
      </c>
      <c r="C3239" s="1">
        <v>70.0</v>
      </c>
      <c r="D3239" s="1">
        <v>35.0</v>
      </c>
      <c r="F3239" s="1" t="str">
        <f>LOOKUP(A3239, NPCs!A:A, NPCs!C:C)</f>
        <v>Richard</v>
      </c>
      <c r="G3239" s="1" t="str">
        <f>LOOKUP(B3239, Maps!A:A, Maps!B:B)</f>
        <v>Winter Heights</v>
      </c>
    </row>
    <row r="3240" ht="15.75" customHeight="1">
      <c r="A3240" s="1">
        <v>151.0</v>
      </c>
      <c r="B3240" s="1">
        <v>34.0</v>
      </c>
      <c r="C3240" s="1">
        <v>67.0</v>
      </c>
      <c r="D3240" s="1">
        <v>42.0</v>
      </c>
      <c r="F3240" s="1" t="str">
        <f>LOOKUP(A3240, NPCs!A:A, NPCs!C:C)</f>
        <v>Richard</v>
      </c>
      <c r="G3240" s="1" t="str">
        <f>LOOKUP(B3240, Maps!A:A, Maps!B:B)</f>
        <v>Winter Heights</v>
      </c>
    </row>
    <row r="3241" ht="15.75" customHeight="1">
      <c r="A3241" s="1">
        <v>151.0</v>
      </c>
      <c r="B3241" s="1">
        <v>34.0</v>
      </c>
      <c r="C3241" s="1">
        <v>76.0</v>
      </c>
      <c r="D3241" s="1">
        <v>46.0</v>
      </c>
      <c r="F3241" s="1" t="str">
        <f>LOOKUP(A3241, NPCs!A:A, NPCs!C:C)</f>
        <v>Richard</v>
      </c>
      <c r="G3241" s="1" t="str">
        <f>LOOKUP(B3241, Maps!A:A, Maps!B:B)</f>
        <v>Winter Heights</v>
      </c>
    </row>
    <row r="3242" ht="15.75" customHeight="1">
      <c r="A3242" s="1">
        <v>151.0</v>
      </c>
      <c r="B3242" s="1">
        <v>34.0</v>
      </c>
      <c r="C3242" s="1">
        <v>77.0</v>
      </c>
      <c r="D3242" s="1">
        <v>40.0</v>
      </c>
      <c r="F3242" s="1" t="str">
        <f>LOOKUP(A3242, NPCs!A:A, NPCs!C:C)</f>
        <v>Richard</v>
      </c>
      <c r="G3242" s="1" t="str">
        <f>LOOKUP(B3242, Maps!A:A, Maps!B:B)</f>
        <v>Winter Heights</v>
      </c>
    </row>
    <row r="3243" ht="15.75" customHeight="1">
      <c r="A3243" s="1">
        <v>151.0</v>
      </c>
      <c r="B3243" s="1">
        <v>34.0</v>
      </c>
      <c r="C3243" s="1">
        <v>81.0</v>
      </c>
      <c r="D3243" s="1">
        <v>40.0</v>
      </c>
      <c r="F3243" s="1" t="str">
        <f>LOOKUP(A3243, NPCs!A:A, NPCs!C:C)</f>
        <v>Richard</v>
      </c>
      <c r="G3243" s="1" t="str">
        <f>LOOKUP(B3243, Maps!A:A, Maps!B:B)</f>
        <v>Winter Heights</v>
      </c>
    </row>
    <row r="3244" ht="15.75" customHeight="1">
      <c r="A3244" s="1">
        <v>151.0</v>
      </c>
      <c r="B3244" s="1">
        <v>34.0</v>
      </c>
      <c r="C3244" s="1">
        <v>81.0</v>
      </c>
      <c r="D3244" s="1">
        <v>36.0</v>
      </c>
      <c r="F3244" s="1" t="str">
        <f>LOOKUP(A3244, NPCs!A:A, NPCs!C:C)</f>
        <v>Richard</v>
      </c>
      <c r="G3244" s="1" t="str">
        <f>LOOKUP(B3244, Maps!A:A, Maps!B:B)</f>
        <v>Winter Heights</v>
      </c>
    </row>
    <row r="3245" ht="15.75" customHeight="1">
      <c r="A3245" s="1">
        <v>151.0</v>
      </c>
      <c r="B3245" s="1">
        <v>34.0</v>
      </c>
      <c r="C3245" s="1">
        <v>86.0</v>
      </c>
      <c r="D3245" s="1">
        <v>40.0</v>
      </c>
      <c r="F3245" s="1" t="str">
        <f>LOOKUP(A3245, NPCs!A:A, NPCs!C:C)</f>
        <v>Richard</v>
      </c>
      <c r="G3245" s="1" t="str">
        <f>LOOKUP(B3245, Maps!A:A, Maps!B:B)</f>
        <v>Winter Heights</v>
      </c>
    </row>
    <row r="3246" ht="15.75" customHeight="1">
      <c r="A3246" s="1">
        <v>151.0</v>
      </c>
      <c r="B3246" s="1">
        <v>34.0</v>
      </c>
      <c r="C3246" s="1">
        <v>88.0</v>
      </c>
      <c r="D3246" s="1">
        <v>46.0</v>
      </c>
      <c r="F3246" s="1" t="str">
        <f>LOOKUP(A3246, NPCs!A:A, NPCs!C:C)</f>
        <v>Richard</v>
      </c>
      <c r="G3246" s="1" t="str">
        <f>LOOKUP(B3246, Maps!A:A, Maps!B:B)</f>
        <v>Winter Heights</v>
      </c>
    </row>
    <row r="3247" ht="15.75" customHeight="1">
      <c r="A3247" s="1">
        <v>151.0</v>
      </c>
      <c r="B3247" s="1">
        <v>34.0</v>
      </c>
      <c r="C3247" s="1">
        <v>96.0</v>
      </c>
      <c r="D3247" s="1">
        <v>46.0</v>
      </c>
      <c r="F3247" s="1" t="str">
        <f>LOOKUP(A3247, NPCs!A:A, NPCs!C:C)</f>
        <v>Richard</v>
      </c>
      <c r="G3247" s="1" t="str">
        <f>LOOKUP(B3247, Maps!A:A, Maps!B:B)</f>
        <v>Winter Heights</v>
      </c>
    </row>
    <row r="3248" ht="15.75" customHeight="1">
      <c r="A3248" s="1">
        <v>151.0</v>
      </c>
      <c r="B3248" s="1">
        <v>34.0</v>
      </c>
      <c r="C3248" s="1">
        <v>94.0</v>
      </c>
      <c r="D3248" s="1">
        <v>38.0</v>
      </c>
      <c r="F3248" s="1" t="str">
        <f>LOOKUP(A3248, NPCs!A:A, NPCs!C:C)</f>
        <v>Richard</v>
      </c>
      <c r="G3248" s="1" t="str">
        <f>LOOKUP(B3248, Maps!A:A, Maps!B:B)</f>
        <v>Winter Heights</v>
      </c>
    </row>
    <row r="3249" ht="15.75" customHeight="1">
      <c r="A3249" s="1">
        <v>151.0</v>
      </c>
      <c r="B3249" s="1">
        <v>34.0</v>
      </c>
      <c r="C3249" s="1">
        <v>90.0</v>
      </c>
      <c r="D3249" s="1">
        <v>33.0</v>
      </c>
      <c r="F3249" s="1" t="str">
        <f>LOOKUP(A3249, NPCs!A:A, NPCs!C:C)</f>
        <v>Richard</v>
      </c>
      <c r="G3249" s="1" t="str">
        <f>LOOKUP(B3249, Maps!A:A, Maps!B:B)</f>
        <v>Winter Heights</v>
      </c>
    </row>
    <row r="3250" ht="15.75" customHeight="1">
      <c r="A3250" s="1">
        <v>151.0</v>
      </c>
      <c r="B3250" s="1">
        <v>34.0</v>
      </c>
      <c r="C3250" s="1">
        <v>74.0</v>
      </c>
      <c r="D3250" s="1">
        <v>23.0</v>
      </c>
      <c r="F3250" s="1" t="str">
        <f>LOOKUP(A3250, NPCs!A:A, NPCs!C:C)</f>
        <v>Richard</v>
      </c>
      <c r="G3250" s="1" t="str">
        <f>LOOKUP(B3250, Maps!A:A, Maps!B:B)</f>
        <v>Winter Heights</v>
      </c>
    </row>
    <row r="3251" ht="15.75" customHeight="1">
      <c r="A3251" s="1">
        <v>151.0</v>
      </c>
      <c r="B3251" s="1">
        <v>34.0</v>
      </c>
      <c r="C3251" s="1">
        <v>80.0</v>
      </c>
      <c r="D3251" s="1">
        <v>26.0</v>
      </c>
      <c r="F3251" s="1" t="str">
        <f>LOOKUP(A3251, NPCs!A:A, NPCs!C:C)</f>
        <v>Richard</v>
      </c>
      <c r="G3251" s="1" t="str">
        <f>LOOKUP(B3251, Maps!A:A, Maps!B:B)</f>
        <v>Winter Heights</v>
      </c>
    </row>
    <row r="3252" ht="15.75" customHeight="1">
      <c r="A3252" s="1">
        <v>151.0</v>
      </c>
      <c r="B3252" s="1">
        <v>34.0</v>
      </c>
      <c r="C3252" s="1">
        <v>82.0</v>
      </c>
      <c r="D3252" s="1">
        <v>21.0</v>
      </c>
      <c r="F3252" s="1" t="str">
        <f>LOOKUP(A3252, NPCs!A:A, NPCs!C:C)</f>
        <v>Richard</v>
      </c>
      <c r="G3252" s="1" t="str">
        <f>LOOKUP(B3252, Maps!A:A, Maps!B:B)</f>
        <v>Winter Heights</v>
      </c>
    </row>
    <row r="3253" ht="15.75" customHeight="1">
      <c r="A3253" s="1">
        <v>151.0</v>
      </c>
      <c r="B3253" s="1">
        <v>34.0</v>
      </c>
      <c r="C3253" s="1">
        <v>90.0</v>
      </c>
      <c r="D3253" s="1">
        <v>22.0</v>
      </c>
      <c r="F3253" s="1" t="str">
        <f>LOOKUP(A3253, NPCs!A:A, NPCs!C:C)</f>
        <v>Richard</v>
      </c>
      <c r="G3253" s="1" t="str">
        <f>LOOKUP(B3253, Maps!A:A, Maps!B:B)</f>
        <v>Winter Heights</v>
      </c>
    </row>
    <row r="3254" ht="15.75" customHeight="1">
      <c r="A3254" s="1">
        <v>151.0</v>
      </c>
      <c r="B3254" s="1">
        <v>34.0</v>
      </c>
      <c r="C3254" s="1">
        <v>89.0</v>
      </c>
      <c r="D3254" s="1">
        <v>27.0</v>
      </c>
      <c r="F3254" s="1" t="str">
        <f>LOOKUP(A3254, NPCs!A:A, NPCs!C:C)</f>
        <v>Richard</v>
      </c>
      <c r="G3254" s="1" t="str">
        <f>LOOKUP(B3254, Maps!A:A, Maps!B:B)</f>
        <v>Winter Heights</v>
      </c>
    </row>
    <row r="3255" ht="15.75" customHeight="1">
      <c r="A3255" s="1">
        <v>151.0</v>
      </c>
      <c r="B3255" s="1">
        <v>34.0</v>
      </c>
      <c r="C3255" s="1">
        <v>97.0</v>
      </c>
      <c r="D3255" s="1">
        <v>27.0</v>
      </c>
      <c r="F3255" s="1" t="str">
        <f>LOOKUP(A3255, NPCs!A:A, NPCs!C:C)</f>
        <v>Richard</v>
      </c>
      <c r="G3255" s="1" t="str">
        <f>LOOKUP(B3255, Maps!A:A, Maps!B:B)</f>
        <v>Winter Heights</v>
      </c>
    </row>
    <row r="3256" ht="15.75" customHeight="1">
      <c r="A3256" s="1">
        <v>151.0</v>
      </c>
      <c r="B3256" s="1">
        <v>34.0</v>
      </c>
      <c r="C3256" s="1">
        <v>93.0</v>
      </c>
      <c r="D3256" s="1">
        <v>20.0</v>
      </c>
      <c r="F3256" s="1" t="str">
        <f>LOOKUP(A3256, NPCs!A:A, NPCs!C:C)</f>
        <v>Richard</v>
      </c>
      <c r="G3256" s="1" t="str">
        <f>LOOKUP(B3256, Maps!A:A, Maps!B:B)</f>
        <v>Winter Heights</v>
      </c>
    </row>
    <row r="3257" ht="15.75" customHeight="1">
      <c r="A3257" s="1">
        <v>151.0</v>
      </c>
      <c r="B3257" s="1">
        <v>34.0</v>
      </c>
      <c r="C3257" s="1">
        <v>91.0</v>
      </c>
      <c r="D3257" s="1">
        <v>13.0</v>
      </c>
      <c r="F3257" s="1" t="str">
        <f>LOOKUP(A3257, NPCs!A:A, NPCs!C:C)</f>
        <v>Richard</v>
      </c>
      <c r="G3257" s="1" t="str">
        <f>LOOKUP(B3257, Maps!A:A, Maps!B:B)</f>
        <v>Winter Heights</v>
      </c>
    </row>
    <row r="3258" ht="15.75" customHeight="1">
      <c r="A3258" s="1">
        <v>151.0</v>
      </c>
      <c r="B3258" s="1">
        <v>34.0</v>
      </c>
      <c r="C3258" s="1">
        <v>90.0</v>
      </c>
      <c r="D3258" s="1">
        <v>7.0</v>
      </c>
      <c r="F3258" s="1" t="str">
        <f>LOOKUP(A3258, NPCs!A:A, NPCs!C:C)</f>
        <v>Richard</v>
      </c>
      <c r="G3258" s="1" t="str">
        <f>LOOKUP(B3258, Maps!A:A, Maps!B:B)</f>
        <v>Winter Heights</v>
      </c>
    </row>
    <row r="3259" ht="15.75" customHeight="1">
      <c r="A3259" s="1">
        <v>151.0</v>
      </c>
      <c r="B3259" s="1">
        <v>34.0</v>
      </c>
      <c r="C3259" s="1">
        <v>94.0</v>
      </c>
      <c r="D3259" s="1">
        <v>7.0</v>
      </c>
      <c r="F3259" s="1" t="str">
        <f>LOOKUP(A3259, NPCs!A:A, NPCs!C:C)</f>
        <v>Richard</v>
      </c>
      <c r="G3259" s="1" t="str">
        <f>LOOKUP(B3259, Maps!A:A, Maps!B:B)</f>
        <v>Winter Heights</v>
      </c>
    </row>
    <row r="3260" ht="15.75" customHeight="1">
      <c r="A3260" s="1">
        <v>151.0</v>
      </c>
      <c r="B3260" s="1">
        <v>34.0</v>
      </c>
      <c r="C3260" s="1">
        <v>92.0</v>
      </c>
      <c r="D3260" s="1">
        <v>5.0</v>
      </c>
      <c r="F3260" s="1" t="str">
        <f>LOOKUP(A3260, NPCs!A:A, NPCs!C:C)</f>
        <v>Richard</v>
      </c>
      <c r="G3260" s="1" t="str">
        <f>LOOKUP(B3260, Maps!A:A, Maps!B:B)</f>
        <v>Winter Heights</v>
      </c>
    </row>
    <row r="3261" ht="15.75" customHeight="1">
      <c r="A3261" s="1">
        <v>151.0</v>
      </c>
      <c r="B3261" s="1">
        <v>34.0</v>
      </c>
      <c r="C3261" s="1">
        <v>93.0</v>
      </c>
      <c r="D3261" s="1">
        <v>3.0</v>
      </c>
      <c r="F3261" s="1" t="str">
        <f>LOOKUP(A3261, NPCs!A:A, NPCs!C:C)</f>
        <v>Richard</v>
      </c>
      <c r="G3261" s="1" t="str">
        <f>LOOKUP(B3261, Maps!A:A, Maps!B:B)</f>
        <v>Winter Heights</v>
      </c>
    </row>
    <row r="3262" ht="15.75" customHeight="1">
      <c r="A3262" s="1">
        <v>151.0</v>
      </c>
      <c r="B3262" s="1">
        <v>34.0</v>
      </c>
      <c r="C3262" s="1">
        <v>94.0</v>
      </c>
      <c r="D3262" s="1">
        <v>3.0</v>
      </c>
      <c r="F3262" s="1" t="str">
        <f>LOOKUP(A3262, NPCs!A:A, NPCs!C:C)</f>
        <v>Richard</v>
      </c>
      <c r="G3262" s="1" t="str">
        <f>LOOKUP(B3262, Maps!A:A, Maps!B:B)</f>
        <v>Winter Heights</v>
      </c>
    </row>
    <row r="3263" ht="15.75" customHeight="1">
      <c r="A3263" s="1">
        <v>151.0</v>
      </c>
      <c r="B3263" s="1">
        <v>34.0</v>
      </c>
      <c r="C3263" s="1">
        <v>75.0</v>
      </c>
      <c r="D3263" s="1">
        <v>9.0</v>
      </c>
      <c r="F3263" s="1" t="str">
        <f>LOOKUP(A3263, NPCs!A:A, NPCs!C:C)</f>
        <v>Richard</v>
      </c>
      <c r="G3263" s="1" t="str">
        <f>LOOKUP(B3263, Maps!A:A, Maps!B:B)</f>
        <v>Winter Heights</v>
      </c>
    </row>
    <row r="3264" ht="15.75" customHeight="1">
      <c r="A3264" s="1">
        <v>151.0</v>
      </c>
      <c r="B3264" s="1">
        <v>34.0</v>
      </c>
      <c r="C3264" s="1">
        <v>74.0</v>
      </c>
      <c r="D3264" s="1">
        <v>16.0</v>
      </c>
      <c r="F3264" s="1" t="str">
        <f>LOOKUP(A3264, NPCs!A:A, NPCs!C:C)</f>
        <v>Richard</v>
      </c>
      <c r="G3264" s="1" t="str">
        <f>LOOKUP(B3264, Maps!A:A, Maps!B:B)</f>
        <v>Winter Heights</v>
      </c>
    </row>
    <row r="3265" ht="15.75" customHeight="1">
      <c r="A3265" s="1">
        <v>151.0</v>
      </c>
      <c r="B3265" s="1">
        <v>34.0</v>
      </c>
      <c r="C3265" s="1">
        <v>92.0</v>
      </c>
      <c r="D3265" s="1">
        <v>14.0</v>
      </c>
      <c r="F3265" s="1" t="str">
        <f>LOOKUP(A3265, NPCs!A:A, NPCs!C:C)</f>
        <v>Richard</v>
      </c>
      <c r="G3265" s="1" t="str">
        <f>LOOKUP(B3265, Maps!A:A, Maps!B:B)</f>
        <v>Winter Heights</v>
      </c>
    </row>
    <row r="3266" ht="15.75" customHeight="1">
      <c r="A3266" s="1">
        <v>151.0</v>
      </c>
      <c r="B3266" s="1">
        <v>34.0</v>
      </c>
      <c r="C3266" s="1">
        <v>66.0</v>
      </c>
      <c r="D3266" s="1">
        <v>16.0</v>
      </c>
      <c r="F3266" s="1" t="str">
        <f>LOOKUP(A3266, NPCs!A:A, NPCs!C:C)</f>
        <v>Richard</v>
      </c>
      <c r="G3266" s="1" t="str">
        <f>LOOKUP(B3266, Maps!A:A, Maps!B:B)</f>
        <v>Winter Heights</v>
      </c>
    </row>
    <row r="3267" ht="15.75" customHeight="1">
      <c r="A3267" s="1">
        <v>151.0</v>
      </c>
      <c r="B3267" s="1">
        <v>34.0</v>
      </c>
      <c r="C3267" s="1">
        <v>56.0</v>
      </c>
      <c r="D3267" s="1">
        <v>21.0</v>
      </c>
      <c r="F3267" s="1" t="str">
        <f>LOOKUP(A3267, NPCs!A:A, NPCs!C:C)</f>
        <v>Richard</v>
      </c>
      <c r="G3267" s="1" t="str">
        <f>LOOKUP(B3267, Maps!A:A, Maps!B:B)</f>
        <v>Winter Heights</v>
      </c>
    </row>
    <row r="3268" ht="15.75" customHeight="1">
      <c r="A3268" s="1">
        <v>151.0</v>
      </c>
      <c r="B3268" s="1">
        <v>34.0</v>
      </c>
      <c r="C3268" s="1">
        <v>52.0</v>
      </c>
      <c r="D3268" s="1">
        <v>11.0</v>
      </c>
      <c r="F3268" s="1" t="str">
        <f>LOOKUP(A3268, NPCs!A:A, NPCs!C:C)</f>
        <v>Richard</v>
      </c>
      <c r="G3268" s="1" t="str">
        <f>LOOKUP(B3268, Maps!A:A, Maps!B:B)</f>
        <v>Winter Heights</v>
      </c>
    </row>
    <row r="3269" ht="15.75" customHeight="1">
      <c r="A3269" s="1">
        <v>151.0</v>
      </c>
      <c r="B3269" s="1">
        <v>34.0</v>
      </c>
      <c r="C3269" s="1">
        <v>56.0</v>
      </c>
      <c r="D3269" s="1">
        <v>6.0</v>
      </c>
      <c r="F3269" s="1" t="str">
        <f>LOOKUP(A3269, NPCs!A:A, NPCs!C:C)</f>
        <v>Richard</v>
      </c>
      <c r="G3269" s="1" t="str">
        <f>LOOKUP(B3269, Maps!A:A, Maps!B:B)</f>
        <v>Winter Heights</v>
      </c>
    </row>
    <row r="3270" ht="15.75" customHeight="1">
      <c r="A3270" s="1">
        <v>151.0</v>
      </c>
      <c r="B3270" s="1">
        <v>34.0</v>
      </c>
      <c r="C3270" s="1">
        <v>60.0</v>
      </c>
      <c r="D3270" s="1">
        <v>11.0</v>
      </c>
      <c r="F3270" s="1" t="str">
        <f>LOOKUP(A3270, NPCs!A:A, NPCs!C:C)</f>
        <v>Richard</v>
      </c>
      <c r="G3270" s="1" t="str">
        <f>LOOKUP(B3270, Maps!A:A, Maps!B:B)</f>
        <v>Winter Heights</v>
      </c>
    </row>
    <row r="3271" ht="15.75" customHeight="1">
      <c r="A3271" s="1">
        <v>151.0</v>
      </c>
      <c r="B3271" s="1">
        <v>34.0</v>
      </c>
      <c r="C3271" s="1">
        <v>66.0</v>
      </c>
      <c r="D3271" s="1">
        <v>4.0</v>
      </c>
      <c r="F3271" s="1" t="str">
        <f>LOOKUP(A3271, NPCs!A:A, NPCs!C:C)</f>
        <v>Richard</v>
      </c>
      <c r="G3271" s="1" t="str">
        <f>LOOKUP(B3271, Maps!A:A, Maps!B:B)</f>
        <v>Winter Heights</v>
      </c>
    </row>
    <row r="3272" ht="15.75" customHeight="1">
      <c r="A3272" s="1">
        <v>151.0</v>
      </c>
      <c r="B3272" s="1">
        <v>34.0</v>
      </c>
      <c r="C3272" s="1">
        <v>67.0</v>
      </c>
      <c r="D3272" s="1">
        <v>4.0</v>
      </c>
      <c r="F3272" s="1" t="str">
        <f>LOOKUP(A3272, NPCs!A:A, NPCs!C:C)</f>
        <v>Richard</v>
      </c>
      <c r="G3272" s="1" t="str">
        <f>LOOKUP(B3272, Maps!A:A, Maps!B:B)</f>
        <v>Winter Heights</v>
      </c>
    </row>
    <row r="3273" ht="15.75" customHeight="1">
      <c r="A3273" s="1">
        <v>152.0</v>
      </c>
      <c r="B3273" s="1">
        <v>34.0</v>
      </c>
      <c r="C3273" s="1">
        <v>10.0</v>
      </c>
      <c r="D3273" s="1">
        <v>9.0</v>
      </c>
      <c r="F3273" s="1" t="str">
        <f>LOOKUP(A3273, NPCs!A:A, NPCs!C:C)</f>
        <v>Abomination</v>
      </c>
      <c r="G3273" s="1" t="str">
        <f>LOOKUP(B3273, Maps!A:A, Maps!B:B)</f>
        <v>Winter Heights</v>
      </c>
    </row>
    <row r="3274" ht="15.75" customHeight="1">
      <c r="A3274" s="1">
        <v>153.0</v>
      </c>
      <c r="B3274" s="1">
        <v>34.0</v>
      </c>
      <c r="C3274" s="1">
        <v>62.0</v>
      </c>
      <c r="D3274" s="1">
        <v>69.0</v>
      </c>
      <c r="F3274" s="1" t="str">
        <f>LOOKUP(A3274, NPCs!A:A, NPCs!C:C)</f>
        <v>Simon</v>
      </c>
      <c r="G3274" s="1" t="str">
        <f>LOOKUP(B3274, Maps!A:A, Maps!B:B)</f>
        <v>Winter Heights</v>
      </c>
    </row>
    <row r="3275" ht="15.75" customHeight="1">
      <c r="A3275" s="1">
        <v>153.0</v>
      </c>
      <c r="B3275" s="1">
        <v>34.0</v>
      </c>
      <c r="C3275" s="1">
        <v>62.0</v>
      </c>
      <c r="D3275" s="1">
        <v>72.0</v>
      </c>
      <c r="F3275" s="1" t="str">
        <f>LOOKUP(A3275, NPCs!A:A, NPCs!C:C)</f>
        <v>Simon</v>
      </c>
      <c r="G3275" s="1" t="str">
        <f>LOOKUP(B3275, Maps!A:A, Maps!B:B)</f>
        <v>Winter Heights</v>
      </c>
    </row>
    <row r="3276" ht="15.75" customHeight="1">
      <c r="A3276" s="1">
        <v>153.0</v>
      </c>
      <c r="B3276" s="1">
        <v>34.0</v>
      </c>
      <c r="C3276" s="1">
        <v>62.0</v>
      </c>
      <c r="D3276" s="1">
        <v>75.0</v>
      </c>
      <c r="F3276" s="1" t="str">
        <f>LOOKUP(A3276, NPCs!A:A, NPCs!C:C)</f>
        <v>Simon</v>
      </c>
      <c r="G3276" s="1" t="str">
        <f>LOOKUP(B3276, Maps!A:A, Maps!B:B)</f>
        <v>Winter Heights</v>
      </c>
    </row>
    <row r="3277" ht="15.75" customHeight="1">
      <c r="A3277" s="1">
        <v>153.0</v>
      </c>
      <c r="B3277" s="1">
        <v>34.0</v>
      </c>
      <c r="C3277" s="1">
        <v>67.0</v>
      </c>
      <c r="D3277" s="1">
        <v>75.0</v>
      </c>
      <c r="F3277" s="1" t="str">
        <f>LOOKUP(A3277, NPCs!A:A, NPCs!C:C)</f>
        <v>Simon</v>
      </c>
      <c r="G3277" s="1" t="str">
        <f>LOOKUP(B3277, Maps!A:A, Maps!B:B)</f>
        <v>Winter Heights</v>
      </c>
    </row>
    <row r="3278" ht="15.75" customHeight="1">
      <c r="A3278" s="1">
        <v>153.0</v>
      </c>
      <c r="B3278" s="1">
        <v>34.0</v>
      </c>
      <c r="C3278" s="1">
        <v>69.0</v>
      </c>
      <c r="D3278" s="1">
        <v>67.0</v>
      </c>
      <c r="F3278" s="1" t="str">
        <f>LOOKUP(A3278, NPCs!A:A, NPCs!C:C)</f>
        <v>Simon</v>
      </c>
      <c r="G3278" s="1" t="str">
        <f>LOOKUP(B3278, Maps!A:A, Maps!B:B)</f>
        <v>Winter Heights</v>
      </c>
    </row>
    <row r="3279" ht="15.75" customHeight="1">
      <c r="A3279" s="1">
        <v>153.0</v>
      </c>
      <c r="B3279" s="1">
        <v>34.0</v>
      </c>
      <c r="C3279" s="1">
        <v>69.0</v>
      </c>
      <c r="D3279" s="1">
        <v>64.0</v>
      </c>
      <c r="F3279" s="1" t="str">
        <f>LOOKUP(A3279, NPCs!A:A, NPCs!C:C)</f>
        <v>Simon</v>
      </c>
      <c r="G3279" s="1" t="str">
        <f>LOOKUP(B3279, Maps!A:A, Maps!B:B)</f>
        <v>Winter Heights</v>
      </c>
    </row>
    <row r="3280" ht="15.75" customHeight="1">
      <c r="A3280" s="1">
        <v>153.0</v>
      </c>
      <c r="B3280" s="1">
        <v>34.0</v>
      </c>
      <c r="C3280" s="1">
        <v>76.0</v>
      </c>
      <c r="D3280" s="1">
        <v>66.0</v>
      </c>
      <c r="F3280" s="1" t="str">
        <f>LOOKUP(A3280, NPCs!A:A, NPCs!C:C)</f>
        <v>Simon</v>
      </c>
      <c r="G3280" s="1" t="str">
        <f>LOOKUP(B3280, Maps!A:A, Maps!B:B)</f>
        <v>Winter Heights</v>
      </c>
    </row>
    <row r="3281" ht="15.75" customHeight="1">
      <c r="A3281" s="1">
        <v>153.0</v>
      </c>
      <c r="B3281" s="1">
        <v>34.0</v>
      </c>
      <c r="C3281" s="1">
        <v>75.0</v>
      </c>
      <c r="D3281" s="1">
        <v>72.0</v>
      </c>
      <c r="F3281" s="1" t="str">
        <f>LOOKUP(A3281, NPCs!A:A, NPCs!C:C)</f>
        <v>Simon</v>
      </c>
      <c r="G3281" s="1" t="str">
        <f>LOOKUP(B3281, Maps!A:A, Maps!B:B)</f>
        <v>Winter Heights</v>
      </c>
    </row>
    <row r="3282" ht="15.75" customHeight="1">
      <c r="A3282" s="1">
        <v>153.0</v>
      </c>
      <c r="B3282" s="1">
        <v>34.0</v>
      </c>
      <c r="C3282" s="1">
        <v>82.0</v>
      </c>
      <c r="D3282" s="1">
        <v>70.0</v>
      </c>
      <c r="F3282" s="1" t="str">
        <f>LOOKUP(A3282, NPCs!A:A, NPCs!C:C)</f>
        <v>Simon</v>
      </c>
      <c r="G3282" s="1" t="str">
        <f>LOOKUP(B3282, Maps!A:A, Maps!B:B)</f>
        <v>Winter Heights</v>
      </c>
    </row>
    <row r="3283" ht="15.75" customHeight="1">
      <c r="A3283" s="1">
        <v>153.0</v>
      </c>
      <c r="B3283" s="1">
        <v>34.0</v>
      </c>
      <c r="C3283" s="1">
        <v>80.0</v>
      </c>
      <c r="D3283" s="1">
        <v>76.0</v>
      </c>
      <c r="F3283" s="1" t="str">
        <f>LOOKUP(A3283, NPCs!A:A, NPCs!C:C)</f>
        <v>Simon</v>
      </c>
      <c r="G3283" s="1" t="str">
        <f>LOOKUP(B3283, Maps!A:A, Maps!B:B)</f>
        <v>Winter Heights</v>
      </c>
    </row>
    <row r="3284" ht="15.75" customHeight="1">
      <c r="A3284" s="1">
        <v>153.0</v>
      </c>
      <c r="B3284" s="1">
        <v>34.0</v>
      </c>
      <c r="C3284" s="1">
        <v>80.0</v>
      </c>
      <c r="D3284" s="1">
        <v>81.0</v>
      </c>
      <c r="F3284" s="1" t="str">
        <f>LOOKUP(A3284, NPCs!A:A, NPCs!C:C)</f>
        <v>Simon</v>
      </c>
      <c r="G3284" s="1" t="str">
        <f>LOOKUP(B3284, Maps!A:A, Maps!B:B)</f>
        <v>Winter Heights</v>
      </c>
    </row>
    <row r="3285" ht="15.75" customHeight="1">
      <c r="A3285" s="1">
        <v>153.0</v>
      </c>
      <c r="B3285" s="1">
        <v>34.0</v>
      </c>
      <c r="C3285" s="1">
        <v>90.0</v>
      </c>
      <c r="D3285" s="1">
        <v>77.0</v>
      </c>
      <c r="F3285" s="1" t="str">
        <f>LOOKUP(A3285, NPCs!A:A, NPCs!C:C)</f>
        <v>Simon</v>
      </c>
      <c r="G3285" s="1" t="str">
        <f>LOOKUP(B3285, Maps!A:A, Maps!B:B)</f>
        <v>Winter Heights</v>
      </c>
    </row>
    <row r="3286" ht="15.75" customHeight="1">
      <c r="A3286" s="1">
        <v>153.0</v>
      </c>
      <c r="B3286" s="1">
        <v>34.0</v>
      </c>
      <c r="C3286" s="1">
        <v>96.0</v>
      </c>
      <c r="D3286" s="1">
        <v>77.0</v>
      </c>
      <c r="F3286" s="1" t="str">
        <f>LOOKUP(A3286, NPCs!A:A, NPCs!C:C)</f>
        <v>Simon</v>
      </c>
      <c r="G3286" s="1" t="str">
        <f>LOOKUP(B3286, Maps!A:A, Maps!B:B)</f>
        <v>Winter Heights</v>
      </c>
    </row>
    <row r="3287" ht="15.75" customHeight="1">
      <c r="A3287" s="1">
        <v>153.0</v>
      </c>
      <c r="B3287" s="1">
        <v>34.0</v>
      </c>
      <c r="C3287" s="1">
        <v>93.0</v>
      </c>
      <c r="D3287" s="1">
        <v>82.0</v>
      </c>
      <c r="F3287" s="1" t="str">
        <f>LOOKUP(A3287, NPCs!A:A, NPCs!C:C)</f>
        <v>Simon</v>
      </c>
      <c r="G3287" s="1" t="str">
        <f>LOOKUP(B3287, Maps!A:A, Maps!B:B)</f>
        <v>Winter Heights</v>
      </c>
    </row>
    <row r="3288" ht="15.75" customHeight="1">
      <c r="A3288" s="1">
        <v>153.0</v>
      </c>
      <c r="B3288" s="1">
        <v>34.0</v>
      </c>
      <c r="C3288" s="1">
        <v>82.0</v>
      </c>
      <c r="D3288" s="1">
        <v>87.0</v>
      </c>
      <c r="F3288" s="1" t="str">
        <f>LOOKUP(A3288, NPCs!A:A, NPCs!C:C)</f>
        <v>Simon</v>
      </c>
      <c r="G3288" s="1" t="str">
        <f>LOOKUP(B3288, Maps!A:A, Maps!B:B)</f>
        <v>Winter Heights</v>
      </c>
    </row>
    <row r="3289" ht="15.75" customHeight="1">
      <c r="A3289" s="1">
        <v>153.0</v>
      </c>
      <c r="B3289" s="1">
        <v>34.0</v>
      </c>
      <c r="C3289" s="1">
        <v>89.0</v>
      </c>
      <c r="D3289" s="1">
        <v>87.0</v>
      </c>
      <c r="F3289" s="1" t="str">
        <f>LOOKUP(A3289, NPCs!A:A, NPCs!C:C)</f>
        <v>Simon</v>
      </c>
      <c r="G3289" s="1" t="str">
        <f>LOOKUP(B3289, Maps!A:A, Maps!B:B)</f>
        <v>Winter Heights</v>
      </c>
    </row>
    <row r="3290" ht="15.75" customHeight="1">
      <c r="A3290" s="1">
        <v>153.0</v>
      </c>
      <c r="B3290" s="1">
        <v>34.0</v>
      </c>
      <c r="C3290" s="1">
        <v>94.0</v>
      </c>
      <c r="D3290" s="1">
        <v>87.0</v>
      </c>
      <c r="F3290" s="1" t="str">
        <f>LOOKUP(A3290, NPCs!A:A, NPCs!C:C)</f>
        <v>Simon</v>
      </c>
      <c r="G3290" s="1" t="str">
        <f>LOOKUP(B3290, Maps!A:A, Maps!B:B)</f>
        <v>Winter Heights</v>
      </c>
    </row>
    <row r="3291" ht="15.75" customHeight="1">
      <c r="A3291" s="1">
        <v>153.0</v>
      </c>
      <c r="B3291" s="1">
        <v>34.0</v>
      </c>
      <c r="C3291" s="1">
        <v>94.0</v>
      </c>
      <c r="D3291" s="1">
        <v>95.0</v>
      </c>
      <c r="F3291" s="1" t="str">
        <f>LOOKUP(A3291, NPCs!A:A, NPCs!C:C)</f>
        <v>Simon</v>
      </c>
      <c r="G3291" s="1" t="str">
        <f>LOOKUP(B3291, Maps!A:A, Maps!B:B)</f>
        <v>Winter Heights</v>
      </c>
    </row>
    <row r="3292" ht="15.75" customHeight="1">
      <c r="A3292" s="1">
        <v>153.0</v>
      </c>
      <c r="B3292" s="1">
        <v>34.0</v>
      </c>
      <c r="C3292" s="1">
        <v>86.0</v>
      </c>
      <c r="D3292" s="1">
        <v>94.0</v>
      </c>
      <c r="F3292" s="1" t="str">
        <f>LOOKUP(A3292, NPCs!A:A, NPCs!C:C)</f>
        <v>Simon</v>
      </c>
      <c r="G3292" s="1" t="str">
        <f>LOOKUP(B3292, Maps!A:A, Maps!B:B)</f>
        <v>Winter Heights</v>
      </c>
    </row>
    <row r="3293" ht="15.75" customHeight="1">
      <c r="A3293" s="1">
        <v>153.0</v>
      </c>
      <c r="B3293" s="1">
        <v>34.0</v>
      </c>
      <c r="C3293" s="1">
        <v>82.0</v>
      </c>
      <c r="D3293" s="1">
        <v>98.0</v>
      </c>
      <c r="F3293" s="1" t="str">
        <f>LOOKUP(A3293, NPCs!A:A, NPCs!C:C)</f>
        <v>Simon</v>
      </c>
      <c r="G3293" s="1" t="str">
        <f>LOOKUP(B3293, Maps!A:A, Maps!B:B)</f>
        <v>Winter Heights</v>
      </c>
    </row>
    <row r="3294" ht="15.75" customHeight="1">
      <c r="A3294" s="1">
        <v>153.0</v>
      </c>
      <c r="B3294" s="1">
        <v>34.0</v>
      </c>
      <c r="C3294" s="1">
        <v>78.0</v>
      </c>
      <c r="D3294" s="1">
        <v>94.0</v>
      </c>
      <c r="F3294" s="1" t="str">
        <f>LOOKUP(A3294, NPCs!A:A, NPCs!C:C)</f>
        <v>Simon</v>
      </c>
      <c r="G3294" s="1" t="str">
        <f>LOOKUP(B3294, Maps!A:A, Maps!B:B)</f>
        <v>Winter Heights</v>
      </c>
    </row>
    <row r="3295" ht="15.75" customHeight="1">
      <c r="A3295" s="1">
        <v>153.0</v>
      </c>
      <c r="B3295" s="1">
        <v>34.0</v>
      </c>
      <c r="C3295" s="1">
        <v>73.0</v>
      </c>
      <c r="D3295" s="1">
        <v>98.0</v>
      </c>
      <c r="F3295" s="1" t="str">
        <f>LOOKUP(A3295, NPCs!A:A, NPCs!C:C)</f>
        <v>Simon</v>
      </c>
      <c r="G3295" s="1" t="str">
        <f>LOOKUP(B3295, Maps!A:A, Maps!B:B)</f>
        <v>Winter Heights</v>
      </c>
    </row>
    <row r="3296" ht="15.75" customHeight="1">
      <c r="A3296" s="1">
        <v>153.0</v>
      </c>
      <c r="B3296" s="1">
        <v>34.0</v>
      </c>
      <c r="C3296" s="1">
        <v>68.0</v>
      </c>
      <c r="D3296" s="1">
        <v>94.0</v>
      </c>
      <c r="F3296" s="1" t="str">
        <f>LOOKUP(A3296, NPCs!A:A, NPCs!C:C)</f>
        <v>Simon</v>
      </c>
      <c r="G3296" s="1" t="str">
        <f>LOOKUP(B3296, Maps!A:A, Maps!B:B)</f>
        <v>Winter Heights</v>
      </c>
    </row>
    <row r="3297" ht="15.75" customHeight="1">
      <c r="A3297" s="1">
        <v>153.0</v>
      </c>
      <c r="B3297" s="1">
        <v>34.0</v>
      </c>
      <c r="C3297" s="1">
        <v>63.0</v>
      </c>
      <c r="D3297" s="1">
        <v>97.0</v>
      </c>
      <c r="F3297" s="1" t="str">
        <f>LOOKUP(A3297, NPCs!A:A, NPCs!C:C)</f>
        <v>Simon</v>
      </c>
      <c r="G3297" s="1" t="str">
        <f>LOOKUP(B3297, Maps!A:A, Maps!B:B)</f>
        <v>Winter Heights</v>
      </c>
    </row>
    <row r="3298" ht="15.75" customHeight="1">
      <c r="A3298" s="1">
        <v>153.0</v>
      </c>
      <c r="B3298" s="1">
        <v>34.0</v>
      </c>
      <c r="C3298" s="1">
        <v>57.0</v>
      </c>
      <c r="D3298" s="1">
        <v>99.0</v>
      </c>
      <c r="F3298" s="1" t="str">
        <f>LOOKUP(A3298, NPCs!A:A, NPCs!C:C)</f>
        <v>Simon</v>
      </c>
      <c r="G3298" s="1" t="str">
        <f>LOOKUP(B3298, Maps!A:A, Maps!B:B)</f>
        <v>Winter Heights</v>
      </c>
    </row>
    <row r="3299" ht="15.75" customHeight="1">
      <c r="A3299" s="1">
        <v>153.0</v>
      </c>
      <c r="B3299" s="1">
        <v>34.0</v>
      </c>
      <c r="C3299" s="1">
        <v>58.0</v>
      </c>
      <c r="D3299" s="1">
        <v>94.0</v>
      </c>
      <c r="F3299" s="1" t="str">
        <f>LOOKUP(A3299, NPCs!A:A, NPCs!C:C)</f>
        <v>Simon</v>
      </c>
      <c r="G3299" s="1" t="str">
        <f>LOOKUP(B3299, Maps!A:A, Maps!B:B)</f>
        <v>Winter Heights</v>
      </c>
    </row>
    <row r="3300" ht="15.75" customHeight="1">
      <c r="A3300" s="1">
        <v>153.0</v>
      </c>
      <c r="B3300" s="1">
        <v>34.0</v>
      </c>
      <c r="C3300" s="1">
        <v>55.0</v>
      </c>
      <c r="D3300" s="1">
        <v>94.0</v>
      </c>
      <c r="F3300" s="1" t="str">
        <f>LOOKUP(A3300, NPCs!A:A, NPCs!C:C)</f>
        <v>Simon</v>
      </c>
      <c r="G3300" s="1" t="str">
        <f>LOOKUP(B3300, Maps!A:A, Maps!B:B)</f>
        <v>Winter Heights</v>
      </c>
    </row>
    <row r="3301" ht="15.75" customHeight="1">
      <c r="A3301" s="1">
        <v>153.0</v>
      </c>
      <c r="B3301" s="1">
        <v>34.0</v>
      </c>
      <c r="C3301" s="1">
        <v>61.0</v>
      </c>
      <c r="D3301" s="1">
        <v>89.0</v>
      </c>
      <c r="F3301" s="1" t="str">
        <f>LOOKUP(A3301, NPCs!A:A, NPCs!C:C)</f>
        <v>Simon</v>
      </c>
      <c r="G3301" s="1" t="str">
        <f>LOOKUP(B3301, Maps!A:A, Maps!B:B)</f>
        <v>Winter Heights</v>
      </c>
    </row>
    <row r="3302" ht="15.75" customHeight="1">
      <c r="A3302" s="1">
        <v>153.0</v>
      </c>
      <c r="B3302" s="1">
        <v>34.0</v>
      </c>
      <c r="C3302" s="1">
        <v>63.0</v>
      </c>
      <c r="D3302" s="1">
        <v>89.0</v>
      </c>
      <c r="F3302" s="1" t="str">
        <f>LOOKUP(A3302, NPCs!A:A, NPCs!C:C)</f>
        <v>Simon</v>
      </c>
      <c r="G3302" s="1" t="str">
        <f>LOOKUP(B3302, Maps!A:A, Maps!B:B)</f>
        <v>Winter Heights</v>
      </c>
    </row>
    <row r="3303" ht="15.75" customHeight="1">
      <c r="A3303" s="1">
        <v>153.0</v>
      </c>
      <c r="B3303" s="1">
        <v>34.0</v>
      </c>
      <c r="C3303" s="1">
        <v>72.0</v>
      </c>
      <c r="D3303" s="1">
        <v>90.0</v>
      </c>
      <c r="F3303" s="1" t="str">
        <f>LOOKUP(A3303, NPCs!A:A, NPCs!C:C)</f>
        <v>Simon</v>
      </c>
      <c r="G3303" s="1" t="str">
        <f>LOOKUP(B3303, Maps!A:A, Maps!B:B)</f>
        <v>Winter Heights</v>
      </c>
    </row>
    <row r="3304" ht="15.75" customHeight="1">
      <c r="A3304" s="1">
        <v>153.0</v>
      </c>
      <c r="B3304" s="1">
        <v>34.0</v>
      </c>
      <c r="C3304" s="1">
        <v>73.0</v>
      </c>
      <c r="D3304" s="1">
        <v>85.0</v>
      </c>
      <c r="F3304" s="1" t="str">
        <f>LOOKUP(A3304, NPCs!A:A, NPCs!C:C)</f>
        <v>Simon</v>
      </c>
      <c r="G3304" s="1" t="str">
        <f>LOOKUP(B3304, Maps!A:A, Maps!B:B)</f>
        <v>Winter Heights</v>
      </c>
    </row>
    <row r="3305" ht="15.75" customHeight="1">
      <c r="A3305" s="1">
        <v>153.0</v>
      </c>
      <c r="B3305" s="1">
        <v>34.0</v>
      </c>
      <c r="C3305" s="1">
        <v>70.0</v>
      </c>
      <c r="D3305" s="1">
        <v>85.0</v>
      </c>
      <c r="F3305" s="1" t="str">
        <f>LOOKUP(A3305, NPCs!A:A, NPCs!C:C)</f>
        <v>Simon</v>
      </c>
      <c r="G3305" s="1" t="str">
        <f>LOOKUP(B3305, Maps!A:A, Maps!B:B)</f>
        <v>Winter Heights</v>
      </c>
    </row>
    <row r="3306" ht="15.75" customHeight="1">
      <c r="A3306" s="1">
        <v>153.0</v>
      </c>
      <c r="B3306" s="1">
        <v>34.0</v>
      </c>
      <c r="C3306" s="1">
        <v>65.0</v>
      </c>
      <c r="D3306" s="1">
        <v>80.0</v>
      </c>
      <c r="F3306" s="1" t="str">
        <f>LOOKUP(A3306, NPCs!A:A, NPCs!C:C)</f>
        <v>Simon</v>
      </c>
      <c r="G3306" s="1" t="str">
        <f>LOOKUP(B3306, Maps!A:A, Maps!B:B)</f>
        <v>Winter Heights</v>
      </c>
    </row>
    <row r="3307" ht="15.75" customHeight="1">
      <c r="A3307" s="1">
        <v>153.0</v>
      </c>
      <c r="B3307" s="1">
        <v>34.0</v>
      </c>
      <c r="C3307" s="1">
        <v>74.0</v>
      </c>
      <c r="D3307" s="1">
        <v>70.0</v>
      </c>
      <c r="F3307" s="1" t="str">
        <f>LOOKUP(A3307, NPCs!A:A, NPCs!C:C)</f>
        <v>Simon</v>
      </c>
      <c r="G3307" s="1" t="str">
        <f>LOOKUP(B3307, Maps!A:A, Maps!B:B)</f>
        <v>Winter Heights</v>
      </c>
    </row>
    <row r="3308" ht="15.75" customHeight="1">
      <c r="A3308" s="1">
        <v>153.0</v>
      </c>
      <c r="B3308" s="1">
        <v>34.0</v>
      </c>
      <c r="C3308" s="1">
        <v>73.0</v>
      </c>
      <c r="D3308" s="1">
        <v>79.0</v>
      </c>
      <c r="F3308" s="1" t="str">
        <f>LOOKUP(A3308, NPCs!A:A, NPCs!C:C)</f>
        <v>Simon</v>
      </c>
      <c r="G3308" s="1" t="str">
        <f>LOOKUP(B3308, Maps!A:A, Maps!B:B)</f>
        <v>Winter Heights</v>
      </c>
    </row>
    <row r="3309" ht="15.75" customHeight="1">
      <c r="A3309" s="1">
        <v>153.0</v>
      </c>
      <c r="B3309" s="1">
        <v>34.0</v>
      </c>
      <c r="C3309" s="1">
        <v>53.0</v>
      </c>
      <c r="D3309" s="1">
        <v>74.0</v>
      </c>
      <c r="F3309" s="1" t="str">
        <f>LOOKUP(A3309, NPCs!A:A, NPCs!C:C)</f>
        <v>Simon</v>
      </c>
      <c r="G3309" s="1" t="str">
        <f>LOOKUP(B3309, Maps!A:A, Maps!B:B)</f>
        <v>Winter Heights</v>
      </c>
    </row>
    <row r="3310" ht="15.75" customHeight="1">
      <c r="A3310" s="1">
        <v>153.0</v>
      </c>
      <c r="B3310" s="1">
        <v>34.0</v>
      </c>
      <c r="C3310" s="1">
        <v>41.0</v>
      </c>
      <c r="D3310" s="1">
        <v>78.0</v>
      </c>
      <c r="F3310" s="1" t="str">
        <f>LOOKUP(A3310, NPCs!A:A, NPCs!C:C)</f>
        <v>Simon</v>
      </c>
      <c r="G3310" s="1" t="str">
        <f>LOOKUP(B3310, Maps!A:A, Maps!B:B)</f>
        <v>Winter Heights</v>
      </c>
    </row>
    <row r="3311" ht="15.75" customHeight="1">
      <c r="A3311" s="1">
        <v>153.0</v>
      </c>
      <c r="B3311" s="1">
        <v>34.0</v>
      </c>
      <c r="C3311" s="1">
        <v>39.0</v>
      </c>
      <c r="D3311" s="1">
        <v>74.0</v>
      </c>
      <c r="F3311" s="1" t="str">
        <f>LOOKUP(A3311, NPCs!A:A, NPCs!C:C)</f>
        <v>Simon</v>
      </c>
      <c r="G3311" s="1" t="str">
        <f>LOOKUP(B3311, Maps!A:A, Maps!B:B)</f>
        <v>Winter Heights</v>
      </c>
    </row>
    <row r="3312" ht="15.75" customHeight="1">
      <c r="A3312" s="1">
        <v>153.0</v>
      </c>
      <c r="B3312" s="1">
        <v>34.0</v>
      </c>
      <c r="C3312" s="1">
        <v>43.0</v>
      </c>
      <c r="D3312" s="1">
        <v>68.0</v>
      </c>
      <c r="F3312" s="1" t="str">
        <f>LOOKUP(A3312, NPCs!A:A, NPCs!C:C)</f>
        <v>Simon</v>
      </c>
      <c r="G3312" s="1" t="str">
        <f>LOOKUP(B3312, Maps!A:A, Maps!B:B)</f>
        <v>Winter Heights</v>
      </c>
    </row>
    <row r="3313" ht="15.75" customHeight="1">
      <c r="A3313" s="1">
        <v>153.0</v>
      </c>
      <c r="B3313" s="1">
        <v>34.0</v>
      </c>
      <c r="C3313" s="1">
        <v>34.0</v>
      </c>
      <c r="D3313" s="1">
        <v>70.0</v>
      </c>
      <c r="F3313" s="1" t="str">
        <f>LOOKUP(A3313, NPCs!A:A, NPCs!C:C)</f>
        <v>Simon</v>
      </c>
      <c r="G3313" s="1" t="str">
        <f>LOOKUP(B3313, Maps!A:A, Maps!B:B)</f>
        <v>Winter Heights</v>
      </c>
    </row>
    <row r="3314" ht="15.75" customHeight="1">
      <c r="A3314" s="1">
        <v>153.0</v>
      </c>
      <c r="B3314" s="1">
        <v>34.0</v>
      </c>
      <c r="C3314" s="1">
        <v>28.0</v>
      </c>
      <c r="D3314" s="1">
        <v>71.0</v>
      </c>
      <c r="F3314" s="1" t="str">
        <f>LOOKUP(A3314, NPCs!A:A, NPCs!C:C)</f>
        <v>Simon</v>
      </c>
      <c r="G3314" s="1" t="str">
        <f>LOOKUP(B3314, Maps!A:A, Maps!B:B)</f>
        <v>Winter Heights</v>
      </c>
    </row>
    <row r="3315" ht="15.75" customHeight="1">
      <c r="A3315" s="1">
        <v>153.0</v>
      </c>
      <c r="B3315" s="1">
        <v>34.0</v>
      </c>
      <c r="C3315" s="1">
        <v>31.0</v>
      </c>
      <c r="D3315" s="1">
        <v>76.0</v>
      </c>
      <c r="F3315" s="1" t="str">
        <f>LOOKUP(A3315, NPCs!A:A, NPCs!C:C)</f>
        <v>Simon</v>
      </c>
      <c r="G3315" s="1" t="str">
        <f>LOOKUP(B3315, Maps!A:A, Maps!B:B)</f>
        <v>Winter Heights</v>
      </c>
    </row>
    <row r="3316" ht="15.75" customHeight="1">
      <c r="A3316" s="1">
        <v>153.0</v>
      </c>
      <c r="B3316" s="1">
        <v>34.0</v>
      </c>
      <c r="C3316" s="1">
        <v>32.0</v>
      </c>
      <c r="D3316" s="1">
        <v>76.0</v>
      </c>
      <c r="F3316" s="1" t="str">
        <f>LOOKUP(A3316, NPCs!A:A, NPCs!C:C)</f>
        <v>Simon</v>
      </c>
      <c r="G3316" s="1" t="str">
        <f>LOOKUP(B3316, Maps!A:A, Maps!B:B)</f>
        <v>Winter Heights</v>
      </c>
    </row>
    <row r="3317" ht="15.75" customHeight="1">
      <c r="A3317" s="1">
        <v>153.0</v>
      </c>
      <c r="B3317" s="1">
        <v>34.0</v>
      </c>
      <c r="C3317" s="1">
        <v>29.0</v>
      </c>
      <c r="D3317" s="1">
        <v>64.0</v>
      </c>
      <c r="F3317" s="1" t="str">
        <f>LOOKUP(A3317, NPCs!A:A, NPCs!C:C)</f>
        <v>Simon</v>
      </c>
      <c r="G3317" s="1" t="str">
        <f>LOOKUP(B3317, Maps!A:A, Maps!B:B)</f>
        <v>Winter Heights</v>
      </c>
    </row>
    <row r="3318" ht="15.75" customHeight="1">
      <c r="A3318" s="1">
        <v>153.0</v>
      </c>
      <c r="B3318" s="1">
        <v>34.0</v>
      </c>
      <c r="C3318" s="1">
        <v>34.0</v>
      </c>
      <c r="D3318" s="1">
        <v>65.0</v>
      </c>
      <c r="F3318" s="1" t="str">
        <f>LOOKUP(A3318, NPCs!A:A, NPCs!C:C)</f>
        <v>Simon</v>
      </c>
      <c r="G3318" s="1" t="str">
        <f>LOOKUP(B3318, Maps!A:A, Maps!B:B)</f>
        <v>Winter Heights</v>
      </c>
    </row>
    <row r="3319" ht="15.75" customHeight="1">
      <c r="A3319" s="1">
        <v>153.0</v>
      </c>
      <c r="B3319" s="1">
        <v>34.0</v>
      </c>
      <c r="C3319" s="1">
        <v>35.0</v>
      </c>
      <c r="D3319" s="1">
        <v>65.0</v>
      </c>
      <c r="F3319" s="1" t="str">
        <f>LOOKUP(A3319, NPCs!A:A, NPCs!C:C)</f>
        <v>Simon</v>
      </c>
      <c r="G3319" s="1" t="str">
        <f>LOOKUP(B3319, Maps!A:A, Maps!B:B)</f>
        <v>Winter Heights</v>
      </c>
    </row>
    <row r="3320" ht="15.75" customHeight="1">
      <c r="A3320" s="1">
        <v>153.0</v>
      </c>
      <c r="B3320" s="1">
        <v>34.0</v>
      </c>
      <c r="C3320" s="1">
        <v>39.0</v>
      </c>
      <c r="D3320" s="1">
        <v>62.0</v>
      </c>
      <c r="F3320" s="1" t="str">
        <f>LOOKUP(A3320, NPCs!A:A, NPCs!C:C)</f>
        <v>Simon</v>
      </c>
      <c r="G3320" s="1" t="str">
        <f>LOOKUP(B3320, Maps!A:A, Maps!B:B)</f>
        <v>Winter Heights</v>
      </c>
    </row>
    <row r="3321" ht="15.75" customHeight="1">
      <c r="A3321" s="1">
        <v>153.0</v>
      </c>
      <c r="B3321" s="1">
        <v>34.0</v>
      </c>
      <c r="C3321" s="1">
        <v>17.0</v>
      </c>
      <c r="D3321" s="1">
        <v>62.0</v>
      </c>
      <c r="F3321" s="1" t="str">
        <f>LOOKUP(A3321, NPCs!A:A, NPCs!C:C)</f>
        <v>Simon</v>
      </c>
      <c r="G3321" s="1" t="str">
        <f>LOOKUP(B3321, Maps!A:A, Maps!B:B)</f>
        <v>Winter Heights</v>
      </c>
    </row>
    <row r="3322" ht="15.75" customHeight="1">
      <c r="A3322" s="1">
        <v>153.0</v>
      </c>
      <c r="B3322" s="1">
        <v>34.0</v>
      </c>
      <c r="C3322" s="1">
        <v>23.0</v>
      </c>
      <c r="D3322" s="1">
        <v>67.0</v>
      </c>
      <c r="F3322" s="1" t="str">
        <f>LOOKUP(A3322, NPCs!A:A, NPCs!C:C)</f>
        <v>Simon</v>
      </c>
      <c r="G3322" s="1" t="str">
        <f>LOOKUP(B3322, Maps!A:A, Maps!B:B)</f>
        <v>Winter Heights</v>
      </c>
    </row>
    <row r="3323" ht="15.75" customHeight="1">
      <c r="A3323" s="1">
        <v>153.0</v>
      </c>
      <c r="B3323" s="1">
        <v>34.0</v>
      </c>
      <c r="C3323" s="1">
        <v>17.0</v>
      </c>
      <c r="D3323" s="1">
        <v>70.0</v>
      </c>
      <c r="F3323" s="1" t="str">
        <f>LOOKUP(A3323, NPCs!A:A, NPCs!C:C)</f>
        <v>Simon</v>
      </c>
      <c r="G3323" s="1" t="str">
        <f>LOOKUP(B3323, Maps!A:A, Maps!B:B)</f>
        <v>Winter Heights</v>
      </c>
    </row>
    <row r="3324" ht="15.75" customHeight="1">
      <c r="A3324" s="1">
        <v>153.0</v>
      </c>
      <c r="B3324" s="1">
        <v>34.0</v>
      </c>
      <c r="C3324" s="1">
        <v>16.0</v>
      </c>
      <c r="D3324" s="1">
        <v>77.0</v>
      </c>
      <c r="F3324" s="1" t="str">
        <f>LOOKUP(A3324, NPCs!A:A, NPCs!C:C)</f>
        <v>Simon</v>
      </c>
      <c r="G3324" s="1" t="str">
        <f>LOOKUP(B3324, Maps!A:A, Maps!B:B)</f>
        <v>Winter Heights</v>
      </c>
    </row>
    <row r="3325" ht="15.75" customHeight="1">
      <c r="A3325" s="1">
        <v>153.0</v>
      </c>
      <c r="B3325" s="1">
        <v>34.0</v>
      </c>
      <c r="C3325" s="1">
        <v>16.0</v>
      </c>
      <c r="D3325" s="1">
        <v>81.0</v>
      </c>
      <c r="F3325" s="1" t="str">
        <f>LOOKUP(A3325, NPCs!A:A, NPCs!C:C)</f>
        <v>Simon</v>
      </c>
      <c r="G3325" s="1" t="str">
        <f>LOOKUP(B3325, Maps!A:A, Maps!B:B)</f>
        <v>Winter Heights</v>
      </c>
    </row>
    <row r="3326" ht="15.75" customHeight="1">
      <c r="A3326" s="1">
        <v>153.0</v>
      </c>
      <c r="B3326" s="1">
        <v>34.0</v>
      </c>
      <c r="C3326" s="1">
        <v>18.0</v>
      </c>
      <c r="D3326" s="1">
        <v>81.0</v>
      </c>
      <c r="F3326" s="1" t="str">
        <f>LOOKUP(A3326, NPCs!A:A, NPCs!C:C)</f>
        <v>Simon</v>
      </c>
      <c r="G3326" s="1" t="str">
        <f>LOOKUP(B3326, Maps!A:A, Maps!B:B)</f>
        <v>Winter Heights</v>
      </c>
    </row>
    <row r="3327" ht="15.75" customHeight="1">
      <c r="A3327" s="1">
        <v>153.0</v>
      </c>
      <c r="B3327" s="1">
        <v>34.0</v>
      </c>
      <c r="C3327" s="1">
        <v>18.0</v>
      </c>
      <c r="D3327" s="1">
        <v>86.0</v>
      </c>
      <c r="F3327" s="1" t="str">
        <f>LOOKUP(A3327, NPCs!A:A, NPCs!C:C)</f>
        <v>Simon</v>
      </c>
      <c r="G3327" s="1" t="str">
        <f>LOOKUP(B3327, Maps!A:A, Maps!B:B)</f>
        <v>Winter Heights</v>
      </c>
    </row>
    <row r="3328" ht="15.75" customHeight="1">
      <c r="A3328" s="1">
        <v>153.0</v>
      </c>
      <c r="B3328" s="1">
        <v>34.0</v>
      </c>
      <c r="C3328" s="1">
        <v>23.0</v>
      </c>
      <c r="D3328" s="1">
        <v>86.0</v>
      </c>
      <c r="F3328" s="1" t="str">
        <f>LOOKUP(A3328, NPCs!A:A, NPCs!C:C)</f>
        <v>Simon</v>
      </c>
      <c r="G3328" s="1" t="str">
        <f>LOOKUP(B3328, Maps!A:A, Maps!B:B)</f>
        <v>Winter Heights</v>
      </c>
    </row>
    <row r="3329" ht="15.75" customHeight="1">
      <c r="A3329" s="1">
        <v>153.0</v>
      </c>
      <c r="B3329" s="1">
        <v>34.0</v>
      </c>
      <c r="C3329" s="1">
        <v>26.0</v>
      </c>
      <c r="D3329" s="1">
        <v>86.0</v>
      </c>
      <c r="F3329" s="1" t="str">
        <f>LOOKUP(A3329, NPCs!A:A, NPCs!C:C)</f>
        <v>Simon</v>
      </c>
      <c r="G3329" s="1" t="str">
        <f>LOOKUP(B3329, Maps!A:A, Maps!B:B)</f>
        <v>Winter Heights</v>
      </c>
    </row>
    <row r="3330" ht="15.75" customHeight="1">
      <c r="A3330" s="1">
        <v>153.0</v>
      </c>
      <c r="B3330" s="1">
        <v>34.0</v>
      </c>
      <c r="C3330" s="1">
        <v>31.0</v>
      </c>
      <c r="D3330" s="1">
        <v>81.0</v>
      </c>
      <c r="F3330" s="1" t="str">
        <f>LOOKUP(A3330, NPCs!A:A, NPCs!C:C)</f>
        <v>Simon</v>
      </c>
      <c r="G3330" s="1" t="str">
        <f>LOOKUP(B3330, Maps!A:A, Maps!B:B)</f>
        <v>Winter Heights</v>
      </c>
    </row>
    <row r="3331" ht="15.75" customHeight="1">
      <c r="A3331" s="1">
        <v>153.0</v>
      </c>
      <c r="B3331" s="1">
        <v>34.0</v>
      </c>
      <c r="C3331" s="1">
        <v>35.0</v>
      </c>
      <c r="D3331" s="1">
        <v>86.0</v>
      </c>
      <c r="F3331" s="1" t="str">
        <f>LOOKUP(A3331, NPCs!A:A, NPCs!C:C)</f>
        <v>Simon</v>
      </c>
      <c r="G3331" s="1" t="str">
        <f>LOOKUP(B3331, Maps!A:A, Maps!B:B)</f>
        <v>Winter Heights</v>
      </c>
    </row>
    <row r="3332" ht="15.75" customHeight="1">
      <c r="A3332" s="1">
        <v>153.0</v>
      </c>
      <c r="B3332" s="1">
        <v>34.0</v>
      </c>
      <c r="C3332" s="1">
        <v>38.0</v>
      </c>
      <c r="D3332" s="1">
        <v>86.0</v>
      </c>
      <c r="F3332" s="1" t="str">
        <f>LOOKUP(A3332, NPCs!A:A, NPCs!C:C)</f>
        <v>Simon</v>
      </c>
      <c r="G3332" s="1" t="str">
        <f>LOOKUP(B3332, Maps!A:A, Maps!B:B)</f>
        <v>Winter Heights</v>
      </c>
    </row>
    <row r="3333" ht="15.75" customHeight="1">
      <c r="A3333" s="1">
        <v>153.0</v>
      </c>
      <c r="B3333" s="1">
        <v>34.0</v>
      </c>
      <c r="C3333" s="1">
        <v>40.0</v>
      </c>
      <c r="D3333" s="1">
        <v>90.0</v>
      </c>
      <c r="F3333" s="1" t="str">
        <f>LOOKUP(A3333, NPCs!A:A, NPCs!C:C)</f>
        <v>Simon</v>
      </c>
      <c r="G3333" s="1" t="str">
        <f>LOOKUP(B3333, Maps!A:A, Maps!B:B)</f>
        <v>Winter Heights</v>
      </c>
    </row>
    <row r="3334" ht="15.75" customHeight="1">
      <c r="A3334" s="1">
        <v>153.0</v>
      </c>
      <c r="B3334" s="1">
        <v>34.0</v>
      </c>
      <c r="C3334" s="1">
        <v>40.0</v>
      </c>
      <c r="D3334" s="1">
        <v>95.0</v>
      </c>
      <c r="F3334" s="1" t="str">
        <f>LOOKUP(A3334, NPCs!A:A, NPCs!C:C)</f>
        <v>Simon</v>
      </c>
      <c r="G3334" s="1" t="str">
        <f>LOOKUP(B3334, Maps!A:A, Maps!B:B)</f>
        <v>Winter Heights</v>
      </c>
    </row>
    <row r="3335" ht="15.75" customHeight="1">
      <c r="A3335" s="1">
        <v>153.0</v>
      </c>
      <c r="B3335" s="1">
        <v>34.0</v>
      </c>
      <c r="C3335" s="1">
        <v>46.0</v>
      </c>
      <c r="D3335" s="1">
        <v>98.0</v>
      </c>
      <c r="F3335" s="1" t="str">
        <f>LOOKUP(A3335, NPCs!A:A, NPCs!C:C)</f>
        <v>Simon</v>
      </c>
      <c r="G3335" s="1" t="str">
        <f>LOOKUP(B3335, Maps!A:A, Maps!B:B)</f>
        <v>Winter Heights</v>
      </c>
    </row>
    <row r="3336" ht="15.75" customHeight="1">
      <c r="A3336" s="1">
        <v>153.0</v>
      </c>
      <c r="B3336" s="1">
        <v>34.0</v>
      </c>
      <c r="C3336" s="1">
        <v>48.0</v>
      </c>
      <c r="D3336" s="1">
        <v>94.0</v>
      </c>
      <c r="F3336" s="1" t="str">
        <f>LOOKUP(A3336, NPCs!A:A, NPCs!C:C)</f>
        <v>Simon</v>
      </c>
      <c r="G3336" s="1" t="str">
        <f>LOOKUP(B3336, Maps!A:A, Maps!B:B)</f>
        <v>Winter Heights</v>
      </c>
    </row>
    <row r="3337" ht="15.75" customHeight="1">
      <c r="A3337" s="1">
        <v>153.0</v>
      </c>
      <c r="B3337" s="1">
        <v>34.0</v>
      </c>
      <c r="C3337" s="1">
        <v>47.0</v>
      </c>
      <c r="D3337" s="1">
        <v>90.0</v>
      </c>
      <c r="F3337" s="1" t="str">
        <f>LOOKUP(A3337, NPCs!A:A, NPCs!C:C)</f>
        <v>Simon</v>
      </c>
      <c r="G3337" s="1" t="str">
        <f>LOOKUP(B3337, Maps!A:A, Maps!B:B)</f>
        <v>Winter Heights</v>
      </c>
    </row>
    <row r="3338" ht="15.75" customHeight="1">
      <c r="A3338" s="1">
        <v>153.0</v>
      </c>
      <c r="B3338" s="1">
        <v>34.0</v>
      </c>
      <c r="C3338" s="1">
        <v>52.0</v>
      </c>
      <c r="D3338" s="1">
        <v>89.0</v>
      </c>
      <c r="F3338" s="1" t="str">
        <f>LOOKUP(A3338, NPCs!A:A, NPCs!C:C)</f>
        <v>Simon</v>
      </c>
      <c r="G3338" s="1" t="str">
        <f>LOOKUP(B3338, Maps!A:A, Maps!B:B)</f>
        <v>Winter Heights</v>
      </c>
    </row>
    <row r="3339" ht="15.75" customHeight="1">
      <c r="A3339" s="1">
        <v>153.0</v>
      </c>
      <c r="B3339" s="1">
        <v>34.0</v>
      </c>
      <c r="C3339" s="1">
        <v>50.0</v>
      </c>
      <c r="D3339" s="1">
        <v>85.0</v>
      </c>
      <c r="F3339" s="1" t="str">
        <f>LOOKUP(A3339, NPCs!A:A, NPCs!C:C)</f>
        <v>Simon</v>
      </c>
      <c r="G3339" s="1" t="str">
        <f>LOOKUP(B3339, Maps!A:A, Maps!B:B)</f>
        <v>Winter Heights</v>
      </c>
    </row>
    <row r="3340" ht="15.75" customHeight="1">
      <c r="A3340" s="1">
        <v>153.0</v>
      </c>
      <c r="B3340" s="1">
        <v>34.0</v>
      </c>
      <c r="C3340" s="1">
        <v>51.0</v>
      </c>
      <c r="D3340" s="1">
        <v>83.0</v>
      </c>
      <c r="F3340" s="1" t="str">
        <f>LOOKUP(A3340, NPCs!A:A, NPCs!C:C)</f>
        <v>Simon</v>
      </c>
      <c r="G3340" s="1" t="str">
        <f>LOOKUP(B3340, Maps!A:A, Maps!B:B)</f>
        <v>Winter Heights</v>
      </c>
    </row>
    <row r="3341" ht="15.75" customHeight="1">
      <c r="A3341" s="1">
        <v>153.0</v>
      </c>
      <c r="B3341" s="1">
        <v>34.0</v>
      </c>
      <c r="C3341" s="1">
        <v>53.0</v>
      </c>
      <c r="D3341" s="1">
        <v>80.0</v>
      </c>
      <c r="F3341" s="1" t="str">
        <f>LOOKUP(A3341, NPCs!A:A, NPCs!C:C)</f>
        <v>Simon</v>
      </c>
      <c r="G3341" s="1" t="str">
        <f>LOOKUP(B3341, Maps!A:A, Maps!B:B)</f>
        <v>Winter Heights</v>
      </c>
    </row>
    <row r="3342" ht="15.75" customHeight="1">
      <c r="A3342" s="1">
        <v>153.0</v>
      </c>
      <c r="B3342" s="1">
        <v>34.0</v>
      </c>
      <c r="C3342" s="1">
        <v>59.0</v>
      </c>
      <c r="D3342" s="1">
        <v>83.0</v>
      </c>
      <c r="F3342" s="1" t="str">
        <f>LOOKUP(A3342, NPCs!A:A, NPCs!C:C)</f>
        <v>Simon</v>
      </c>
      <c r="G3342" s="1" t="str">
        <f>LOOKUP(B3342, Maps!A:A, Maps!B:B)</f>
        <v>Winter Heights</v>
      </c>
    </row>
    <row r="3343" ht="15.75" customHeight="1">
      <c r="A3343" s="1">
        <v>153.0</v>
      </c>
      <c r="B3343" s="1">
        <v>34.0</v>
      </c>
      <c r="C3343" s="1">
        <v>46.0</v>
      </c>
      <c r="D3343" s="1">
        <v>80.0</v>
      </c>
      <c r="F3343" s="1" t="str">
        <f>LOOKUP(A3343, NPCs!A:A, NPCs!C:C)</f>
        <v>Simon</v>
      </c>
      <c r="G3343" s="1" t="str">
        <f>LOOKUP(B3343, Maps!A:A, Maps!B:B)</f>
        <v>Winter Heights</v>
      </c>
    </row>
    <row r="3344" ht="15.75" customHeight="1">
      <c r="A3344" s="1">
        <v>153.0</v>
      </c>
      <c r="B3344" s="1">
        <v>34.0</v>
      </c>
      <c r="C3344" s="1">
        <v>23.0</v>
      </c>
      <c r="D3344" s="1">
        <v>75.0</v>
      </c>
      <c r="F3344" s="1" t="str">
        <f>LOOKUP(A3344, NPCs!A:A, NPCs!C:C)</f>
        <v>Simon</v>
      </c>
      <c r="G3344" s="1" t="str">
        <f>LOOKUP(B3344, Maps!A:A, Maps!B:B)</f>
        <v>Winter Heights</v>
      </c>
    </row>
    <row r="3345" ht="15.75" customHeight="1">
      <c r="A3345" s="1">
        <v>153.0</v>
      </c>
      <c r="B3345" s="1">
        <v>34.0</v>
      </c>
      <c r="C3345" s="1">
        <v>11.0</v>
      </c>
      <c r="D3345" s="1">
        <v>73.0</v>
      </c>
      <c r="F3345" s="1" t="str">
        <f>LOOKUP(A3345, NPCs!A:A, NPCs!C:C)</f>
        <v>Simon</v>
      </c>
      <c r="G3345" s="1" t="str">
        <f>LOOKUP(B3345, Maps!A:A, Maps!B:B)</f>
        <v>Winter Heights</v>
      </c>
    </row>
    <row r="3346" ht="15.75" customHeight="1">
      <c r="A3346" s="1">
        <v>153.0</v>
      </c>
      <c r="B3346" s="1">
        <v>34.0</v>
      </c>
      <c r="C3346" s="1">
        <v>11.0</v>
      </c>
      <c r="D3346" s="1">
        <v>66.0</v>
      </c>
      <c r="F3346" s="1" t="str">
        <f>LOOKUP(A3346, NPCs!A:A, NPCs!C:C)</f>
        <v>Simon</v>
      </c>
      <c r="G3346" s="1" t="str">
        <f>LOOKUP(B3346, Maps!A:A, Maps!B:B)</f>
        <v>Winter Heights</v>
      </c>
    </row>
    <row r="3347" ht="15.75" customHeight="1">
      <c r="A3347" s="1">
        <v>153.0</v>
      </c>
      <c r="B3347" s="1">
        <v>34.0</v>
      </c>
      <c r="C3347" s="1">
        <v>6.0</v>
      </c>
      <c r="D3347" s="1">
        <v>64.0</v>
      </c>
      <c r="F3347" s="1" t="str">
        <f>LOOKUP(A3347, NPCs!A:A, NPCs!C:C)</f>
        <v>Simon</v>
      </c>
      <c r="G3347" s="1" t="str">
        <f>LOOKUP(B3347, Maps!A:A, Maps!B:B)</f>
        <v>Winter Heights</v>
      </c>
    </row>
    <row r="3348" ht="15.75" customHeight="1">
      <c r="A3348" s="1">
        <v>153.0</v>
      </c>
      <c r="B3348" s="1">
        <v>34.0</v>
      </c>
      <c r="C3348" s="1">
        <v>5.0</v>
      </c>
      <c r="D3348" s="1">
        <v>64.0</v>
      </c>
      <c r="F3348" s="1" t="str">
        <f>LOOKUP(A3348, NPCs!A:A, NPCs!C:C)</f>
        <v>Simon</v>
      </c>
      <c r="G3348" s="1" t="str">
        <f>LOOKUP(B3348, Maps!A:A, Maps!B:B)</f>
        <v>Winter Heights</v>
      </c>
    </row>
    <row r="3349" ht="15.75" customHeight="1">
      <c r="A3349" s="1">
        <v>153.0</v>
      </c>
      <c r="B3349" s="1">
        <v>34.0</v>
      </c>
      <c r="C3349" s="1">
        <v>7.0</v>
      </c>
      <c r="D3349" s="1">
        <v>75.0</v>
      </c>
      <c r="F3349" s="1" t="str">
        <f>LOOKUP(A3349, NPCs!A:A, NPCs!C:C)</f>
        <v>Simon</v>
      </c>
      <c r="G3349" s="1" t="str">
        <f>LOOKUP(B3349, Maps!A:A, Maps!B:B)</f>
        <v>Winter Heights</v>
      </c>
    </row>
    <row r="3350" ht="15.75" customHeight="1">
      <c r="A3350" s="1">
        <v>153.0</v>
      </c>
      <c r="B3350" s="1">
        <v>34.0</v>
      </c>
      <c r="C3350" s="1">
        <v>7.0</v>
      </c>
      <c r="D3350" s="1">
        <v>77.0</v>
      </c>
      <c r="F3350" s="1" t="str">
        <f>LOOKUP(A3350, NPCs!A:A, NPCs!C:C)</f>
        <v>Simon</v>
      </c>
      <c r="G3350" s="1" t="str">
        <f>LOOKUP(B3350, Maps!A:A, Maps!B:B)</f>
        <v>Winter Heights</v>
      </c>
    </row>
    <row r="3351" ht="15.75" customHeight="1">
      <c r="A3351" s="1">
        <v>153.0</v>
      </c>
      <c r="B3351" s="1">
        <v>34.0</v>
      </c>
      <c r="C3351" s="1">
        <v>8.0</v>
      </c>
      <c r="D3351" s="1">
        <v>82.0</v>
      </c>
      <c r="F3351" s="1" t="str">
        <f>LOOKUP(A3351, NPCs!A:A, NPCs!C:C)</f>
        <v>Simon</v>
      </c>
      <c r="G3351" s="1" t="str">
        <f>LOOKUP(B3351, Maps!A:A, Maps!B:B)</f>
        <v>Winter Heights</v>
      </c>
    </row>
    <row r="3352" ht="15.75" customHeight="1">
      <c r="A3352" s="1">
        <v>153.0</v>
      </c>
      <c r="B3352" s="1">
        <v>34.0</v>
      </c>
      <c r="C3352" s="1">
        <v>8.0</v>
      </c>
      <c r="D3352" s="1">
        <v>84.0</v>
      </c>
      <c r="F3352" s="1" t="str">
        <f>LOOKUP(A3352, NPCs!A:A, NPCs!C:C)</f>
        <v>Simon</v>
      </c>
      <c r="G3352" s="1" t="str">
        <f>LOOKUP(B3352, Maps!A:A, Maps!B:B)</f>
        <v>Winter Heights</v>
      </c>
    </row>
    <row r="3353" ht="15.75" customHeight="1">
      <c r="A3353" s="1">
        <v>153.0</v>
      </c>
      <c r="B3353" s="1">
        <v>34.0</v>
      </c>
      <c r="C3353" s="1">
        <v>4.0</v>
      </c>
      <c r="D3353" s="1">
        <v>88.0</v>
      </c>
      <c r="F3353" s="1" t="str">
        <f>LOOKUP(A3353, NPCs!A:A, NPCs!C:C)</f>
        <v>Simon</v>
      </c>
      <c r="G3353" s="1" t="str">
        <f>LOOKUP(B3353, Maps!A:A, Maps!B:B)</f>
        <v>Winter Heights</v>
      </c>
    </row>
    <row r="3354" ht="15.75" customHeight="1">
      <c r="A3354" s="1">
        <v>153.0</v>
      </c>
      <c r="B3354" s="1">
        <v>34.0</v>
      </c>
      <c r="C3354" s="1">
        <v>4.0</v>
      </c>
      <c r="D3354" s="1">
        <v>95.0</v>
      </c>
      <c r="F3354" s="1" t="str">
        <f>LOOKUP(A3354, NPCs!A:A, NPCs!C:C)</f>
        <v>Simon</v>
      </c>
      <c r="G3354" s="1" t="str">
        <f>LOOKUP(B3354, Maps!A:A, Maps!B:B)</f>
        <v>Winter Heights</v>
      </c>
    </row>
    <row r="3355" ht="15.75" customHeight="1">
      <c r="A3355" s="1">
        <v>153.0</v>
      </c>
      <c r="B3355" s="1">
        <v>34.0</v>
      </c>
      <c r="C3355" s="1">
        <v>9.0</v>
      </c>
      <c r="D3355" s="1">
        <v>95.0</v>
      </c>
      <c r="F3355" s="1" t="str">
        <f>LOOKUP(A3355, NPCs!A:A, NPCs!C:C)</f>
        <v>Simon</v>
      </c>
      <c r="G3355" s="1" t="str">
        <f>LOOKUP(B3355, Maps!A:A, Maps!B:B)</f>
        <v>Winter Heights</v>
      </c>
    </row>
    <row r="3356" ht="15.75" customHeight="1">
      <c r="A3356" s="1">
        <v>153.0</v>
      </c>
      <c r="B3356" s="1">
        <v>34.0</v>
      </c>
      <c r="C3356" s="1">
        <v>7.0</v>
      </c>
      <c r="D3356" s="1">
        <v>99.0</v>
      </c>
      <c r="F3356" s="1" t="str">
        <f>LOOKUP(A3356, NPCs!A:A, NPCs!C:C)</f>
        <v>Simon</v>
      </c>
      <c r="G3356" s="1" t="str">
        <f>LOOKUP(B3356, Maps!A:A, Maps!B:B)</f>
        <v>Winter Heights</v>
      </c>
    </row>
    <row r="3357" ht="15.75" customHeight="1">
      <c r="A3357" s="1">
        <v>153.0</v>
      </c>
      <c r="B3357" s="1">
        <v>34.0</v>
      </c>
      <c r="C3357" s="1">
        <v>15.0</v>
      </c>
      <c r="D3357" s="1">
        <v>92.0</v>
      </c>
      <c r="F3357" s="1" t="str">
        <f>LOOKUP(A3357, NPCs!A:A, NPCs!C:C)</f>
        <v>Simon</v>
      </c>
      <c r="G3357" s="1" t="str">
        <f>LOOKUP(B3357, Maps!A:A, Maps!B:B)</f>
        <v>Winter Heights</v>
      </c>
    </row>
    <row r="3358" ht="15.75" customHeight="1">
      <c r="A3358" s="1">
        <v>153.0</v>
      </c>
      <c r="B3358" s="1">
        <v>34.0</v>
      </c>
      <c r="C3358" s="1">
        <v>19.0</v>
      </c>
      <c r="D3358" s="1">
        <v>98.0</v>
      </c>
      <c r="F3358" s="1" t="str">
        <f>LOOKUP(A3358, NPCs!A:A, NPCs!C:C)</f>
        <v>Simon</v>
      </c>
      <c r="G3358" s="1" t="str">
        <f>LOOKUP(B3358, Maps!A:A, Maps!B:B)</f>
        <v>Winter Heights</v>
      </c>
    </row>
    <row r="3359" ht="15.75" customHeight="1">
      <c r="A3359" s="1">
        <v>153.0</v>
      </c>
      <c r="B3359" s="1">
        <v>34.0</v>
      </c>
      <c r="C3359" s="1">
        <v>21.0</v>
      </c>
      <c r="D3359" s="1">
        <v>98.0</v>
      </c>
      <c r="F3359" s="1" t="str">
        <f>LOOKUP(A3359, NPCs!A:A, NPCs!C:C)</f>
        <v>Simon</v>
      </c>
      <c r="G3359" s="1" t="str">
        <f>LOOKUP(B3359, Maps!A:A, Maps!B:B)</f>
        <v>Winter Heights</v>
      </c>
    </row>
    <row r="3360" ht="15.75" customHeight="1">
      <c r="A3360" s="1">
        <v>153.0</v>
      </c>
      <c r="B3360" s="1">
        <v>34.0</v>
      </c>
      <c r="C3360" s="1">
        <v>26.0</v>
      </c>
      <c r="D3360" s="1">
        <v>94.0</v>
      </c>
      <c r="F3360" s="1" t="str">
        <f>LOOKUP(A3360, NPCs!A:A, NPCs!C:C)</f>
        <v>Simon</v>
      </c>
      <c r="G3360" s="1" t="str">
        <f>LOOKUP(B3360, Maps!A:A, Maps!B:B)</f>
        <v>Winter Heights</v>
      </c>
    </row>
    <row r="3361" ht="15.75" customHeight="1">
      <c r="A3361" s="1">
        <v>153.0</v>
      </c>
      <c r="B3361" s="1">
        <v>34.0</v>
      </c>
      <c r="C3361" s="1">
        <v>31.0</v>
      </c>
      <c r="D3361" s="1">
        <v>98.0</v>
      </c>
      <c r="F3361" s="1" t="str">
        <f>LOOKUP(A3361, NPCs!A:A, NPCs!C:C)</f>
        <v>Simon</v>
      </c>
      <c r="G3361" s="1" t="str">
        <f>LOOKUP(B3361, Maps!A:A, Maps!B:B)</f>
        <v>Winter Heights</v>
      </c>
    </row>
    <row r="3362" ht="15.75" customHeight="1">
      <c r="A3362" s="1">
        <v>153.0</v>
      </c>
      <c r="B3362" s="1">
        <v>34.0</v>
      </c>
      <c r="C3362" s="1">
        <v>31.0</v>
      </c>
      <c r="D3362" s="1">
        <v>92.0</v>
      </c>
      <c r="F3362" s="1" t="str">
        <f>LOOKUP(A3362, NPCs!A:A, NPCs!C:C)</f>
        <v>Simon</v>
      </c>
      <c r="G3362" s="1" t="str">
        <f>LOOKUP(B3362, Maps!A:A, Maps!B:B)</f>
        <v>Winter Heights</v>
      </c>
    </row>
    <row r="3363" ht="15.75" customHeight="1">
      <c r="A3363" s="1">
        <v>153.0</v>
      </c>
      <c r="B3363" s="1">
        <v>34.0</v>
      </c>
      <c r="C3363" s="1">
        <v>46.0</v>
      </c>
      <c r="D3363" s="1">
        <v>62.0</v>
      </c>
      <c r="F3363" s="1" t="str">
        <f>LOOKUP(A3363, NPCs!A:A, NPCs!C:C)</f>
        <v>Simon</v>
      </c>
      <c r="G3363" s="1" t="str">
        <f>LOOKUP(B3363, Maps!A:A, Maps!B:B)</f>
        <v>Winter Heights</v>
      </c>
    </row>
    <row r="3364" ht="15.75" customHeight="1">
      <c r="A3364" s="1">
        <v>153.0</v>
      </c>
      <c r="B3364" s="1">
        <v>34.0</v>
      </c>
      <c r="C3364" s="1">
        <v>58.0</v>
      </c>
      <c r="D3364" s="1">
        <v>63.0</v>
      </c>
      <c r="F3364" s="1" t="str">
        <f>LOOKUP(A3364, NPCs!A:A, NPCs!C:C)</f>
        <v>Simon</v>
      </c>
      <c r="G3364" s="1" t="str">
        <f>LOOKUP(B3364, Maps!A:A, Maps!B:B)</f>
        <v>Winter Heights</v>
      </c>
    </row>
    <row r="3365" ht="15.75" customHeight="1">
      <c r="A3365" s="1">
        <v>154.0</v>
      </c>
      <c r="B3365" s="1">
        <v>34.0</v>
      </c>
      <c r="C3365" s="1">
        <v>47.0</v>
      </c>
      <c r="D3365" s="1">
        <v>75.0</v>
      </c>
      <c r="F3365" s="1" t="str">
        <f>LOOKUP(A3365, NPCs!A:A, NPCs!C:C)</f>
        <v>Charlie</v>
      </c>
      <c r="G3365" s="1" t="str">
        <f>LOOKUP(B3365, Maps!A:A, Maps!B:B)</f>
        <v>Winter Heights</v>
      </c>
    </row>
    <row r="3366" ht="15.75" customHeight="1">
      <c r="A3366" s="1">
        <v>127.0</v>
      </c>
      <c r="B3366" s="1">
        <v>42.0</v>
      </c>
      <c r="C3366" s="1">
        <v>92.0</v>
      </c>
      <c r="D3366" s="1">
        <v>47.0</v>
      </c>
      <c r="F3366" s="1" t="str">
        <f>LOOKUP(A3366, NPCs!A:A, NPCs!C:C)</f>
        <v>Berry Stealer</v>
      </c>
      <c r="G3366" s="1" t="str">
        <f>LOOKUP(B3366, Maps!A:A, Maps!B:B)</f>
        <v>Rugged Valley</v>
      </c>
    </row>
    <row r="3367" ht="15.75" customHeight="1">
      <c r="A3367" s="1">
        <v>128.0</v>
      </c>
      <c r="B3367" s="1">
        <v>42.0</v>
      </c>
      <c r="C3367" s="1">
        <v>71.0</v>
      </c>
      <c r="D3367" s="1">
        <v>3.0</v>
      </c>
      <c r="F3367" s="1" t="str">
        <f>LOOKUP(A3367, NPCs!A:A, NPCs!C:C)</f>
        <v>Guardian Bear</v>
      </c>
      <c r="G3367" s="1" t="str">
        <f>LOOKUP(B3367, Maps!A:A, Maps!B:B)</f>
        <v>Rugged Valley</v>
      </c>
    </row>
    <row r="3368" ht="15.75" customHeight="1">
      <c r="A3368" s="1">
        <v>128.0</v>
      </c>
      <c r="B3368" s="1">
        <v>42.0</v>
      </c>
      <c r="C3368" s="1">
        <v>63.0</v>
      </c>
      <c r="D3368" s="1">
        <v>3.0</v>
      </c>
      <c r="F3368" s="1" t="str">
        <f>LOOKUP(A3368, NPCs!A:A, NPCs!C:C)</f>
        <v>Guardian Bear</v>
      </c>
      <c r="G3368" s="1" t="str">
        <f>LOOKUP(B3368, Maps!A:A, Maps!B:B)</f>
        <v>Rugged Valley</v>
      </c>
    </row>
    <row r="3369" ht="15.75" customHeight="1">
      <c r="A3369" s="1">
        <v>128.0</v>
      </c>
      <c r="B3369" s="1">
        <v>42.0</v>
      </c>
      <c r="C3369" s="1">
        <v>54.0</v>
      </c>
      <c r="D3369" s="1">
        <v>3.0</v>
      </c>
      <c r="F3369" s="1" t="str">
        <f>LOOKUP(A3369, NPCs!A:A, NPCs!C:C)</f>
        <v>Guardian Bear</v>
      </c>
      <c r="G3369" s="1" t="str">
        <f>LOOKUP(B3369, Maps!A:A, Maps!B:B)</f>
        <v>Rugged Valley</v>
      </c>
    </row>
    <row r="3370" ht="15.75" customHeight="1">
      <c r="A3370" s="1">
        <v>131.0</v>
      </c>
      <c r="B3370" s="1">
        <v>42.0</v>
      </c>
      <c r="C3370" s="1">
        <v>30.0</v>
      </c>
      <c r="D3370" s="1">
        <v>39.0</v>
      </c>
      <c r="F3370" s="1" t="str">
        <f>LOOKUP(A3370, NPCs!A:A, NPCs!C:C)</f>
        <v>Betsy the Bear Charmer</v>
      </c>
      <c r="G3370" s="1" t="str">
        <f>LOOKUP(B3370, Maps!A:A, Maps!B:B)</f>
        <v>Rugged Valley</v>
      </c>
    </row>
    <row r="3371" ht="15.75" customHeight="1">
      <c r="A3371" s="1">
        <v>157.0</v>
      </c>
      <c r="B3371" s="1">
        <v>42.0</v>
      </c>
      <c r="C3371" s="1">
        <v>10.0</v>
      </c>
      <c r="D3371" s="1">
        <v>10.0</v>
      </c>
      <c r="F3371" s="1" t="str">
        <f>LOOKUP(A3371, NPCs!A:A, NPCs!C:C)</f>
        <v>Gramps</v>
      </c>
      <c r="G3371" s="1" t="str">
        <f>LOOKUP(B3371, Maps!A:A, Maps!B:B)</f>
        <v>Rugged Valley</v>
      </c>
    </row>
    <row r="3372" ht="15.75" customHeight="1">
      <c r="A3372" s="1">
        <v>130.0</v>
      </c>
      <c r="B3372" s="1">
        <v>42.0</v>
      </c>
      <c r="C3372" s="1">
        <v>5.0</v>
      </c>
      <c r="D3372" s="1">
        <v>5.0</v>
      </c>
      <c r="F3372" s="1" t="str">
        <f>LOOKUP(A3372, NPCs!A:A, NPCs!C:C)</f>
        <v>Young Bear</v>
      </c>
      <c r="G3372" s="1" t="str">
        <f>LOOKUP(B3372, Maps!A:A, Maps!B:B)</f>
        <v>Rugged Valley</v>
      </c>
    </row>
    <row r="3373" ht="15.75" customHeight="1">
      <c r="A3373" s="1">
        <v>130.0</v>
      </c>
      <c r="B3373" s="1">
        <v>42.0</v>
      </c>
      <c r="C3373" s="1">
        <v>10.0</v>
      </c>
      <c r="D3373" s="1">
        <v>5.0</v>
      </c>
      <c r="F3373" s="1" t="str">
        <f>LOOKUP(A3373, NPCs!A:A, NPCs!C:C)</f>
        <v>Young Bear</v>
      </c>
      <c r="G3373" s="1" t="str">
        <f>LOOKUP(B3373, Maps!A:A, Maps!B:B)</f>
        <v>Rugged Valley</v>
      </c>
    </row>
    <row r="3374" ht="15.75" customHeight="1">
      <c r="A3374" s="1">
        <v>130.0</v>
      </c>
      <c r="B3374" s="1">
        <v>42.0</v>
      </c>
      <c r="C3374" s="1">
        <v>15.0</v>
      </c>
      <c r="D3374" s="1">
        <v>5.0</v>
      </c>
      <c r="F3374" s="1" t="str">
        <f>LOOKUP(A3374, NPCs!A:A, NPCs!C:C)</f>
        <v>Young Bear</v>
      </c>
      <c r="G3374" s="1" t="str">
        <f>LOOKUP(B3374, Maps!A:A, Maps!B:B)</f>
        <v>Rugged Valley</v>
      </c>
    </row>
    <row r="3375" ht="15.75" customHeight="1">
      <c r="A3375" s="1">
        <v>130.0</v>
      </c>
      <c r="B3375" s="1">
        <v>42.0</v>
      </c>
      <c r="C3375" s="1">
        <v>20.0</v>
      </c>
      <c r="D3375" s="1">
        <v>5.0</v>
      </c>
      <c r="F3375" s="1" t="str">
        <f>LOOKUP(A3375, NPCs!A:A, NPCs!C:C)</f>
        <v>Young Bear</v>
      </c>
      <c r="G3375" s="1" t="str">
        <f>LOOKUP(B3375, Maps!A:A, Maps!B:B)</f>
        <v>Rugged Valley</v>
      </c>
    </row>
    <row r="3376" ht="15.75" customHeight="1">
      <c r="A3376" s="1">
        <v>130.0</v>
      </c>
      <c r="B3376" s="1">
        <v>42.0</v>
      </c>
      <c r="C3376" s="1">
        <v>25.0</v>
      </c>
      <c r="D3376" s="1">
        <v>5.0</v>
      </c>
      <c r="F3376" s="1" t="str">
        <f>LOOKUP(A3376, NPCs!A:A, NPCs!C:C)</f>
        <v>Young Bear</v>
      </c>
      <c r="G3376" s="1" t="str">
        <f>LOOKUP(B3376, Maps!A:A, Maps!B:B)</f>
        <v>Rugged Valley</v>
      </c>
    </row>
    <row r="3377" ht="15.75" customHeight="1">
      <c r="A3377" s="1">
        <v>130.0</v>
      </c>
      <c r="B3377" s="1">
        <v>42.0</v>
      </c>
      <c r="C3377" s="1">
        <v>30.0</v>
      </c>
      <c r="D3377" s="1">
        <v>5.0</v>
      </c>
      <c r="F3377" s="1" t="str">
        <f>LOOKUP(A3377, NPCs!A:A, NPCs!C:C)</f>
        <v>Young Bear</v>
      </c>
      <c r="G3377" s="1" t="str">
        <f>LOOKUP(B3377, Maps!A:A, Maps!B:B)</f>
        <v>Rugged Valley</v>
      </c>
    </row>
    <row r="3378" ht="15.75" customHeight="1">
      <c r="A3378" s="1">
        <v>130.0</v>
      </c>
      <c r="B3378" s="1">
        <v>42.0</v>
      </c>
      <c r="C3378" s="1">
        <v>35.0</v>
      </c>
      <c r="D3378" s="1">
        <v>5.0</v>
      </c>
      <c r="F3378" s="1" t="str">
        <f>LOOKUP(A3378, NPCs!A:A, NPCs!C:C)</f>
        <v>Young Bear</v>
      </c>
      <c r="G3378" s="1" t="str">
        <f>LOOKUP(B3378, Maps!A:A, Maps!B:B)</f>
        <v>Rugged Valley</v>
      </c>
    </row>
    <row r="3379" ht="15.75" customHeight="1">
      <c r="A3379" s="1">
        <v>130.0</v>
      </c>
      <c r="B3379" s="1">
        <v>42.0</v>
      </c>
      <c r="C3379" s="1">
        <v>40.0</v>
      </c>
      <c r="D3379" s="1">
        <v>5.0</v>
      </c>
      <c r="F3379" s="1" t="str">
        <f>LOOKUP(A3379, NPCs!A:A, NPCs!C:C)</f>
        <v>Young Bear</v>
      </c>
      <c r="G3379" s="1" t="str">
        <f>LOOKUP(B3379, Maps!A:A, Maps!B:B)</f>
        <v>Rugged Valley</v>
      </c>
    </row>
    <row r="3380" ht="15.75" customHeight="1">
      <c r="A3380" s="1">
        <v>130.0</v>
      </c>
      <c r="B3380" s="1">
        <v>42.0</v>
      </c>
      <c r="C3380" s="1">
        <v>45.0</v>
      </c>
      <c r="D3380" s="1">
        <v>5.0</v>
      </c>
      <c r="F3380" s="1" t="str">
        <f>LOOKUP(A3380, NPCs!A:A, NPCs!C:C)</f>
        <v>Young Bear</v>
      </c>
      <c r="G3380" s="1" t="str">
        <f>LOOKUP(B3380, Maps!A:A, Maps!B:B)</f>
        <v>Rugged Valley</v>
      </c>
    </row>
    <row r="3381" ht="15.75" customHeight="1">
      <c r="A3381" s="1">
        <v>130.0</v>
      </c>
      <c r="B3381" s="1">
        <v>42.0</v>
      </c>
      <c r="C3381" s="1">
        <v>50.0</v>
      </c>
      <c r="D3381" s="1">
        <v>5.0</v>
      </c>
      <c r="F3381" s="1" t="str">
        <f>LOOKUP(A3381, NPCs!A:A, NPCs!C:C)</f>
        <v>Young Bear</v>
      </c>
      <c r="G3381" s="1" t="str">
        <f>LOOKUP(B3381, Maps!A:A, Maps!B:B)</f>
        <v>Rugged Valley</v>
      </c>
    </row>
    <row r="3382" ht="15.75" customHeight="1">
      <c r="A3382" s="1">
        <v>130.0</v>
      </c>
      <c r="B3382" s="1">
        <v>42.0</v>
      </c>
      <c r="C3382" s="1">
        <v>55.0</v>
      </c>
      <c r="D3382" s="1">
        <v>5.0</v>
      </c>
      <c r="F3382" s="1" t="str">
        <f>LOOKUP(A3382, NPCs!A:A, NPCs!C:C)</f>
        <v>Young Bear</v>
      </c>
      <c r="G3382" s="1" t="str">
        <f>LOOKUP(B3382, Maps!A:A, Maps!B:B)</f>
        <v>Rugged Valley</v>
      </c>
    </row>
    <row r="3383" ht="15.75" customHeight="1">
      <c r="A3383" s="1">
        <v>130.0</v>
      </c>
      <c r="B3383" s="1">
        <v>42.0</v>
      </c>
      <c r="C3383" s="1">
        <v>60.0</v>
      </c>
      <c r="D3383" s="1">
        <v>5.0</v>
      </c>
      <c r="F3383" s="1" t="str">
        <f>LOOKUP(A3383, NPCs!A:A, NPCs!C:C)</f>
        <v>Young Bear</v>
      </c>
      <c r="G3383" s="1" t="str">
        <f>LOOKUP(B3383, Maps!A:A, Maps!B:B)</f>
        <v>Rugged Valley</v>
      </c>
    </row>
    <row r="3384" ht="15.75" customHeight="1">
      <c r="A3384" s="1">
        <v>130.0</v>
      </c>
      <c r="B3384" s="1">
        <v>42.0</v>
      </c>
      <c r="C3384" s="1">
        <v>65.0</v>
      </c>
      <c r="D3384" s="1">
        <v>5.0</v>
      </c>
      <c r="F3384" s="1" t="str">
        <f>LOOKUP(A3384, NPCs!A:A, NPCs!C:C)</f>
        <v>Young Bear</v>
      </c>
      <c r="G3384" s="1" t="str">
        <f>LOOKUP(B3384, Maps!A:A, Maps!B:B)</f>
        <v>Rugged Valley</v>
      </c>
    </row>
    <row r="3385" ht="15.75" customHeight="1">
      <c r="A3385" s="1">
        <v>130.0</v>
      </c>
      <c r="B3385" s="1">
        <v>42.0</v>
      </c>
      <c r="C3385" s="1">
        <v>75.0</v>
      </c>
      <c r="D3385" s="1">
        <v>5.0</v>
      </c>
      <c r="F3385" s="1" t="str">
        <f>LOOKUP(A3385, NPCs!A:A, NPCs!C:C)</f>
        <v>Young Bear</v>
      </c>
      <c r="G3385" s="1" t="str">
        <f>LOOKUP(B3385, Maps!A:A, Maps!B:B)</f>
        <v>Rugged Valley</v>
      </c>
    </row>
    <row r="3386" ht="15.75" customHeight="1">
      <c r="A3386" s="1">
        <v>130.0</v>
      </c>
      <c r="B3386" s="1">
        <v>42.0</v>
      </c>
      <c r="C3386" s="1">
        <v>85.0</v>
      </c>
      <c r="D3386" s="1">
        <v>5.0</v>
      </c>
      <c r="F3386" s="1" t="str">
        <f>LOOKUP(A3386, NPCs!A:A, NPCs!C:C)</f>
        <v>Young Bear</v>
      </c>
      <c r="G3386" s="1" t="str">
        <f>LOOKUP(B3386, Maps!A:A, Maps!B:B)</f>
        <v>Rugged Valley</v>
      </c>
    </row>
    <row r="3387" ht="15.75" customHeight="1">
      <c r="A3387" s="1">
        <v>130.0</v>
      </c>
      <c r="B3387" s="1">
        <v>42.0</v>
      </c>
      <c r="C3387" s="1">
        <v>95.0</v>
      </c>
      <c r="D3387" s="1">
        <v>5.0</v>
      </c>
      <c r="F3387" s="1" t="str">
        <f>LOOKUP(A3387, NPCs!A:A, NPCs!C:C)</f>
        <v>Young Bear</v>
      </c>
      <c r="G3387" s="1" t="str">
        <f>LOOKUP(B3387, Maps!A:A, Maps!B:B)</f>
        <v>Rugged Valley</v>
      </c>
    </row>
    <row r="3388" ht="15.75" customHeight="1">
      <c r="A3388" s="1">
        <v>130.0</v>
      </c>
      <c r="B3388" s="1">
        <v>42.0</v>
      </c>
      <c r="C3388" s="1">
        <v>5.0</v>
      </c>
      <c r="D3388" s="1">
        <v>10.0</v>
      </c>
      <c r="F3388" s="1" t="str">
        <f>LOOKUP(A3388, NPCs!A:A, NPCs!C:C)</f>
        <v>Young Bear</v>
      </c>
      <c r="G3388" s="1" t="str">
        <f>LOOKUP(B3388, Maps!A:A, Maps!B:B)</f>
        <v>Rugged Valley</v>
      </c>
    </row>
    <row r="3389" ht="15.75" customHeight="1">
      <c r="A3389" s="1">
        <v>130.0</v>
      </c>
      <c r="B3389" s="1">
        <v>42.0</v>
      </c>
      <c r="C3389" s="1">
        <v>15.0</v>
      </c>
      <c r="D3389" s="1">
        <v>10.0</v>
      </c>
      <c r="F3389" s="1" t="str">
        <f>LOOKUP(A3389, NPCs!A:A, NPCs!C:C)</f>
        <v>Young Bear</v>
      </c>
      <c r="G3389" s="1" t="str">
        <f>LOOKUP(B3389, Maps!A:A, Maps!B:B)</f>
        <v>Rugged Valley</v>
      </c>
    </row>
    <row r="3390" ht="15.75" customHeight="1">
      <c r="A3390" s="1">
        <v>130.0</v>
      </c>
      <c r="B3390" s="1">
        <v>42.0</v>
      </c>
      <c r="C3390" s="1">
        <v>25.0</v>
      </c>
      <c r="D3390" s="1">
        <v>10.0</v>
      </c>
      <c r="F3390" s="1" t="str">
        <f>LOOKUP(A3390, NPCs!A:A, NPCs!C:C)</f>
        <v>Young Bear</v>
      </c>
      <c r="G3390" s="1" t="str">
        <f>LOOKUP(B3390, Maps!A:A, Maps!B:B)</f>
        <v>Rugged Valley</v>
      </c>
    </row>
    <row r="3391" ht="15.75" customHeight="1">
      <c r="A3391" s="1">
        <v>130.0</v>
      </c>
      <c r="B3391" s="1">
        <v>42.0</v>
      </c>
      <c r="C3391" s="1">
        <v>35.0</v>
      </c>
      <c r="D3391" s="1">
        <v>10.0</v>
      </c>
      <c r="F3391" s="1" t="str">
        <f>LOOKUP(A3391, NPCs!A:A, NPCs!C:C)</f>
        <v>Young Bear</v>
      </c>
      <c r="G3391" s="1" t="str">
        <f>LOOKUP(B3391, Maps!A:A, Maps!B:B)</f>
        <v>Rugged Valley</v>
      </c>
    </row>
    <row r="3392" ht="15.75" customHeight="1">
      <c r="A3392" s="1">
        <v>130.0</v>
      </c>
      <c r="B3392" s="1">
        <v>42.0</v>
      </c>
      <c r="C3392" s="1">
        <v>40.0</v>
      </c>
      <c r="D3392" s="1">
        <v>10.0</v>
      </c>
      <c r="F3392" s="1" t="str">
        <f>LOOKUP(A3392, NPCs!A:A, NPCs!C:C)</f>
        <v>Young Bear</v>
      </c>
      <c r="G3392" s="1" t="str">
        <f>LOOKUP(B3392, Maps!A:A, Maps!B:B)</f>
        <v>Rugged Valley</v>
      </c>
    </row>
    <row r="3393" ht="15.75" customHeight="1">
      <c r="A3393" s="1">
        <v>130.0</v>
      </c>
      <c r="B3393" s="1">
        <v>42.0</v>
      </c>
      <c r="C3393" s="1">
        <v>50.0</v>
      </c>
      <c r="D3393" s="1">
        <v>10.0</v>
      </c>
      <c r="F3393" s="1" t="str">
        <f>LOOKUP(A3393, NPCs!A:A, NPCs!C:C)</f>
        <v>Young Bear</v>
      </c>
      <c r="G3393" s="1" t="str">
        <f>LOOKUP(B3393, Maps!A:A, Maps!B:B)</f>
        <v>Rugged Valley</v>
      </c>
    </row>
    <row r="3394" ht="15.75" customHeight="1">
      <c r="A3394" s="1">
        <v>130.0</v>
      </c>
      <c r="B3394" s="1">
        <v>42.0</v>
      </c>
      <c r="C3394" s="1">
        <v>55.0</v>
      </c>
      <c r="D3394" s="1">
        <v>10.0</v>
      </c>
      <c r="F3394" s="1" t="str">
        <f>LOOKUP(A3394, NPCs!A:A, NPCs!C:C)</f>
        <v>Young Bear</v>
      </c>
      <c r="G3394" s="1" t="str">
        <f>LOOKUP(B3394, Maps!A:A, Maps!B:B)</f>
        <v>Rugged Valley</v>
      </c>
    </row>
    <row r="3395" ht="15.75" customHeight="1">
      <c r="A3395" s="1">
        <v>130.0</v>
      </c>
      <c r="B3395" s="1">
        <v>42.0</v>
      </c>
      <c r="C3395" s="1">
        <v>60.0</v>
      </c>
      <c r="D3395" s="1">
        <v>10.0</v>
      </c>
      <c r="F3395" s="1" t="str">
        <f>LOOKUP(A3395, NPCs!A:A, NPCs!C:C)</f>
        <v>Young Bear</v>
      </c>
      <c r="G3395" s="1" t="str">
        <f>LOOKUP(B3395, Maps!A:A, Maps!B:B)</f>
        <v>Rugged Valley</v>
      </c>
    </row>
    <row r="3396" ht="15.75" customHeight="1">
      <c r="A3396" s="1">
        <v>130.0</v>
      </c>
      <c r="B3396" s="1">
        <v>42.0</v>
      </c>
      <c r="C3396" s="1">
        <v>65.0</v>
      </c>
      <c r="D3396" s="1">
        <v>10.0</v>
      </c>
      <c r="F3396" s="1" t="str">
        <f>LOOKUP(A3396, NPCs!A:A, NPCs!C:C)</f>
        <v>Young Bear</v>
      </c>
      <c r="G3396" s="1" t="str">
        <f>LOOKUP(B3396, Maps!A:A, Maps!B:B)</f>
        <v>Rugged Valley</v>
      </c>
    </row>
    <row r="3397" ht="15.75" customHeight="1">
      <c r="A3397" s="1">
        <v>130.0</v>
      </c>
      <c r="B3397" s="1">
        <v>42.0</v>
      </c>
      <c r="C3397" s="1">
        <v>70.0</v>
      </c>
      <c r="D3397" s="1">
        <v>10.0</v>
      </c>
      <c r="F3397" s="1" t="str">
        <f>LOOKUP(A3397, NPCs!A:A, NPCs!C:C)</f>
        <v>Young Bear</v>
      </c>
      <c r="G3397" s="1" t="str">
        <f>LOOKUP(B3397, Maps!A:A, Maps!B:B)</f>
        <v>Rugged Valley</v>
      </c>
    </row>
    <row r="3398" ht="15.75" customHeight="1">
      <c r="A3398" s="1">
        <v>130.0</v>
      </c>
      <c r="B3398" s="1">
        <v>42.0</v>
      </c>
      <c r="C3398" s="1">
        <v>75.0</v>
      </c>
      <c r="D3398" s="1">
        <v>10.0</v>
      </c>
      <c r="F3398" s="1" t="str">
        <f>LOOKUP(A3398, NPCs!A:A, NPCs!C:C)</f>
        <v>Young Bear</v>
      </c>
      <c r="G3398" s="1" t="str">
        <f>LOOKUP(B3398, Maps!A:A, Maps!B:B)</f>
        <v>Rugged Valley</v>
      </c>
    </row>
    <row r="3399" ht="15.75" customHeight="1">
      <c r="A3399" s="1">
        <v>130.0</v>
      </c>
      <c r="B3399" s="1">
        <v>42.0</v>
      </c>
      <c r="C3399" s="1">
        <v>80.0</v>
      </c>
      <c r="D3399" s="1">
        <v>10.0</v>
      </c>
      <c r="F3399" s="1" t="str">
        <f>LOOKUP(A3399, NPCs!A:A, NPCs!C:C)</f>
        <v>Young Bear</v>
      </c>
      <c r="G3399" s="1" t="str">
        <f>LOOKUP(B3399, Maps!A:A, Maps!B:B)</f>
        <v>Rugged Valley</v>
      </c>
    </row>
    <row r="3400" ht="15.75" customHeight="1">
      <c r="A3400" s="1">
        <v>130.0</v>
      </c>
      <c r="B3400" s="1">
        <v>42.0</v>
      </c>
      <c r="C3400" s="1">
        <v>85.0</v>
      </c>
      <c r="D3400" s="1">
        <v>10.0</v>
      </c>
      <c r="F3400" s="1" t="str">
        <f>LOOKUP(A3400, NPCs!A:A, NPCs!C:C)</f>
        <v>Young Bear</v>
      </c>
      <c r="G3400" s="1" t="str">
        <f>LOOKUP(B3400, Maps!A:A, Maps!B:B)</f>
        <v>Rugged Valley</v>
      </c>
    </row>
    <row r="3401" ht="15.75" customHeight="1">
      <c r="A3401" s="1">
        <v>130.0</v>
      </c>
      <c r="B3401" s="1">
        <v>42.0</v>
      </c>
      <c r="C3401" s="1">
        <v>90.0</v>
      </c>
      <c r="D3401" s="1">
        <v>10.0</v>
      </c>
      <c r="F3401" s="1" t="str">
        <f>LOOKUP(A3401, NPCs!A:A, NPCs!C:C)</f>
        <v>Young Bear</v>
      </c>
      <c r="G3401" s="1" t="str">
        <f>LOOKUP(B3401, Maps!A:A, Maps!B:B)</f>
        <v>Rugged Valley</v>
      </c>
    </row>
    <row r="3402" ht="15.75" customHeight="1">
      <c r="A3402" s="1">
        <v>130.0</v>
      </c>
      <c r="B3402" s="1">
        <v>42.0</v>
      </c>
      <c r="C3402" s="1">
        <v>95.0</v>
      </c>
      <c r="D3402" s="1">
        <v>10.0</v>
      </c>
      <c r="F3402" s="1" t="str">
        <f>LOOKUP(A3402, NPCs!A:A, NPCs!C:C)</f>
        <v>Young Bear</v>
      </c>
      <c r="G3402" s="1" t="str">
        <f>LOOKUP(B3402, Maps!A:A, Maps!B:B)</f>
        <v>Rugged Valley</v>
      </c>
    </row>
    <row r="3403" ht="15.75" customHeight="1">
      <c r="A3403" s="1">
        <v>130.0</v>
      </c>
      <c r="B3403" s="1">
        <v>42.0</v>
      </c>
      <c r="C3403" s="1">
        <v>5.0</v>
      </c>
      <c r="D3403" s="1">
        <v>15.0</v>
      </c>
      <c r="F3403" s="1" t="str">
        <f>LOOKUP(A3403, NPCs!A:A, NPCs!C:C)</f>
        <v>Young Bear</v>
      </c>
      <c r="G3403" s="1" t="str">
        <f>LOOKUP(B3403, Maps!A:A, Maps!B:B)</f>
        <v>Rugged Valley</v>
      </c>
    </row>
    <row r="3404" ht="15.75" customHeight="1">
      <c r="A3404" s="1">
        <v>130.0</v>
      </c>
      <c r="B3404" s="1">
        <v>42.0</v>
      </c>
      <c r="C3404" s="1">
        <v>10.0</v>
      </c>
      <c r="D3404" s="1">
        <v>15.0</v>
      </c>
      <c r="F3404" s="1" t="str">
        <f>LOOKUP(A3404, NPCs!A:A, NPCs!C:C)</f>
        <v>Young Bear</v>
      </c>
      <c r="G3404" s="1" t="str">
        <f>LOOKUP(B3404, Maps!A:A, Maps!B:B)</f>
        <v>Rugged Valley</v>
      </c>
    </row>
    <row r="3405" ht="15.75" customHeight="1">
      <c r="A3405" s="1">
        <v>130.0</v>
      </c>
      <c r="B3405" s="1">
        <v>42.0</v>
      </c>
      <c r="C3405" s="1">
        <v>15.0</v>
      </c>
      <c r="D3405" s="1">
        <v>15.0</v>
      </c>
      <c r="F3405" s="1" t="str">
        <f>LOOKUP(A3405, NPCs!A:A, NPCs!C:C)</f>
        <v>Young Bear</v>
      </c>
      <c r="G3405" s="1" t="str">
        <f>LOOKUP(B3405, Maps!A:A, Maps!B:B)</f>
        <v>Rugged Valley</v>
      </c>
    </row>
    <row r="3406" ht="15.75" customHeight="1">
      <c r="A3406" s="1">
        <v>130.0</v>
      </c>
      <c r="B3406" s="1">
        <v>42.0</v>
      </c>
      <c r="C3406" s="1">
        <v>20.0</v>
      </c>
      <c r="D3406" s="1">
        <v>15.0</v>
      </c>
      <c r="F3406" s="1" t="str">
        <f>LOOKUP(A3406, NPCs!A:A, NPCs!C:C)</f>
        <v>Young Bear</v>
      </c>
      <c r="G3406" s="1" t="str">
        <f>LOOKUP(B3406, Maps!A:A, Maps!B:B)</f>
        <v>Rugged Valley</v>
      </c>
    </row>
    <row r="3407" ht="15.75" customHeight="1">
      <c r="A3407" s="1">
        <v>130.0</v>
      </c>
      <c r="B3407" s="1">
        <v>42.0</v>
      </c>
      <c r="C3407" s="1">
        <v>25.0</v>
      </c>
      <c r="D3407" s="1">
        <v>15.0</v>
      </c>
      <c r="F3407" s="1" t="str">
        <f>LOOKUP(A3407, NPCs!A:A, NPCs!C:C)</f>
        <v>Young Bear</v>
      </c>
      <c r="G3407" s="1" t="str">
        <f>LOOKUP(B3407, Maps!A:A, Maps!B:B)</f>
        <v>Rugged Valley</v>
      </c>
    </row>
    <row r="3408" ht="15.75" customHeight="1">
      <c r="A3408" s="1">
        <v>130.0</v>
      </c>
      <c r="B3408" s="1">
        <v>42.0</v>
      </c>
      <c r="C3408" s="1">
        <v>30.0</v>
      </c>
      <c r="D3408" s="1">
        <v>15.0</v>
      </c>
      <c r="F3408" s="1" t="str">
        <f>LOOKUP(A3408, NPCs!A:A, NPCs!C:C)</f>
        <v>Young Bear</v>
      </c>
      <c r="G3408" s="1" t="str">
        <f>LOOKUP(B3408, Maps!A:A, Maps!B:B)</f>
        <v>Rugged Valley</v>
      </c>
    </row>
    <row r="3409" ht="15.75" customHeight="1">
      <c r="A3409" s="1">
        <v>130.0</v>
      </c>
      <c r="B3409" s="1">
        <v>42.0</v>
      </c>
      <c r="C3409" s="1">
        <v>35.0</v>
      </c>
      <c r="D3409" s="1">
        <v>15.0</v>
      </c>
      <c r="F3409" s="1" t="str">
        <f>LOOKUP(A3409, NPCs!A:A, NPCs!C:C)</f>
        <v>Young Bear</v>
      </c>
      <c r="G3409" s="1" t="str">
        <f>LOOKUP(B3409, Maps!A:A, Maps!B:B)</f>
        <v>Rugged Valley</v>
      </c>
    </row>
    <row r="3410" ht="15.75" customHeight="1">
      <c r="A3410" s="1">
        <v>130.0</v>
      </c>
      <c r="B3410" s="1">
        <v>42.0</v>
      </c>
      <c r="C3410" s="1">
        <v>40.0</v>
      </c>
      <c r="D3410" s="1">
        <v>15.0</v>
      </c>
      <c r="F3410" s="1" t="str">
        <f>LOOKUP(A3410, NPCs!A:A, NPCs!C:C)</f>
        <v>Young Bear</v>
      </c>
      <c r="G3410" s="1" t="str">
        <f>LOOKUP(B3410, Maps!A:A, Maps!B:B)</f>
        <v>Rugged Valley</v>
      </c>
    </row>
    <row r="3411" ht="15.75" customHeight="1">
      <c r="A3411" s="1">
        <v>130.0</v>
      </c>
      <c r="B3411" s="1">
        <v>42.0</v>
      </c>
      <c r="C3411" s="1">
        <v>45.0</v>
      </c>
      <c r="D3411" s="1">
        <v>15.0</v>
      </c>
      <c r="F3411" s="1" t="str">
        <f>LOOKUP(A3411, NPCs!A:A, NPCs!C:C)</f>
        <v>Young Bear</v>
      </c>
      <c r="G3411" s="1" t="str">
        <f>LOOKUP(B3411, Maps!A:A, Maps!B:B)</f>
        <v>Rugged Valley</v>
      </c>
    </row>
    <row r="3412" ht="15.75" customHeight="1">
      <c r="A3412" s="1">
        <v>130.0</v>
      </c>
      <c r="B3412" s="1">
        <v>42.0</v>
      </c>
      <c r="C3412" s="1">
        <v>50.0</v>
      </c>
      <c r="D3412" s="1">
        <v>15.0</v>
      </c>
      <c r="F3412" s="1" t="str">
        <f>LOOKUP(A3412, NPCs!A:A, NPCs!C:C)</f>
        <v>Young Bear</v>
      </c>
      <c r="G3412" s="1" t="str">
        <f>LOOKUP(B3412, Maps!A:A, Maps!B:B)</f>
        <v>Rugged Valley</v>
      </c>
    </row>
    <row r="3413" ht="15.75" customHeight="1">
      <c r="A3413" s="1">
        <v>130.0</v>
      </c>
      <c r="B3413" s="1">
        <v>42.0</v>
      </c>
      <c r="C3413" s="1">
        <v>55.0</v>
      </c>
      <c r="D3413" s="1">
        <v>15.0</v>
      </c>
      <c r="F3413" s="1" t="str">
        <f>LOOKUP(A3413, NPCs!A:A, NPCs!C:C)</f>
        <v>Young Bear</v>
      </c>
      <c r="G3413" s="1" t="str">
        <f>LOOKUP(B3413, Maps!A:A, Maps!B:B)</f>
        <v>Rugged Valley</v>
      </c>
    </row>
    <row r="3414" ht="15.75" customHeight="1">
      <c r="A3414" s="1">
        <v>130.0</v>
      </c>
      <c r="B3414" s="1">
        <v>42.0</v>
      </c>
      <c r="C3414" s="1">
        <v>60.0</v>
      </c>
      <c r="D3414" s="1">
        <v>15.0</v>
      </c>
      <c r="F3414" s="1" t="str">
        <f>LOOKUP(A3414, NPCs!A:A, NPCs!C:C)</f>
        <v>Young Bear</v>
      </c>
      <c r="G3414" s="1" t="str">
        <f>LOOKUP(B3414, Maps!A:A, Maps!B:B)</f>
        <v>Rugged Valley</v>
      </c>
    </row>
    <row r="3415" ht="15.75" customHeight="1">
      <c r="A3415" s="1">
        <v>130.0</v>
      </c>
      <c r="B3415" s="1">
        <v>42.0</v>
      </c>
      <c r="C3415" s="1">
        <v>65.0</v>
      </c>
      <c r="D3415" s="1">
        <v>15.0</v>
      </c>
      <c r="F3415" s="1" t="str">
        <f>LOOKUP(A3415, NPCs!A:A, NPCs!C:C)</f>
        <v>Young Bear</v>
      </c>
      <c r="G3415" s="1" t="str">
        <f>LOOKUP(B3415, Maps!A:A, Maps!B:B)</f>
        <v>Rugged Valley</v>
      </c>
    </row>
    <row r="3416" ht="15.75" customHeight="1">
      <c r="A3416" s="1">
        <v>130.0</v>
      </c>
      <c r="B3416" s="1">
        <v>42.0</v>
      </c>
      <c r="C3416" s="1">
        <v>75.0</v>
      </c>
      <c r="D3416" s="1">
        <v>15.0</v>
      </c>
      <c r="F3416" s="1" t="str">
        <f>LOOKUP(A3416, NPCs!A:A, NPCs!C:C)</f>
        <v>Young Bear</v>
      </c>
      <c r="G3416" s="1" t="str">
        <f>LOOKUP(B3416, Maps!A:A, Maps!B:B)</f>
        <v>Rugged Valley</v>
      </c>
    </row>
    <row r="3417" ht="15.75" customHeight="1">
      <c r="A3417" s="1">
        <v>130.0</v>
      </c>
      <c r="B3417" s="1">
        <v>42.0</v>
      </c>
      <c r="C3417" s="1">
        <v>85.0</v>
      </c>
      <c r="D3417" s="1">
        <v>15.0</v>
      </c>
      <c r="F3417" s="1" t="str">
        <f>LOOKUP(A3417, NPCs!A:A, NPCs!C:C)</f>
        <v>Young Bear</v>
      </c>
      <c r="G3417" s="1" t="str">
        <f>LOOKUP(B3417, Maps!A:A, Maps!B:B)</f>
        <v>Rugged Valley</v>
      </c>
    </row>
    <row r="3418" ht="15.75" customHeight="1">
      <c r="A3418" s="1">
        <v>130.0</v>
      </c>
      <c r="B3418" s="1">
        <v>42.0</v>
      </c>
      <c r="C3418" s="1">
        <v>95.0</v>
      </c>
      <c r="D3418" s="1">
        <v>15.0</v>
      </c>
      <c r="F3418" s="1" t="str">
        <f>LOOKUP(A3418, NPCs!A:A, NPCs!C:C)</f>
        <v>Young Bear</v>
      </c>
      <c r="G3418" s="1" t="str">
        <f>LOOKUP(B3418, Maps!A:A, Maps!B:B)</f>
        <v>Rugged Valley</v>
      </c>
    </row>
    <row r="3419" ht="15.75" customHeight="1">
      <c r="A3419" s="1">
        <v>130.0</v>
      </c>
      <c r="B3419" s="1">
        <v>42.0</v>
      </c>
      <c r="C3419" s="1">
        <v>5.0</v>
      </c>
      <c r="D3419" s="1">
        <v>20.0</v>
      </c>
      <c r="F3419" s="1" t="str">
        <f>LOOKUP(A3419, NPCs!A:A, NPCs!C:C)</f>
        <v>Young Bear</v>
      </c>
      <c r="G3419" s="1" t="str">
        <f>LOOKUP(B3419, Maps!A:A, Maps!B:B)</f>
        <v>Rugged Valley</v>
      </c>
    </row>
    <row r="3420" ht="15.75" customHeight="1">
      <c r="A3420" s="1">
        <v>130.0</v>
      </c>
      <c r="B3420" s="1">
        <v>42.0</v>
      </c>
      <c r="C3420" s="1">
        <v>15.0</v>
      </c>
      <c r="D3420" s="1">
        <v>20.0</v>
      </c>
      <c r="F3420" s="1" t="str">
        <f>LOOKUP(A3420, NPCs!A:A, NPCs!C:C)</f>
        <v>Young Bear</v>
      </c>
      <c r="G3420" s="1" t="str">
        <f>LOOKUP(B3420, Maps!A:A, Maps!B:B)</f>
        <v>Rugged Valley</v>
      </c>
    </row>
    <row r="3421" ht="15.75" customHeight="1">
      <c r="A3421" s="1">
        <v>130.0</v>
      </c>
      <c r="B3421" s="1">
        <v>42.0</v>
      </c>
      <c r="C3421" s="1">
        <v>25.0</v>
      </c>
      <c r="D3421" s="1">
        <v>20.0</v>
      </c>
      <c r="F3421" s="1" t="str">
        <f>LOOKUP(A3421, NPCs!A:A, NPCs!C:C)</f>
        <v>Young Bear</v>
      </c>
      <c r="G3421" s="1" t="str">
        <f>LOOKUP(B3421, Maps!A:A, Maps!B:B)</f>
        <v>Rugged Valley</v>
      </c>
    </row>
    <row r="3422" ht="15.75" customHeight="1">
      <c r="A3422" s="1">
        <v>130.0</v>
      </c>
      <c r="B3422" s="1">
        <v>42.0</v>
      </c>
      <c r="C3422" s="1">
        <v>35.0</v>
      </c>
      <c r="D3422" s="1">
        <v>20.0</v>
      </c>
      <c r="F3422" s="1" t="str">
        <f>LOOKUP(A3422, NPCs!A:A, NPCs!C:C)</f>
        <v>Young Bear</v>
      </c>
      <c r="G3422" s="1" t="str">
        <f>LOOKUP(B3422, Maps!A:A, Maps!B:B)</f>
        <v>Rugged Valley</v>
      </c>
    </row>
    <row r="3423" ht="15.75" customHeight="1">
      <c r="A3423" s="1">
        <v>130.0</v>
      </c>
      <c r="B3423" s="1">
        <v>42.0</v>
      </c>
      <c r="C3423" s="1">
        <v>40.0</v>
      </c>
      <c r="D3423" s="1">
        <v>20.0</v>
      </c>
      <c r="F3423" s="1" t="str">
        <f>LOOKUP(A3423, NPCs!A:A, NPCs!C:C)</f>
        <v>Young Bear</v>
      </c>
      <c r="G3423" s="1" t="str">
        <f>LOOKUP(B3423, Maps!A:A, Maps!B:B)</f>
        <v>Rugged Valley</v>
      </c>
    </row>
    <row r="3424" ht="15.75" customHeight="1">
      <c r="A3424" s="1">
        <v>130.0</v>
      </c>
      <c r="B3424" s="1">
        <v>42.0</v>
      </c>
      <c r="C3424" s="1">
        <v>50.0</v>
      </c>
      <c r="D3424" s="1">
        <v>20.0</v>
      </c>
      <c r="F3424" s="1" t="str">
        <f>LOOKUP(A3424, NPCs!A:A, NPCs!C:C)</f>
        <v>Young Bear</v>
      </c>
      <c r="G3424" s="1" t="str">
        <f>LOOKUP(B3424, Maps!A:A, Maps!B:B)</f>
        <v>Rugged Valley</v>
      </c>
    </row>
    <row r="3425" ht="15.75" customHeight="1">
      <c r="A3425" s="1">
        <v>130.0</v>
      </c>
      <c r="B3425" s="1">
        <v>42.0</v>
      </c>
      <c r="C3425" s="1">
        <v>55.0</v>
      </c>
      <c r="D3425" s="1">
        <v>20.0</v>
      </c>
      <c r="F3425" s="1" t="str">
        <f>LOOKUP(A3425, NPCs!A:A, NPCs!C:C)</f>
        <v>Young Bear</v>
      </c>
      <c r="G3425" s="1" t="str">
        <f>LOOKUP(B3425, Maps!A:A, Maps!B:B)</f>
        <v>Rugged Valley</v>
      </c>
    </row>
    <row r="3426" ht="15.75" customHeight="1">
      <c r="A3426" s="1">
        <v>130.0</v>
      </c>
      <c r="B3426" s="1">
        <v>42.0</v>
      </c>
      <c r="C3426" s="1">
        <v>60.0</v>
      </c>
      <c r="D3426" s="1">
        <v>20.0</v>
      </c>
      <c r="F3426" s="1" t="str">
        <f>LOOKUP(A3426, NPCs!A:A, NPCs!C:C)</f>
        <v>Young Bear</v>
      </c>
      <c r="G3426" s="1" t="str">
        <f>LOOKUP(B3426, Maps!A:A, Maps!B:B)</f>
        <v>Rugged Valley</v>
      </c>
    </row>
    <row r="3427" ht="15.75" customHeight="1">
      <c r="A3427" s="1">
        <v>130.0</v>
      </c>
      <c r="B3427" s="1">
        <v>42.0</v>
      </c>
      <c r="C3427" s="1">
        <v>65.0</v>
      </c>
      <c r="D3427" s="1">
        <v>20.0</v>
      </c>
      <c r="F3427" s="1" t="str">
        <f>LOOKUP(A3427, NPCs!A:A, NPCs!C:C)</f>
        <v>Young Bear</v>
      </c>
      <c r="G3427" s="1" t="str">
        <f>LOOKUP(B3427, Maps!A:A, Maps!B:B)</f>
        <v>Rugged Valley</v>
      </c>
    </row>
    <row r="3428" ht="15.75" customHeight="1">
      <c r="A3428" s="1">
        <v>130.0</v>
      </c>
      <c r="B3428" s="1">
        <v>42.0</v>
      </c>
      <c r="C3428" s="1">
        <v>70.0</v>
      </c>
      <c r="D3428" s="1">
        <v>20.0</v>
      </c>
      <c r="F3428" s="1" t="str">
        <f>LOOKUP(A3428, NPCs!A:A, NPCs!C:C)</f>
        <v>Young Bear</v>
      </c>
      <c r="G3428" s="1" t="str">
        <f>LOOKUP(B3428, Maps!A:A, Maps!B:B)</f>
        <v>Rugged Valley</v>
      </c>
    </row>
    <row r="3429" ht="15.75" customHeight="1">
      <c r="A3429" s="1">
        <v>130.0</v>
      </c>
      <c r="B3429" s="1">
        <v>42.0</v>
      </c>
      <c r="C3429" s="1">
        <v>75.0</v>
      </c>
      <c r="D3429" s="1">
        <v>20.0</v>
      </c>
      <c r="F3429" s="1" t="str">
        <f>LOOKUP(A3429, NPCs!A:A, NPCs!C:C)</f>
        <v>Young Bear</v>
      </c>
      <c r="G3429" s="1" t="str">
        <f>LOOKUP(B3429, Maps!A:A, Maps!B:B)</f>
        <v>Rugged Valley</v>
      </c>
    </row>
    <row r="3430" ht="15.75" customHeight="1">
      <c r="A3430" s="1">
        <v>130.0</v>
      </c>
      <c r="B3430" s="1">
        <v>42.0</v>
      </c>
      <c r="C3430" s="1">
        <v>80.0</v>
      </c>
      <c r="D3430" s="1">
        <v>20.0</v>
      </c>
      <c r="F3430" s="1" t="str">
        <f>LOOKUP(A3430, NPCs!A:A, NPCs!C:C)</f>
        <v>Young Bear</v>
      </c>
      <c r="G3430" s="1" t="str">
        <f>LOOKUP(B3430, Maps!A:A, Maps!B:B)</f>
        <v>Rugged Valley</v>
      </c>
    </row>
    <row r="3431" ht="15.75" customHeight="1">
      <c r="A3431" s="1">
        <v>130.0</v>
      </c>
      <c r="B3431" s="1">
        <v>42.0</v>
      </c>
      <c r="C3431" s="1">
        <v>85.0</v>
      </c>
      <c r="D3431" s="1">
        <v>20.0</v>
      </c>
      <c r="F3431" s="1" t="str">
        <f>LOOKUP(A3431, NPCs!A:A, NPCs!C:C)</f>
        <v>Young Bear</v>
      </c>
      <c r="G3431" s="1" t="str">
        <f>LOOKUP(B3431, Maps!A:A, Maps!B:B)</f>
        <v>Rugged Valley</v>
      </c>
    </row>
    <row r="3432" ht="15.75" customHeight="1">
      <c r="A3432" s="1">
        <v>130.0</v>
      </c>
      <c r="B3432" s="1">
        <v>42.0</v>
      </c>
      <c r="C3432" s="1">
        <v>90.0</v>
      </c>
      <c r="D3432" s="1">
        <v>20.0</v>
      </c>
      <c r="F3432" s="1" t="str">
        <f>LOOKUP(A3432, NPCs!A:A, NPCs!C:C)</f>
        <v>Young Bear</v>
      </c>
      <c r="G3432" s="1" t="str">
        <f>LOOKUP(B3432, Maps!A:A, Maps!B:B)</f>
        <v>Rugged Valley</v>
      </c>
    </row>
    <row r="3433" ht="15.75" customHeight="1">
      <c r="A3433" s="1">
        <v>130.0</v>
      </c>
      <c r="B3433" s="1">
        <v>42.0</v>
      </c>
      <c r="C3433" s="1">
        <v>95.0</v>
      </c>
      <c r="D3433" s="1">
        <v>20.0</v>
      </c>
      <c r="F3433" s="1" t="str">
        <f>LOOKUP(A3433, NPCs!A:A, NPCs!C:C)</f>
        <v>Young Bear</v>
      </c>
      <c r="G3433" s="1" t="str">
        <f>LOOKUP(B3433, Maps!A:A, Maps!B:B)</f>
        <v>Rugged Valley</v>
      </c>
    </row>
    <row r="3434" ht="15.75" customHeight="1">
      <c r="A3434" s="1">
        <v>130.0</v>
      </c>
      <c r="B3434" s="1">
        <v>42.0</v>
      </c>
      <c r="C3434" s="1">
        <v>5.0</v>
      </c>
      <c r="D3434" s="1">
        <v>35.0</v>
      </c>
      <c r="F3434" s="1" t="str">
        <f>LOOKUP(A3434, NPCs!A:A, NPCs!C:C)</f>
        <v>Young Bear</v>
      </c>
      <c r="G3434" s="1" t="str">
        <f>LOOKUP(B3434, Maps!A:A, Maps!B:B)</f>
        <v>Rugged Valley</v>
      </c>
    </row>
    <row r="3435" ht="15.75" customHeight="1">
      <c r="A3435" s="1">
        <v>130.0</v>
      </c>
      <c r="B3435" s="1">
        <v>42.0</v>
      </c>
      <c r="C3435" s="1">
        <v>10.0</v>
      </c>
      <c r="D3435" s="1">
        <v>35.0</v>
      </c>
      <c r="F3435" s="1" t="str">
        <f>LOOKUP(A3435, NPCs!A:A, NPCs!C:C)</f>
        <v>Young Bear</v>
      </c>
      <c r="G3435" s="1" t="str">
        <f>LOOKUP(B3435, Maps!A:A, Maps!B:B)</f>
        <v>Rugged Valley</v>
      </c>
    </row>
    <row r="3436" ht="15.75" customHeight="1">
      <c r="A3436" s="1">
        <v>130.0</v>
      </c>
      <c r="B3436" s="1">
        <v>42.0</v>
      </c>
      <c r="C3436" s="1">
        <v>15.0</v>
      </c>
      <c r="D3436" s="1">
        <v>35.0</v>
      </c>
      <c r="F3436" s="1" t="str">
        <f>LOOKUP(A3436, NPCs!A:A, NPCs!C:C)</f>
        <v>Young Bear</v>
      </c>
      <c r="G3436" s="1" t="str">
        <f>LOOKUP(B3436, Maps!A:A, Maps!B:B)</f>
        <v>Rugged Valley</v>
      </c>
    </row>
    <row r="3437" ht="15.75" customHeight="1">
      <c r="A3437" s="1">
        <v>130.0</v>
      </c>
      <c r="B3437" s="1">
        <v>42.0</v>
      </c>
      <c r="C3437" s="1">
        <v>20.0</v>
      </c>
      <c r="D3437" s="1">
        <v>35.0</v>
      </c>
      <c r="F3437" s="1" t="str">
        <f>LOOKUP(A3437, NPCs!A:A, NPCs!C:C)</f>
        <v>Young Bear</v>
      </c>
      <c r="G3437" s="1" t="str">
        <f>LOOKUP(B3437, Maps!A:A, Maps!B:B)</f>
        <v>Rugged Valley</v>
      </c>
    </row>
    <row r="3438" ht="15.75" customHeight="1">
      <c r="A3438" s="1">
        <v>130.0</v>
      </c>
      <c r="B3438" s="1">
        <v>42.0</v>
      </c>
      <c r="C3438" s="1">
        <v>25.0</v>
      </c>
      <c r="D3438" s="1">
        <v>35.0</v>
      </c>
      <c r="F3438" s="1" t="str">
        <f>LOOKUP(A3438, NPCs!A:A, NPCs!C:C)</f>
        <v>Young Bear</v>
      </c>
      <c r="G3438" s="1" t="str">
        <f>LOOKUP(B3438, Maps!A:A, Maps!B:B)</f>
        <v>Rugged Valley</v>
      </c>
    </row>
    <row r="3439" ht="15.75" customHeight="1">
      <c r="A3439" s="1">
        <v>130.0</v>
      </c>
      <c r="B3439" s="1">
        <v>42.0</v>
      </c>
      <c r="C3439" s="1">
        <v>30.0</v>
      </c>
      <c r="D3439" s="1">
        <v>35.0</v>
      </c>
      <c r="F3439" s="1" t="str">
        <f>LOOKUP(A3439, NPCs!A:A, NPCs!C:C)</f>
        <v>Young Bear</v>
      </c>
      <c r="G3439" s="1" t="str">
        <f>LOOKUP(B3439, Maps!A:A, Maps!B:B)</f>
        <v>Rugged Valley</v>
      </c>
    </row>
    <row r="3440" ht="15.75" customHeight="1">
      <c r="A3440" s="1">
        <v>130.0</v>
      </c>
      <c r="B3440" s="1">
        <v>42.0</v>
      </c>
      <c r="C3440" s="1">
        <v>35.0</v>
      </c>
      <c r="D3440" s="1">
        <v>35.0</v>
      </c>
      <c r="F3440" s="1" t="str">
        <f>LOOKUP(A3440, NPCs!A:A, NPCs!C:C)</f>
        <v>Young Bear</v>
      </c>
      <c r="G3440" s="1" t="str">
        <f>LOOKUP(B3440, Maps!A:A, Maps!B:B)</f>
        <v>Rugged Valley</v>
      </c>
    </row>
    <row r="3441" ht="15.75" customHeight="1">
      <c r="A3441" s="1">
        <v>130.0</v>
      </c>
      <c r="B3441" s="1">
        <v>42.0</v>
      </c>
      <c r="C3441" s="1">
        <v>40.0</v>
      </c>
      <c r="D3441" s="1">
        <v>35.0</v>
      </c>
      <c r="F3441" s="1" t="str">
        <f>LOOKUP(A3441, NPCs!A:A, NPCs!C:C)</f>
        <v>Young Bear</v>
      </c>
      <c r="G3441" s="1" t="str">
        <f>LOOKUP(B3441, Maps!A:A, Maps!B:B)</f>
        <v>Rugged Valley</v>
      </c>
    </row>
    <row r="3442" ht="15.75" customHeight="1">
      <c r="A3442" s="1">
        <v>130.0</v>
      </c>
      <c r="B3442" s="1">
        <v>42.0</v>
      </c>
      <c r="C3442" s="1">
        <v>45.0</v>
      </c>
      <c r="D3442" s="1">
        <v>35.0</v>
      </c>
      <c r="F3442" s="1" t="str">
        <f>LOOKUP(A3442, NPCs!A:A, NPCs!C:C)</f>
        <v>Young Bear</v>
      </c>
      <c r="G3442" s="1" t="str">
        <f>LOOKUP(B3442, Maps!A:A, Maps!B:B)</f>
        <v>Rugged Valley</v>
      </c>
    </row>
    <row r="3443" ht="15.75" customHeight="1">
      <c r="A3443" s="1">
        <v>130.0</v>
      </c>
      <c r="B3443" s="1">
        <v>42.0</v>
      </c>
      <c r="C3443" s="1">
        <v>50.0</v>
      </c>
      <c r="D3443" s="1">
        <v>35.0</v>
      </c>
      <c r="F3443" s="1" t="str">
        <f>LOOKUP(A3443, NPCs!A:A, NPCs!C:C)</f>
        <v>Young Bear</v>
      </c>
      <c r="G3443" s="1" t="str">
        <f>LOOKUP(B3443, Maps!A:A, Maps!B:B)</f>
        <v>Rugged Valley</v>
      </c>
    </row>
    <row r="3444" ht="15.75" customHeight="1">
      <c r="A3444" s="1">
        <v>130.0</v>
      </c>
      <c r="B3444" s="1">
        <v>42.0</v>
      </c>
      <c r="C3444" s="1">
        <v>55.0</v>
      </c>
      <c r="D3444" s="1">
        <v>35.0</v>
      </c>
      <c r="F3444" s="1" t="str">
        <f>LOOKUP(A3444, NPCs!A:A, NPCs!C:C)</f>
        <v>Young Bear</v>
      </c>
      <c r="G3444" s="1" t="str">
        <f>LOOKUP(B3444, Maps!A:A, Maps!B:B)</f>
        <v>Rugged Valley</v>
      </c>
    </row>
    <row r="3445" ht="15.75" customHeight="1">
      <c r="A3445" s="1">
        <v>130.0</v>
      </c>
      <c r="B3445" s="1">
        <v>42.0</v>
      </c>
      <c r="C3445" s="1">
        <v>60.0</v>
      </c>
      <c r="D3445" s="1">
        <v>35.0</v>
      </c>
      <c r="F3445" s="1" t="str">
        <f>LOOKUP(A3445, NPCs!A:A, NPCs!C:C)</f>
        <v>Young Bear</v>
      </c>
      <c r="G3445" s="1" t="str">
        <f>LOOKUP(B3445, Maps!A:A, Maps!B:B)</f>
        <v>Rugged Valley</v>
      </c>
    </row>
    <row r="3446" ht="15.75" customHeight="1">
      <c r="A3446" s="1">
        <v>130.0</v>
      </c>
      <c r="B3446" s="1">
        <v>42.0</v>
      </c>
      <c r="C3446" s="1">
        <v>65.0</v>
      </c>
      <c r="D3446" s="1">
        <v>35.0</v>
      </c>
      <c r="F3446" s="1" t="str">
        <f>LOOKUP(A3446, NPCs!A:A, NPCs!C:C)</f>
        <v>Young Bear</v>
      </c>
      <c r="G3446" s="1" t="str">
        <f>LOOKUP(B3446, Maps!A:A, Maps!B:B)</f>
        <v>Rugged Valley</v>
      </c>
    </row>
    <row r="3447" ht="15.75" customHeight="1">
      <c r="A3447" s="1">
        <v>130.0</v>
      </c>
      <c r="B3447" s="1">
        <v>42.0</v>
      </c>
      <c r="C3447" s="1">
        <v>75.0</v>
      </c>
      <c r="D3447" s="1">
        <v>35.0</v>
      </c>
      <c r="F3447" s="1" t="str">
        <f>LOOKUP(A3447, NPCs!A:A, NPCs!C:C)</f>
        <v>Young Bear</v>
      </c>
      <c r="G3447" s="1" t="str">
        <f>LOOKUP(B3447, Maps!A:A, Maps!B:B)</f>
        <v>Rugged Valley</v>
      </c>
    </row>
    <row r="3448" ht="15.75" customHeight="1">
      <c r="A3448" s="1">
        <v>130.0</v>
      </c>
      <c r="B3448" s="1">
        <v>42.0</v>
      </c>
      <c r="C3448" s="1">
        <v>85.0</v>
      </c>
      <c r="D3448" s="1">
        <v>35.0</v>
      </c>
      <c r="F3448" s="1" t="str">
        <f>LOOKUP(A3448, NPCs!A:A, NPCs!C:C)</f>
        <v>Young Bear</v>
      </c>
      <c r="G3448" s="1" t="str">
        <f>LOOKUP(B3448, Maps!A:A, Maps!B:B)</f>
        <v>Rugged Valley</v>
      </c>
    </row>
    <row r="3449" ht="15.75" customHeight="1">
      <c r="A3449" s="1">
        <v>130.0</v>
      </c>
      <c r="B3449" s="1">
        <v>42.0</v>
      </c>
      <c r="C3449" s="1">
        <v>95.0</v>
      </c>
      <c r="D3449" s="1">
        <v>35.0</v>
      </c>
      <c r="F3449" s="1" t="str">
        <f>LOOKUP(A3449, NPCs!A:A, NPCs!C:C)</f>
        <v>Young Bear</v>
      </c>
      <c r="G3449" s="1" t="str">
        <f>LOOKUP(B3449, Maps!A:A, Maps!B:B)</f>
        <v>Rugged Valley</v>
      </c>
    </row>
    <row r="3450" ht="15.75" customHeight="1">
      <c r="A3450" s="1">
        <v>130.0</v>
      </c>
      <c r="B3450" s="1">
        <v>42.0</v>
      </c>
      <c r="C3450" s="1">
        <v>5.0</v>
      </c>
      <c r="D3450" s="1">
        <v>50.0</v>
      </c>
      <c r="F3450" s="1" t="str">
        <f>LOOKUP(A3450, NPCs!A:A, NPCs!C:C)</f>
        <v>Young Bear</v>
      </c>
      <c r="G3450" s="1" t="str">
        <f>LOOKUP(B3450, Maps!A:A, Maps!B:B)</f>
        <v>Rugged Valley</v>
      </c>
    </row>
    <row r="3451" ht="15.75" customHeight="1">
      <c r="A3451" s="1">
        <v>130.0</v>
      </c>
      <c r="B3451" s="1">
        <v>42.0</v>
      </c>
      <c r="C3451" s="1">
        <v>15.0</v>
      </c>
      <c r="D3451" s="1">
        <v>50.0</v>
      </c>
      <c r="F3451" s="1" t="str">
        <f>LOOKUP(A3451, NPCs!A:A, NPCs!C:C)</f>
        <v>Young Bear</v>
      </c>
      <c r="G3451" s="1" t="str">
        <f>LOOKUP(B3451, Maps!A:A, Maps!B:B)</f>
        <v>Rugged Valley</v>
      </c>
    </row>
    <row r="3452" ht="15.75" customHeight="1">
      <c r="A3452" s="1">
        <v>130.0</v>
      </c>
      <c r="B3452" s="1">
        <v>42.0</v>
      </c>
      <c r="C3452" s="1">
        <v>25.0</v>
      </c>
      <c r="D3452" s="1">
        <v>50.0</v>
      </c>
      <c r="F3452" s="1" t="str">
        <f>LOOKUP(A3452, NPCs!A:A, NPCs!C:C)</f>
        <v>Young Bear</v>
      </c>
      <c r="G3452" s="1" t="str">
        <f>LOOKUP(B3452, Maps!A:A, Maps!B:B)</f>
        <v>Rugged Valley</v>
      </c>
    </row>
    <row r="3453" ht="15.75" customHeight="1">
      <c r="A3453" s="1">
        <v>130.0</v>
      </c>
      <c r="B3453" s="1">
        <v>42.0</v>
      </c>
      <c r="C3453" s="1">
        <v>35.0</v>
      </c>
      <c r="D3453" s="1">
        <v>50.0</v>
      </c>
      <c r="F3453" s="1" t="str">
        <f>LOOKUP(A3453, NPCs!A:A, NPCs!C:C)</f>
        <v>Young Bear</v>
      </c>
      <c r="G3453" s="1" t="str">
        <f>LOOKUP(B3453, Maps!A:A, Maps!B:B)</f>
        <v>Rugged Valley</v>
      </c>
    </row>
    <row r="3454" ht="15.75" customHeight="1">
      <c r="A3454" s="1">
        <v>130.0</v>
      </c>
      <c r="B3454" s="1">
        <v>42.0</v>
      </c>
      <c r="C3454" s="1">
        <v>40.0</v>
      </c>
      <c r="D3454" s="1">
        <v>50.0</v>
      </c>
      <c r="F3454" s="1" t="str">
        <f>LOOKUP(A3454, NPCs!A:A, NPCs!C:C)</f>
        <v>Young Bear</v>
      </c>
      <c r="G3454" s="1" t="str">
        <f>LOOKUP(B3454, Maps!A:A, Maps!B:B)</f>
        <v>Rugged Valley</v>
      </c>
    </row>
    <row r="3455" ht="15.75" customHeight="1">
      <c r="A3455" s="1">
        <v>130.0</v>
      </c>
      <c r="B3455" s="1">
        <v>42.0</v>
      </c>
      <c r="C3455" s="1">
        <v>50.0</v>
      </c>
      <c r="D3455" s="1">
        <v>50.0</v>
      </c>
      <c r="F3455" s="1" t="str">
        <f>LOOKUP(A3455, NPCs!A:A, NPCs!C:C)</f>
        <v>Young Bear</v>
      </c>
      <c r="G3455" s="1" t="str">
        <f>LOOKUP(B3455, Maps!A:A, Maps!B:B)</f>
        <v>Rugged Valley</v>
      </c>
    </row>
    <row r="3456" ht="15.75" customHeight="1">
      <c r="A3456" s="1">
        <v>130.0</v>
      </c>
      <c r="B3456" s="1">
        <v>42.0</v>
      </c>
      <c r="C3456" s="1">
        <v>55.0</v>
      </c>
      <c r="D3456" s="1">
        <v>50.0</v>
      </c>
      <c r="F3456" s="1" t="str">
        <f>LOOKUP(A3456, NPCs!A:A, NPCs!C:C)</f>
        <v>Young Bear</v>
      </c>
      <c r="G3456" s="1" t="str">
        <f>LOOKUP(B3456, Maps!A:A, Maps!B:B)</f>
        <v>Rugged Valley</v>
      </c>
    </row>
    <row r="3457" ht="15.75" customHeight="1">
      <c r="A3457" s="1">
        <v>130.0</v>
      </c>
      <c r="B3457" s="1">
        <v>42.0</v>
      </c>
      <c r="C3457" s="1">
        <v>60.0</v>
      </c>
      <c r="D3457" s="1">
        <v>50.0</v>
      </c>
      <c r="F3457" s="1" t="str">
        <f>LOOKUP(A3457, NPCs!A:A, NPCs!C:C)</f>
        <v>Young Bear</v>
      </c>
      <c r="G3457" s="1" t="str">
        <f>LOOKUP(B3457, Maps!A:A, Maps!B:B)</f>
        <v>Rugged Valley</v>
      </c>
    </row>
    <row r="3458" ht="15.75" customHeight="1">
      <c r="A3458" s="1">
        <v>130.0</v>
      </c>
      <c r="B3458" s="1">
        <v>42.0</v>
      </c>
      <c r="C3458" s="1">
        <v>65.0</v>
      </c>
      <c r="D3458" s="1">
        <v>50.0</v>
      </c>
      <c r="F3458" s="1" t="str">
        <f>LOOKUP(A3458, NPCs!A:A, NPCs!C:C)</f>
        <v>Young Bear</v>
      </c>
      <c r="G3458" s="1" t="str">
        <f>LOOKUP(B3458, Maps!A:A, Maps!B:B)</f>
        <v>Rugged Valley</v>
      </c>
    </row>
    <row r="3459" ht="15.75" customHeight="1">
      <c r="A3459" s="1">
        <v>130.0</v>
      </c>
      <c r="B3459" s="1">
        <v>42.0</v>
      </c>
      <c r="C3459" s="1">
        <v>70.0</v>
      </c>
      <c r="D3459" s="1">
        <v>50.0</v>
      </c>
      <c r="F3459" s="1" t="str">
        <f>LOOKUP(A3459, NPCs!A:A, NPCs!C:C)</f>
        <v>Young Bear</v>
      </c>
      <c r="G3459" s="1" t="str">
        <f>LOOKUP(B3459, Maps!A:A, Maps!B:B)</f>
        <v>Rugged Valley</v>
      </c>
    </row>
    <row r="3460" ht="15.75" customHeight="1">
      <c r="A3460" s="1">
        <v>130.0</v>
      </c>
      <c r="B3460" s="1">
        <v>42.0</v>
      </c>
      <c r="C3460" s="1">
        <v>75.0</v>
      </c>
      <c r="D3460" s="1">
        <v>50.0</v>
      </c>
      <c r="F3460" s="1" t="str">
        <f>LOOKUP(A3460, NPCs!A:A, NPCs!C:C)</f>
        <v>Young Bear</v>
      </c>
      <c r="G3460" s="1" t="str">
        <f>LOOKUP(B3460, Maps!A:A, Maps!B:B)</f>
        <v>Rugged Valley</v>
      </c>
    </row>
    <row r="3461" ht="15.75" customHeight="1">
      <c r="A3461" s="1">
        <v>130.0</v>
      </c>
      <c r="B3461" s="1">
        <v>42.0</v>
      </c>
      <c r="C3461" s="1">
        <v>80.0</v>
      </c>
      <c r="D3461" s="1">
        <v>50.0</v>
      </c>
      <c r="F3461" s="1" t="str">
        <f>LOOKUP(A3461, NPCs!A:A, NPCs!C:C)</f>
        <v>Young Bear</v>
      </c>
      <c r="G3461" s="1" t="str">
        <f>LOOKUP(B3461, Maps!A:A, Maps!B:B)</f>
        <v>Rugged Valley</v>
      </c>
    </row>
    <row r="3462" ht="15.75" customHeight="1">
      <c r="A3462" s="1">
        <v>130.0</v>
      </c>
      <c r="B3462" s="1">
        <v>42.0</v>
      </c>
      <c r="C3462" s="1">
        <v>85.0</v>
      </c>
      <c r="D3462" s="1">
        <v>50.0</v>
      </c>
      <c r="F3462" s="1" t="str">
        <f>LOOKUP(A3462, NPCs!A:A, NPCs!C:C)</f>
        <v>Young Bear</v>
      </c>
      <c r="G3462" s="1" t="str">
        <f>LOOKUP(B3462, Maps!A:A, Maps!B:B)</f>
        <v>Rugged Valley</v>
      </c>
    </row>
    <row r="3463" ht="15.75" customHeight="1">
      <c r="A3463" s="1">
        <v>130.0</v>
      </c>
      <c r="B3463" s="1">
        <v>42.0</v>
      </c>
      <c r="C3463" s="1">
        <v>90.0</v>
      </c>
      <c r="D3463" s="1">
        <v>50.0</v>
      </c>
      <c r="F3463" s="1" t="str">
        <f>LOOKUP(A3463, NPCs!A:A, NPCs!C:C)</f>
        <v>Young Bear</v>
      </c>
      <c r="G3463" s="1" t="str">
        <f>LOOKUP(B3463, Maps!A:A, Maps!B:B)</f>
        <v>Rugged Valley</v>
      </c>
    </row>
    <row r="3464" ht="15.75" customHeight="1">
      <c r="A3464" s="1">
        <v>130.0</v>
      </c>
      <c r="B3464" s="1">
        <v>42.0</v>
      </c>
      <c r="C3464" s="1">
        <v>95.0</v>
      </c>
      <c r="D3464" s="1">
        <v>50.0</v>
      </c>
      <c r="F3464" s="1" t="str">
        <f>LOOKUP(A3464, NPCs!A:A, NPCs!C:C)</f>
        <v>Young Bear</v>
      </c>
      <c r="G3464" s="1" t="str">
        <f>LOOKUP(B3464, Maps!A:A, Maps!B:B)</f>
        <v>Rugged Valley</v>
      </c>
    </row>
    <row r="3465" ht="15.75" customHeight="1">
      <c r="A3465" s="1">
        <v>130.0</v>
      </c>
      <c r="B3465" s="1">
        <v>42.0</v>
      </c>
      <c r="C3465" s="1">
        <v>5.0</v>
      </c>
      <c r="D3465" s="1">
        <v>55.0</v>
      </c>
      <c r="F3465" s="1" t="str">
        <f>LOOKUP(A3465, NPCs!A:A, NPCs!C:C)</f>
        <v>Young Bear</v>
      </c>
      <c r="G3465" s="1" t="str">
        <f>LOOKUP(B3465, Maps!A:A, Maps!B:B)</f>
        <v>Rugged Valley</v>
      </c>
    </row>
    <row r="3466" ht="15.75" customHeight="1">
      <c r="A3466" s="1">
        <v>130.0</v>
      </c>
      <c r="B3466" s="1">
        <v>42.0</v>
      </c>
      <c r="C3466" s="1">
        <v>10.0</v>
      </c>
      <c r="D3466" s="1">
        <v>55.0</v>
      </c>
      <c r="F3466" s="1" t="str">
        <f>LOOKUP(A3466, NPCs!A:A, NPCs!C:C)</f>
        <v>Young Bear</v>
      </c>
      <c r="G3466" s="1" t="str">
        <f>LOOKUP(B3466, Maps!A:A, Maps!B:B)</f>
        <v>Rugged Valley</v>
      </c>
    </row>
    <row r="3467" ht="15.75" customHeight="1">
      <c r="A3467" s="1">
        <v>130.0</v>
      </c>
      <c r="B3467" s="1">
        <v>42.0</v>
      </c>
      <c r="C3467" s="1">
        <v>15.0</v>
      </c>
      <c r="D3467" s="1">
        <v>55.0</v>
      </c>
      <c r="F3467" s="1" t="str">
        <f>LOOKUP(A3467, NPCs!A:A, NPCs!C:C)</f>
        <v>Young Bear</v>
      </c>
      <c r="G3467" s="1" t="str">
        <f>LOOKUP(B3467, Maps!A:A, Maps!B:B)</f>
        <v>Rugged Valley</v>
      </c>
    </row>
    <row r="3468" ht="15.75" customHeight="1">
      <c r="A3468" s="1">
        <v>130.0</v>
      </c>
      <c r="B3468" s="1">
        <v>42.0</v>
      </c>
      <c r="C3468" s="1">
        <v>20.0</v>
      </c>
      <c r="D3468" s="1">
        <v>55.0</v>
      </c>
      <c r="F3468" s="1" t="str">
        <f>LOOKUP(A3468, NPCs!A:A, NPCs!C:C)</f>
        <v>Young Bear</v>
      </c>
      <c r="G3468" s="1" t="str">
        <f>LOOKUP(B3468, Maps!A:A, Maps!B:B)</f>
        <v>Rugged Valley</v>
      </c>
    </row>
    <row r="3469" ht="15.75" customHeight="1">
      <c r="A3469" s="1">
        <v>130.0</v>
      </c>
      <c r="B3469" s="1">
        <v>42.0</v>
      </c>
      <c r="C3469" s="1">
        <v>25.0</v>
      </c>
      <c r="D3469" s="1">
        <v>55.0</v>
      </c>
      <c r="F3469" s="1" t="str">
        <f>LOOKUP(A3469, NPCs!A:A, NPCs!C:C)</f>
        <v>Young Bear</v>
      </c>
      <c r="G3469" s="1" t="str">
        <f>LOOKUP(B3469, Maps!A:A, Maps!B:B)</f>
        <v>Rugged Valley</v>
      </c>
    </row>
    <row r="3470" ht="15.75" customHeight="1">
      <c r="A3470" s="1">
        <v>130.0</v>
      </c>
      <c r="B3470" s="1">
        <v>42.0</v>
      </c>
      <c r="C3470" s="1">
        <v>30.0</v>
      </c>
      <c r="D3470" s="1">
        <v>55.0</v>
      </c>
      <c r="F3470" s="1" t="str">
        <f>LOOKUP(A3470, NPCs!A:A, NPCs!C:C)</f>
        <v>Young Bear</v>
      </c>
      <c r="G3470" s="1" t="str">
        <f>LOOKUP(B3470, Maps!A:A, Maps!B:B)</f>
        <v>Rugged Valley</v>
      </c>
    </row>
    <row r="3471" ht="15.75" customHeight="1">
      <c r="A3471" s="1">
        <v>130.0</v>
      </c>
      <c r="B3471" s="1">
        <v>42.0</v>
      </c>
      <c r="C3471" s="1">
        <v>35.0</v>
      </c>
      <c r="D3471" s="1">
        <v>55.0</v>
      </c>
      <c r="F3471" s="1" t="str">
        <f>LOOKUP(A3471, NPCs!A:A, NPCs!C:C)</f>
        <v>Young Bear</v>
      </c>
      <c r="G3471" s="1" t="str">
        <f>LOOKUP(B3471, Maps!A:A, Maps!B:B)</f>
        <v>Rugged Valley</v>
      </c>
    </row>
    <row r="3472" ht="15.75" customHeight="1">
      <c r="A3472" s="1">
        <v>130.0</v>
      </c>
      <c r="B3472" s="1">
        <v>42.0</v>
      </c>
      <c r="C3472" s="1">
        <v>40.0</v>
      </c>
      <c r="D3472" s="1">
        <v>55.0</v>
      </c>
      <c r="F3472" s="1" t="str">
        <f>LOOKUP(A3472, NPCs!A:A, NPCs!C:C)</f>
        <v>Young Bear</v>
      </c>
      <c r="G3472" s="1" t="str">
        <f>LOOKUP(B3472, Maps!A:A, Maps!B:B)</f>
        <v>Rugged Valley</v>
      </c>
    </row>
    <row r="3473" ht="15.75" customHeight="1">
      <c r="A3473" s="1">
        <v>130.0</v>
      </c>
      <c r="B3473" s="1">
        <v>42.0</v>
      </c>
      <c r="C3473" s="1">
        <v>45.0</v>
      </c>
      <c r="D3473" s="1">
        <v>55.0</v>
      </c>
      <c r="F3473" s="1" t="str">
        <f>LOOKUP(A3473, NPCs!A:A, NPCs!C:C)</f>
        <v>Young Bear</v>
      </c>
      <c r="G3473" s="1" t="str">
        <f>LOOKUP(B3473, Maps!A:A, Maps!B:B)</f>
        <v>Rugged Valley</v>
      </c>
    </row>
    <row r="3474" ht="15.75" customHeight="1">
      <c r="A3474" s="1">
        <v>130.0</v>
      </c>
      <c r="B3474" s="1">
        <v>42.0</v>
      </c>
      <c r="C3474" s="1">
        <v>50.0</v>
      </c>
      <c r="D3474" s="1">
        <v>55.0</v>
      </c>
      <c r="F3474" s="1" t="str">
        <f>LOOKUP(A3474, NPCs!A:A, NPCs!C:C)</f>
        <v>Young Bear</v>
      </c>
      <c r="G3474" s="1" t="str">
        <f>LOOKUP(B3474, Maps!A:A, Maps!B:B)</f>
        <v>Rugged Valley</v>
      </c>
    </row>
    <row r="3475" ht="15.75" customHeight="1">
      <c r="A3475" s="1">
        <v>130.0</v>
      </c>
      <c r="B3475" s="1">
        <v>42.0</v>
      </c>
      <c r="C3475" s="1">
        <v>55.0</v>
      </c>
      <c r="D3475" s="1">
        <v>55.0</v>
      </c>
      <c r="F3475" s="1" t="str">
        <f>LOOKUP(A3475, NPCs!A:A, NPCs!C:C)</f>
        <v>Young Bear</v>
      </c>
      <c r="G3475" s="1" t="str">
        <f>LOOKUP(B3475, Maps!A:A, Maps!B:B)</f>
        <v>Rugged Valley</v>
      </c>
    </row>
    <row r="3476" ht="15.75" customHeight="1">
      <c r="A3476" s="1">
        <v>130.0</v>
      </c>
      <c r="B3476" s="1">
        <v>42.0</v>
      </c>
      <c r="C3476" s="1">
        <v>60.0</v>
      </c>
      <c r="D3476" s="1">
        <v>55.0</v>
      </c>
      <c r="F3476" s="1" t="str">
        <f>LOOKUP(A3476, NPCs!A:A, NPCs!C:C)</f>
        <v>Young Bear</v>
      </c>
      <c r="G3476" s="1" t="str">
        <f>LOOKUP(B3476, Maps!A:A, Maps!B:B)</f>
        <v>Rugged Valley</v>
      </c>
    </row>
    <row r="3477" ht="15.75" customHeight="1">
      <c r="A3477" s="1">
        <v>130.0</v>
      </c>
      <c r="B3477" s="1">
        <v>42.0</v>
      </c>
      <c r="C3477" s="1">
        <v>65.0</v>
      </c>
      <c r="D3477" s="1">
        <v>55.0</v>
      </c>
      <c r="F3477" s="1" t="str">
        <f>LOOKUP(A3477, NPCs!A:A, NPCs!C:C)</f>
        <v>Young Bear</v>
      </c>
      <c r="G3477" s="1" t="str">
        <f>LOOKUP(B3477, Maps!A:A, Maps!B:B)</f>
        <v>Rugged Valley</v>
      </c>
    </row>
    <row r="3478" ht="15.75" customHeight="1">
      <c r="A3478" s="1">
        <v>130.0</v>
      </c>
      <c r="B3478" s="1">
        <v>42.0</v>
      </c>
      <c r="C3478" s="1">
        <v>75.0</v>
      </c>
      <c r="D3478" s="1">
        <v>55.0</v>
      </c>
      <c r="F3478" s="1" t="str">
        <f>LOOKUP(A3478, NPCs!A:A, NPCs!C:C)</f>
        <v>Young Bear</v>
      </c>
      <c r="G3478" s="1" t="str">
        <f>LOOKUP(B3478, Maps!A:A, Maps!B:B)</f>
        <v>Rugged Valley</v>
      </c>
    </row>
    <row r="3479" ht="15.75" customHeight="1">
      <c r="A3479" s="1">
        <v>130.0</v>
      </c>
      <c r="B3479" s="1">
        <v>42.0</v>
      </c>
      <c r="C3479" s="1">
        <v>85.0</v>
      </c>
      <c r="D3479" s="1">
        <v>55.0</v>
      </c>
      <c r="F3479" s="1" t="str">
        <f>LOOKUP(A3479, NPCs!A:A, NPCs!C:C)</f>
        <v>Young Bear</v>
      </c>
      <c r="G3479" s="1" t="str">
        <f>LOOKUP(B3479, Maps!A:A, Maps!B:B)</f>
        <v>Rugged Valley</v>
      </c>
    </row>
    <row r="3480" ht="15.75" customHeight="1">
      <c r="A3480" s="1">
        <v>130.0</v>
      </c>
      <c r="B3480" s="1">
        <v>42.0</v>
      </c>
      <c r="C3480" s="1">
        <v>95.0</v>
      </c>
      <c r="D3480" s="1">
        <v>55.0</v>
      </c>
      <c r="F3480" s="1" t="str">
        <f>LOOKUP(A3480, NPCs!A:A, NPCs!C:C)</f>
        <v>Young Bear</v>
      </c>
      <c r="G3480" s="1" t="str">
        <f>LOOKUP(B3480, Maps!A:A, Maps!B:B)</f>
        <v>Rugged Valley</v>
      </c>
    </row>
    <row r="3481" ht="15.75" customHeight="1">
      <c r="A3481" s="1">
        <v>130.0</v>
      </c>
      <c r="B3481" s="1">
        <v>42.0</v>
      </c>
      <c r="C3481" s="1">
        <v>5.0</v>
      </c>
      <c r="D3481" s="1">
        <v>70.0</v>
      </c>
      <c r="F3481" s="1" t="str">
        <f>LOOKUP(A3481, NPCs!A:A, NPCs!C:C)</f>
        <v>Young Bear</v>
      </c>
      <c r="G3481" s="1" t="str">
        <f>LOOKUP(B3481, Maps!A:A, Maps!B:B)</f>
        <v>Rugged Valley</v>
      </c>
    </row>
    <row r="3482" ht="15.75" customHeight="1">
      <c r="A3482" s="1">
        <v>130.0</v>
      </c>
      <c r="B3482" s="1">
        <v>42.0</v>
      </c>
      <c r="C3482" s="1">
        <v>15.0</v>
      </c>
      <c r="D3482" s="1">
        <v>70.0</v>
      </c>
      <c r="F3482" s="1" t="str">
        <f>LOOKUP(A3482, NPCs!A:A, NPCs!C:C)</f>
        <v>Young Bear</v>
      </c>
      <c r="G3482" s="1" t="str">
        <f>LOOKUP(B3482, Maps!A:A, Maps!B:B)</f>
        <v>Rugged Valley</v>
      </c>
    </row>
    <row r="3483" ht="15.75" customHeight="1">
      <c r="A3483" s="1">
        <v>130.0</v>
      </c>
      <c r="B3483" s="1">
        <v>42.0</v>
      </c>
      <c r="C3483" s="1">
        <v>25.0</v>
      </c>
      <c r="D3483" s="1">
        <v>70.0</v>
      </c>
      <c r="F3483" s="1" t="str">
        <f>LOOKUP(A3483, NPCs!A:A, NPCs!C:C)</f>
        <v>Young Bear</v>
      </c>
      <c r="G3483" s="1" t="str">
        <f>LOOKUP(B3483, Maps!A:A, Maps!B:B)</f>
        <v>Rugged Valley</v>
      </c>
    </row>
    <row r="3484" ht="15.75" customHeight="1">
      <c r="A3484" s="1">
        <v>130.0</v>
      </c>
      <c r="B3484" s="1">
        <v>42.0</v>
      </c>
      <c r="C3484" s="1">
        <v>35.0</v>
      </c>
      <c r="D3484" s="1">
        <v>70.0</v>
      </c>
      <c r="F3484" s="1" t="str">
        <f>LOOKUP(A3484, NPCs!A:A, NPCs!C:C)</f>
        <v>Young Bear</v>
      </c>
      <c r="G3484" s="1" t="str">
        <f>LOOKUP(B3484, Maps!A:A, Maps!B:B)</f>
        <v>Rugged Valley</v>
      </c>
    </row>
    <row r="3485" ht="15.75" customHeight="1">
      <c r="A3485" s="1">
        <v>130.0</v>
      </c>
      <c r="B3485" s="1">
        <v>42.0</v>
      </c>
      <c r="C3485" s="1">
        <v>40.0</v>
      </c>
      <c r="D3485" s="1">
        <v>70.0</v>
      </c>
      <c r="F3485" s="1" t="str">
        <f>LOOKUP(A3485, NPCs!A:A, NPCs!C:C)</f>
        <v>Young Bear</v>
      </c>
      <c r="G3485" s="1" t="str">
        <f>LOOKUP(B3485, Maps!A:A, Maps!B:B)</f>
        <v>Rugged Valley</v>
      </c>
    </row>
    <row r="3486" ht="15.75" customHeight="1">
      <c r="A3486" s="1">
        <v>130.0</v>
      </c>
      <c r="B3486" s="1">
        <v>42.0</v>
      </c>
      <c r="C3486" s="1">
        <v>50.0</v>
      </c>
      <c r="D3486" s="1">
        <v>70.0</v>
      </c>
      <c r="F3486" s="1" t="str">
        <f>LOOKUP(A3486, NPCs!A:A, NPCs!C:C)</f>
        <v>Young Bear</v>
      </c>
      <c r="G3486" s="1" t="str">
        <f>LOOKUP(B3486, Maps!A:A, Maps!B:B)</f>
        <v>Rugged Valley</v>
      </c>
    </row>
    <row r="3487" ht="15.75" customHeight="1">
      <c r="A3487" s="1">
        <v>130.0</v>
      </c>
      <c r="B3487" s="1">
        <v>42.0</v>
      </c>
      <c r="C3487" s="1">
        <v>55.0</v>
      </c>
      <c r="D3487" s="1">
        <v>70.0</v>
      </c>
      <c r="F3487" s="1" t="str">
        <f>LOOKUP(A3487, NPCs!A:A, NPCs!C:C)</f>
        <v>Young Bear</v>
      </c>
      <c r="G3487" s="1" t="str">
        <f>LOOKUP(B3487, Maps!A:A, Maps!B:B)</f>
        <v>Rugged Valley</v>
      </c>
    </row>
    <row r="3488" ht="15.75" customHeight="1">
      <c r="A3488" s="1">
        <v>130.0</v>
      </c>
      <c r="B3488" s="1">
        <v>42.0</v>
      </c>
      <c r="C3488" s="1">
        <v>60.0</v>
      </c>
      <c r="D3488" s="1">
        <v>70.0</v>
      </c>
      <c r="F3488" s="1" t="str">
        <f>LOOKUP(A3488, NPCs!A:A, NPCs!C:C)</f>
        <v>Young Bear</v>
      </c>
      <c r="G3488" s="1" t="str">
        <f>LOOKUP(B3488, Maps!A:A, Maps!B:B)</f>
        <v>Rugged Valley</v>
      </c>
    </row>
    <row r="3489" ht="15.75" customHeight="1">
      <c r="A3489" s="1">
        <v>130.0</v>
      </c>
      <c r="B3489" s="1">
        <v>42.0</v>
      </c>
      <c r="C3489" s="1">
        <v>65.0</v>
      </c>
      <c r="D3489" s="1">
        <v>70.0</v>
      </c>
      <c r="F3489" s="1" t="str">
        <f>LOOKUP(A3489, NPCs!A:A, NPCs!C:C)</f>
        <v>Young Bear</v>
      </c>
      <c r="G3489" s="1" t="str">
        <f>LOOKUP(B3489, Maps!A:A, Maps!B:B)</f>
        <v>Rugged Valley</v>
      </c>
    </row>
    <row r="3490" ht="15.75" customHeight="1">
      <c r="A3490" s="1">
        <v>130.0</v>
      </c>
      <c r="B3490" s="1">
        <v>42.0</v>
      </c>
      <c r="C3490" s="1">
        <v>70.0</v>
      </c>
      <c r="D3490" s="1">
        <v>70.0</v>
      </c>
      <c r="F3490" s="1" t="str">
        <f>LOOKUP(A3490, NPCs!A:A, NPCs!C:C)</f>
        <v>Young Bear</v>
      </c>
      <c r="G3490" s="1" t="str">
        <f>LOOKUP(B3490, Maps!A:A, Maps!B:B)</f>
        <v>Rugged Valley</v>
      </c>
    </row>
    <row r="3491" ht="15.75" customHeight="1">
      <c r="A3491" s="1">
        <v>130.0</v>
      </c>
      <c r="B3491" s="1">
        <v>42.0</v>
      </c>
      <c r="C3491" s="1">
        <v>75.0</v>
      </c>
      <c r="D3491" s="1">
        <v>70.0</v>
      </c>
      <c r="F3491" s="1" t="str">
        <f>LOOKUP(A3491, NPCs!A:A, NPCs!C:C)</f>
        <v>Young Bear</v>
      </c>
      <c r="G3491" s="1" t="str">
        <f>LOOKUP(B3491, Maps!A:A, Maps!B:B)</f>
        <v>Rugged Valley</v>
      </c>
    </row>
    <row r="3492" ht="15.75" customHeight="1">
      <c r="A3492" s="1">
        <v>130.0</v>
      </c>
      <c r="B3492" s="1">
        <v>42.0</v>
      </c>
      <c r="C3492" s="1">
        <v>80.0</v>
      </c>
      <c r="D3492" s="1">
        <v>70.0</v>
      </c>
      <c r="F3492" s="1" t="str">
        <f>LOOKUP(A3492, NPCs!A:A, NPCs!C:C)</f>
        <v>Young Bear</v>
      </c>
      <c r="G3492" s="1" t="str">
        <f>LOOKUP(B3492, Maps!A:A, Maps!B:B)</f>
        <v>Rugged Valley</v>
      </c>
    </row>
    <row r="3493" ht="15.75" customHeight="1">
      <c r="A3493" s="1">
        <v>130.0</v>
      </c>
      <c r="B3493" s="1">
        <v>42.0</v>
      </c>
      <c r="C3493" s="1">
        <v>85.0</v>
      </c>
      <c r="D3493" s="1">
        <v>70.0</v>
      </c>
      <c r="F3493" s="1" t="str">
        <f>LOOKUP(A3493, NPCs!A:A, NPCs!C:C)</f>
        <v>Young Bear</v>
      </c>
      <c r="G3493" s="1" t="str">
        <f>LOOKUP(B3493, Maps!A:A, Maps!B:B)</f>
        <v>Rugged Valley</v>
      </c>
    </row>
    <row r="3494" ht="15.75" customHeight="1">
      <c r="A3494" s="1">
        <v>130.0</v>
      </c>
      <c r="B3494" s="1">
        <v>42.0</v>
      </c>
      <c r="C3494" s="1">
        <v>90.0</v>
      </c>
      <c r="D3494" s="1">
        <v>70.0</v>
      </c>
      <c r="F3494" s="1" t="str">
        <f>LOOKUP(A3494, NPCs!A:A, NPCs!C:C)</f>
        <v>Young Bear</v>
      </c>
      <c r="G3494" s="1" t="str">
        <f>LOOKUP(B3494, Maps!A:A, Maps!B:B)</f>
        <v>Rugged Valley</v>
      </c>
    </row>
    <row r="3495" ht="15.75" customHeight="1">
      <c r="A3495" s="1">
        <v>130.0</v>
      </c>
      <c r="B3495" s="1">
        <v>42.0</v>
      </c>
      <c r="C3495" s="1">
        <v>95.0</v>
      </c>
      <c r="D3495" s="1">
        <v>70.0</v>
      </c>
      <c r="F3495" s="1" t="str">
        <f>LOOKUP(A3495, NPCs!A:A, NPCs!C:C)</f>
        <v>Young Bear</v>
      </c>
      <c r="G3495" s="1" t="str">
        <f>LOOKUP(B3495, Maps!A:A, Maps!B:B)</f>
        <v>Rugged Valley</v>
      </c>
    </row>
    <row r="3496" ht="15.75" customHeight="1">
      <c r="A3496" s="1">
        <v>130.0</v>
      </c>
      <c r="B3496" s="1">
        <v>42.0</v>
      </c>
      <c r="C3496" s="1">
        <v>5.0</v>
      </c>
      <c r="D3496" s="1">
        <v>75.0</v>
      </c>
      <c r="F3496" s="1" t="str">
        <f>LOOKUP(A3496, NPCs!A:A, NPCs!C:C)</f>
        <v>Young Bear</v>
      </c>
      <c r="G3496" s="1" t="str">
        <f>LOOKUP(B3496, Maps!A:A, Maps!B:B)</f>
        <v>Rugged Valley</v>
      </c>
    </row>
    <row r="3497" ht="15.75" customHeight="1">
      <c r="A3497" s="1">
        <v>130.0</v>
      </c>
      <c r="B3497" s="1">
        <v>42.0</v>
      </c>
      <c r="C3497" s="1">
        <v>10.0</v>
      </c>
      <c r="D3497" s="1">
        <v>75.0</v>
      </c>
      <c r="F3497" s="1" t="str">
        <f>LOOKUP(A3497, NPCs!A:A, NPCs!C:C)</f>
        <v>Young Bear</v>
      </c>
      <c r="G3497" s="1" t="str">
        <f>LOOKUP(B3497, Maps!A:A, Maps!B:B)</f>
        <v>Rugged Valley</v>
      </c>
    </row>
    <row r="3498" ht="15.75" customHeight="1">
      <c r="A3498" s="1">
        <v>130.0</v>
      </c>
      <c r="B3498" s="1">
        <v>42.0</v>
      </c>
      <c r="C3498" s="1">
        <v>15.0</v>
      </c>
      <c r="D3498" s="1">
        <v>75.0</v>
      </c>
      <c r="F3498" s="1" t="str">
        <f>LOOKUP(A3498, NPCs!A:A, NPCs!C:C)</f>
        <v>Young Bear</v>
      </c>
      <c r="G3498" s="1" t="str">
        <f>LOOKUP(B3498, Maps!A:A, Maps!B:B)</f>
        <v>Rugged Valley</v>
      </c>
    </row>
    <row r="3499" ht="15.75" customHeight="1">
      <c r="A3499" s="1">
        <v>130.0</v>
      </c>
      <c r="B3499" s="1">
        <v>42.0</v>
      </c>
      <c r="C3499" s="1">
        <v>20.0</v>
      </c>
      <c r="D3499" s="1">
        <v>75.0</v>
      </c>
      <c r="F3499" s="1" t="str">
        <f>LOOKUP(A3499, NPCs!A:A, NPCs!C:C)</f>
        <v>Young Bear</v>
      </c>
      <c r="G3499" s="1" t="str">
        <f>LOOKUP(B3499, Maps!A:A, Maps!B:B)</f>
        <v>Rugged Valley</v>
      </c>
    </row>
    <row r="3500" ht="15.75" customHeight="1">
      <c r="A3500" s="1">
        <v>130.0</v>
      </c>
      <c r="B3500" s="1">
        <v>42.0</v>
      </c>
      <c r="C3500" s="1">
        <v>25.0</v>
      </c>
      <c r="D3500" s="1">
        <v>75.0</v>
      </c>
      <c r="F3500" s="1" t="str">
        <f>LOOKUP(A3500, NPCs!A:A, NPCs!C:C)</f>
        <v>Young Bear</v>
      </c>
      <c r="G3500" s="1" t="str">
        <f>LOOKUP(B3500, Maps!A:A, Maps!B:B)</f>
        <v>Rugged Valley</v>
      </c>
    </row>
    <row r="3501" ht="15.75" customHeight="1">
      <c r="A3501" s="1">
        <v>130.0</v>
      </c>
      <c r="B3501" s="1">
        <v>42.0</v>
      </c>
      <c r="C3501" s="1">
        <v>30.0</v>
      </c>
      <c r="D3501" s="1">
        <v>75.0</v>
      </c>
      <c r="F3501" s="1" t="str">
        <f>LOOKUP(A3501, NPCs!A:A, NPCs!C:C)</f>
        <v>Young Bear</v>
      </c>
      <c r="G3501" s="1" t="str">
        <f>LOOKUP(B3501, Maps!A:A, Maps!B:B)</f>
        <v>Rugged Valley</v>
      </c>
    </row>
    <row r="3502" ht="15.75" customHeight="1">
      <c r="A3502" s="1">
        <v>130.0</v>
      </c>
      <c r="B3502" s="1">
        <v>42.0</v>
      </c>
      <c r="C3502" s="1">
        <v>35.0</v>
      </c>
      <c r="D3502" s="1">
        <v>75.0</v>
      </c>
      <c r="F3502" s="1" t="str">
        <f>LOOKUP(A3502, NPCs!A:A, NPCs!C:C)</f>
        <v>Young Bear</v>
      </c>
      <c r="G3502" s="1" t="str">
        <f>LOOKUP(B3502, Maps!A:A, Maps!B:B)</f>
        <v>Rugged Valley</v>
      </c>
    </row>
    <row r="3503" ht="15.75" customHeight="1">
      <c r="A3503" s="1">
        <v>130.0</v>
      </c>
      <c r="B3503" s="1">
        <v>42.0</v>
      </c>
      <c r="C3503" s="1">
        <v>40.0</v>
      </c>
      <c r="D3503" s="1">
        <v>75.0</v>
      </c>
      <c r="F3503" s="1" t="str">
        <f>LOOKUP(A3503, NPCs!A:A, NPCs!C:C)</f>
        <v>Young Bear</v>
      </c>
      <c r="G3503" s="1" t="str">
        <f>LOOKUP(B3503, Maps!A:A, Maps!B:B)</f>
        <v>Rugged Valley</v>
      </c>
    </row>
    <row r="3504" ht="15.75" customHeight="1">
      <c r="A3504" s="1">
        <v>130.0</v>
      </c>
      <c r="B3504" s="1">
        <v>42.0</v>
      </c>
      <c r="C3504" s="1">
        <v>45.0</v>
      </c>
      <c r="D3504" s="1">
        <v>75.0</v>
      </c>
      <c r="F3504" s="1" t="str">
        <f>LOOKUP(A3504, NPCs!A:A, NPCs!C:C)</f>
        <v>Young Bear</v>
      </c>
      <c r="G3504" s="1" t="str">
        <f>LOOKUP(B3504, Maps!A:A, Maps!B:B)</f>
        <v>Rugged Valley</v>
      </c>
    </row>
    <row r="3505" ht="15.75" customHeight="1">
      <c r="A3505" s="1">
        <v>130.0</v>
      </c>
      <c r="B3505" s="1">
        <v>42.0</v>
      </c>
      <c r="C3505" s="1">
        <v>50.0</v>
      </c>
      <c r="D3505" s="1">
        <v>75.0</v>
      </c>
      <c r="F3505" s="1" t="str">
        <f>LOOKUP(A3505, NPCs!A:A, NPCs!C:C)</f>
        <v>Young Bear</v>
      </c>
      <c r="G3505" s="1" t="str">
        <f>LOOKUP(B3505, Maps!A:A, Maps!B:B)</f>
        <v>Rugged Valley</v>
      </c>
    </row>
    <row r="3506" ht="15.75" customHeight="1">
      <c r="A3506" s="1">
        <v>130.0</v>
      </c>
      <c r="B3506" s="1">
        <v>42.0</v>
      </c>
      <c r="C3506" s="1">
        <v>55.0</v>
      </c>
      <c r="D3506" s="1">
        <v>75.0</v>
      </c>
      <c r="F3506" s="1" t="str">
        <f>LOOKUP(A3506, NPCs!A:A, NPCs!C:C)</f>
        <v>Young Bear</v>
      </c>
      <c r="G3506" s="1" t="str">
        <f>LOOKUP(B3506, Maps!A:A, Maps!B:B)</f>
        <v>Rugged Valley</v>
      </c>
    </row>
    <row r="3507" ht="15.75" customHeight="1">
      <c r="A3507" s="1">
        <v>130.0</v>
      </c>
      <c r="B3507" s="1">
        <v>42.0</v>
      </c>
      <c r="C3507" s="1">
        <v>60.0</v>
      </c>
      <c r="D3507" s="1">
        <v>75.0</v>
      </c>
      <c r="F3507" s="1" t="str">
        <f>LOOKUP(A3507, NPCs!A:A, NPCs!C:C)</f>
        <v>Young Bear</v>
      </c>
      <c r="G3507" s="1" t="str">
        <f>LOOKUP(B3507, Maps!A:A, Maps!B:B)</f>
        <v>Rugged Valley</v>
      </c>
    </row>
    <row r="3508" ht="15.75" customHeight="1">
      <c r="A3508" s="1">
        <v>130.0</v>
      </c>
      <c r="B3508" s="1">
        <v>42.0</v>
      </c>
      <c r="C3508" s="1">
        <v>65.0</v>
      </c>
      <c r="D3508" s="1">
        <v>75.0</v>
      </c>
      <c r="F3508" s="1" t="str">
        <f>LOOKUP(A3508, NPCs!A:A, NPCs!C:C)</f>
        <v>Young Bear</v>
      </c>
      <c r="G3508" s="1" t="str">
        <f>LOOKUP(B3508, Maps!A:A, Maps!B:B)</f>
        <v>Rugged Valley</v>
      </c>
    </row>
    <row r="3509" ht="15.75" customHeight="1">
      <c r="A3509" s="1">
        <v>130.0</v>
      </c>
      <c r="B3509" s="1">
        <v>42.0</v>
      </c>
      <c r="C3509" s="1">
        <v>75.0</v>
      </c>
      <c r="D3509" s="1">
        <v>75.0</v>
      </c>
      <c r="F3509" s="1" t="str">
        <f>LOOKUP(A3509, NPCs!A:A, NPCs!C:C)</f>
        <v>Young Bear</v>
      </c>
      <c r="G3509" s="1" t="str">
        <f>LOOKUP(B3509, Maps!A:A, Maps!B:B)</f>
        <v>Rugged Valley</v>
      </c>
    </row>
    <row r="3510" ht="15.75" customHeight="1">
      <c r="A3510" s="1">
        <v>130.0</v>
      </c>
      <c r="B3510" s="1">
        <v>42.0</v>
      </c>
      <c r="C3510" s="1">
        <v>85.0</v>
      </c>
      <c r="D3510" s="1">
        <v>75.0</v>
      </c>
      <c r="F3510" s="1" t="str">
        <f>LOOKUP(A3510, NPCs!A:A, NPCs!C:C)</f>
        <v>Young Bear</v>
      </c>
      <c r="G3510" s="1" t="str">
        <f>LOOKUP(B3510, Maps!A:A, Maps!B:B)</f>
        <v>Rugged Valley</v>
      </c>
    </row>
    <row r="3511" ht="15.75" customHeight="1">
      <c r="A3511" s="1">
        <v>130.0</v>
      </c>
      <c r="B3511" s="1">
        <v>42.0</v>
      </c>
      <c r="C3511" s="1">
        <v>95.0</v>
      </c>
      <c r="D3511" s="1">
        <v>75.0</v>
      </c>
      <c r="F3511" s="1" t="str">
        <f>LOOKUP(A3511, NPCs!A:A, NPCs!C:C)</f>
        <v>Young Bear</v>
      </c>
      <c r="G3511" s="1" t="str">
        <f>LOOKUP(B3511, Maps!A:A, Maps!B:B)</f>
        <v>Rugged Valley</v>
      </c>
    </row>
    <row r="3512" ht="15.75" customHeight="1">
      <c r="A3512" s="1">
        <v>130.0</v>
      </c>
      <c r="B3512" s="1">
        <v>42.0</v>
      </c>
      <c r="C3512" s="1">
        <v>5.0</v>
      </c>
      <c r="D3512" s="1">
        <v>90.0</v>
      </c>
      <c r="F3512" s="1" t="str">
        <f>LOOKUP(A3512, NPCs!A:A, NPCs!C:C)</f>
        <v>Young Bear</v>
      </c>
      <c r="G3512" s="1" t="str">
        <f>LOOKUP(B3512, Maps!A:A, Maps!B:B)</f>
        <v>Rugged Valley</v>
      </c>
    </row>
    <row r="3513" ht="15.75" customHeight="1">
      <c r="A3513" s="1">
        <v>130.0</v>
      </c>
      <c r="B3513" s="1">
        <v>42.0</v>
      </c>
      <c r="C3513" s="1">
        <v>15.0</v>
      </c>
      <c r="D3513" s="1">
        <v>90.0</v>
      </c>
      <c r="F3513" s="1" t="str">
        <f>LOOKUP(A3513, NPCs!A:A, NPCs!C:C)</f>
        <v>Young Bear</v>
      </c>
      <c r="G3513" s="1" t="str">
        <f>LOOKUP(B3513, Maps!A:A, Maps!B:B)</f>
        <v>Rugged Valley</v>
      </c>
    </row>
    <row r="3514" ht="15.75" customHeight="1">
      <c r="A3514" s="1">
        <v>130.0</v>
      </c>
      <c r="B3514" s="1">
        <v>42.0</v>
      </c>
      <c r="C3514" s="1">
        <v>25.0</v>
      </c>
      <c r="D3514" s="1">
        <v>90.0</v>
      </c>
      <c r="F3514" s="1" t="str">
        <f>LOOKUP(A3514, NPCs!A:A, NPCs!C:C)</f>
        <v>Young Bear</v>
      </c>
      <c r="G3514" s="1" t="str">
        <f>LOOKUP(B3514, Maps!A:A, Maps!B:B)</f>
        <v>Rugged Valley</v>
      </c>
    </row>
    <row r="3515" ht="15.75" customHeight="1">
      <c r="A3515" s="1">
        <v>130.0</v>
      </c>
      <c r="B3515" s="1">
        <v>42.0</v>
      </c>
      <c r="C3515" s="1">
        <v>35.0</v>
      </c>
      <c r="D3515" s="1">
        <v>90.0</v>
      </c>
      <c r="F3515" s="1" t="str">
        <f>LOOKUP(A3515, NPCs!A:A, NPCs!C:C)</f>
        <v>Young Bear</v>
      </c>
      <c r="G3515" s="1" t="str">
        <f>LOOKUP(B3515, Maps!A:A, Maps!B:B)</f>
        <v>Rugged Valley</v>
      </c>
    </row>
    <row r="3516" ht="15.75" customHeight="1">
      <c r="A3516" s="1">
        <v>130.0</v>
      </c>
      <c r="B3516" s="1">
        <v>42.0</v>
      </c>
      <c r="C3516" s="1">
        <v>40.0</v>
      </c>
      <c r="D3516" s="1">
        <v>90.0</v>
      </c>
      <c r="F3516" s="1" t="str">
        <f>LOOKUP(A3516, NPCs!A:A, NPCs!C:C)</f>
        <v>Young Bear</v>
      </c>
      <c r="G3516" s="1" t="str">
        <f>LOOKUP(B3516, Maps!A:A, Maps!B:B)</f>
        <v>Rugged Valley</v>
      </c>
    </row>
    <row r="3517" ht="15.75" customHeight="1">
      <c r="A3517" s="1">
        <v>130.0</v>
      </c>
      <c r="B3517" s="1">
        <v>42.0</v>
      </c>
      <c r="C3517" s="1">
        <v>50.0</v>
      </c>
      <c r="D3517" s="1">
        <v>90.0</v>
      </c>
      <c r="F3517" s="1" t="str">
        <f>LOOKUP(A3517, NPCs!A:A, NPCs!C:C)</f>
        <v>Young Bear</v>
      </c>
      <c r="G3517" s="1" t="str">
        <f>LOOKUP(B3517, Maps!A:A, Maps!B:B)</f>
        <v>Rugged Valley</v>
      </c>
    </row>
    <row r="3518" ht="15.75" customHeight="1">
      <c r="A3518" s="1">
        <v>130.0</v>
      </c>
      <c r="B3518" s="1">
        <v>42.0</v>
      </c>
      <c r="C3518" s="1">
        <v>55.0</v>
      </c>
      <c r="D3518" s="1">
        <v>90.0</v>
      </c>
      <c r="F3518" s="1" t="str">
        <f>LOOKUP(A3518, NPCs!A:A, NPCs!C:C)</f>
        <v>Young Bear</v>
      </c>
      <c r="G3518" s="1" t="str">
        <f>LOOKUP(B3518, Maps!A:A, Maps!B:B)</f>
        <v>Rugged Valley</v>
      </c>
    </row>
    <row r="3519" ht="15.75" customHeight="1">
      <c r="A3519" s="1">
        <v>130.0</v>
      </c>
      <c r="B3519" s="1">
        <v>42.0</v>
      </c>
      <c r="C3519" s="1">
        <v>60.0</v>
      </c>
      <c r="D3519" s="1">
        <v>90.0</v>
      </c>
      <c r="F3519" s="1" t="str">
        <f>LOOKUP(A3519, NPCs!A:A, NPCs!C:C)</f>
        <v>Young Bear</v>
      </c>
      <c r="G3519" s="1" t="str">
        <f>LOOKUP(B3519, Maps!A:A, Maps!B:B)</f>
        <v>Rugged Valley</v>
      </c>
    </row>
    <row r="3520" ht="15.75" customHeight="1">
      <c r="A3520" s="1">
        <v>130.0</v>
      </c>
      <c r="B3520" s="1">
        <v>42.0</v>
      </c>
      <c r="C3520" s="1">
        <v>65.0</v>
      </c>
      <c r="D3520" s="1">
        <v>90.0</v>
      </c>
      <c r="F3520" s="1" t="str">
        <f>LOOKUP(A3520, NPCs!A:A, NPCs!C:C)</f>
        <v>Young Bear</v>
      </c>
      <c r="G3520" s="1" t="str">
        <f>LOOKUP(B3520, Maps!A:A, Maps!B:B)</f>
        <v>Rugged Valley</v>
      </c>
    </row>
    <row r="3521" ht="15.75" customHeight="1">
      <c r="A3521" s="1">
        <v>130.0</v>
      </c>
      <c r="B3521" s="1">
        <v>42.0</v>
      </c>
      <c r="C3521" s="1">
        <v>70.0</v>
      </c>
      <c r="D3521" s="1">
        <v>90.0</v>
      </c>
      <c r="F3521" s="1" t="str">
        <f>LOOKUP(A3521, NPCs!A:A, NPCs!C:C)</f>
        <v>Young Bear</v>
      </c>
      <c r="G3521" s="1" t="str">
        <f>LOOKUP(B3521, Maps!A:A, Maps!B:B)</f>
        <v>Rugged Valley</v>
      </c>
    </row>
    <row r="3522" ht="15.75" customHeight="1">
      <c r="A3522" s="1">
        <v>130.0</v>
      </c>
      <c r="B3522" s="1">
        <v>42.0</v>
      </c>
      <c r="C3522" s="1">
        <v>75.0</v>
      </c>
      <c r="D3522" s="1">
        <v>90.0</v>
      </c>
      <c r="F3522" s="1" t="str">
        <f>LOOKUP(A3522, NPCs!A:A, NPCs!C:C)</f>
        <v>Young Bear</v>
      </c>
      <c r="G3522" s="1" t="str">
        <f>LOOKUP(B3522, Maps!A:A, Maps!B:B)</f>
        <v>Rugged Valley</v>
      </c>
    </row>
    <row r="3523" ht="15.75" customHeight="1">
      <c r="A3523" s="1">
        <v>130.0</v>
      </c>
      <c r="B3523" s="1">
        <v>42.0</v>
      </c>
      <c r="C3523" s="1">
        <v>80.0</v>
      </c>
      <c r="D3523" s="1">
        <v>90.0</v>
      </c>
      <c r="F3523" s="1" t="str">
        <f>LOOKUP(A3523, NPCs!A:A, NPCs!C:C)</f>
        <v>Young Bear</v>
      </c>
      <c r="G3523" s="1" t="str">
        <f>LOOKUP(B3523, Maps!A:A, Maps!B:B)</f>
        <v>Rugged Valley</v>
      </c>
    </row>
    <row r="3524" ht="15.75" customHeight="1">
      <c r="A3524" s="1">
        <v>130.0</v>
      </c>
      <c r="B3524" s="1">
        <v>42.0</v>
      </c>
      <c r="C3524" s="1">
        <v>85.0</v>
      </c>
      <c r="D3524" s="1">
        <v>90.0</v>
      </c>
      <c r="F3524" s="1" t="str">
        <f>LOOKUP(A3524, NPCs!A:A, NPCs!C:C)</f>
        <v>Young Bear</v>
      </c>
      <c r="G3524" s="1" t="str">
        <f>LOOKUP(B3524, Maps!A:A, Maps!B:B)</f>
        <v>Rugged Valley</v>
      </c>
    </row>
    <row r="3525" ht="15.75" customHeight="1">
      <c r="A3525" s="1">
        <v>130.0</v>
      </c>
      <c r="B3525" s="1">
        <v>42.0</v>
      </c>
      <c r="C3525" s="1">
        <v>90.0</v>
      </c>
      <c r="D3525" s="1">
        <v>90.0</v>
      </c>
      <c r="F3525" s="1" t="str">
        <f>LOOKUP(A3525, NPCs!A:A, NPCs!C:C)</f>
        <v>Young Bear</v>
      </c>
      <c r="G3525" s="1" t="str">
        <f>LOOKUP(B3525, Maps!A:A, Maps!B:B)</f>
        <v>Rugged Valley</v>
      </c>
    </row>
    <row r="3526" ht="15.75" customHeight="1">
      <c r="A3526" s="1">
        <v>130.0</v>
      </c>
      <c r="B3526" s="1">
        <v>42.0</v>
      </c>
      <c r="C3526" s="1">
        <v>95.0</v>
      </c>
      <c r="D3526" s="1">
        <v>90.0</v>
      </c>
      <c r="F3526" s="1" t="str">
        <f>LOOKUP(A3526, NPCs!A:A, NPCs!C:C)</f>
        <v>Young Bear</v>
      </c>
      <c r="G3526" s="1" t="str">
        <f>LOOKUP(B3526, Maps!A:A, Maps!B:B)</f>
        <v>Rugged Valley</v>
      </c>
    </row>
    <row r="3527" ht="15.75" customHeight="1">
      <c r="A3527" s="1">
        <v>156.0</v>
      </c>
      <c r="B3527" s="1">
        <v>43.0</v>
      </c>
      <c r="C3527" s="1">
        <v>10.0</v>
      </c>
      <c r="D3527" s="1">
        <v>15.0</v>
      </c>
      <c r="F3527" s="1" t="str">
        <f>LOOKUP(A3527, NPCs!A:A, NPCs!C:C)</f>
        <v>Mama Bear</v>
      </c>
      <c r="G3527" s="1" t="str">
        <f>LOOKUP(B3527, Maps!A:A, Maps!B:B)</f>
        <v>Bear Kingdom</v>
      </c>
    </row>
    <row r="3528" ht="15.75" customHeight="1">
      <c r="A3528" s="1">
        <v>129.0</v>
      </c>
      <c r="B3528" s="1">
        <v>43.0</v>
      </c>
      <c r="C3528" s="1">
        <v>5.0</v>
      </c>
      <c r="D3528" s="1">
        <v>5.0</v>
      </c>
      <c r="F3528" s="1" t="str">
        <f>LOOKUP(A3528, NPCs!A:A, NPCs!C:C)</f>
        <v>Patrol Bear</v>
      </c>
      <c r="G3528" s="1" t="str">
        <f>LOOKUP(B3528, Maps!A:A, Maps!B:B)</f>
        <v>Bear Kingdom</v>
      </c>
    </row>
    <row r="3529" ht="15.75" customHeight="1">
      <c r="A3529" s="1">
        <v>129.0</v>
      </c>
      <c r="B3529" s="1">
        <v>43.0</v>
      </c>
      <c r="C3529" s="1">
        <v>10.0</v>
      </c>
      <c r="D3529" s="1">
        <v>5.0</v>
      </c>
      <c r="F3529" s="1" t="str">
        <f>LOOKUP(A3529, NPCs!A:A, NPCs!C:C)</f>
        <v>Patrol Bear</v>
      </c>
      <c r="G3529" s="1" t="str">
        <f>LOOKUP(B3529, Maps!A:A, Maps!B:B)</f>
        <v>Bear Kingdom</v>
      </c>
    </row>
    <row r="3530" ht="15.75" customHeight="1">
      <c r="A3530" s="1">
        <v>129.0</v>
      </c>
      <c r="B3530" s="1">
        <v>43.0</v>
      </c>
      <c r="C3530" s="1">
        <v>15.0</v>
      </c>
      <c r="D3530" s="1">
        <v>5.0</v>
      </c>
      <c r="F3530" s="1" t="str">
        <f>LOOKUP(A3530, NPCs!A:A, NPCs!C:C)</f>
        <v>Patrol Bear</v>
      </c>
      <c r="G3530" s="1" t="str">
        <f>LOOKUP(B3530, Maps!A:A, Maps!B:B)</f>
        <v>Bear Kingdom</v>
      </c>
    </row>
    <row r="3531" ht="15.75" customHeight="1">
      <c r="A3531" s="1">
        <v>129.0</v>
      </c>
      <c r="B3531" s="1">
        <v>43.0</v>
      </c>
      <c r="C3531" s="1">
        <v>20.0</v>
      </c>
      <c r="D3531" s="1">
        <v>5.0</v>
      </c>
      <c r="F3531" s="1" t="str">
        <f>LOOKUP(A3531, NPCs!A:A, NPCs!C:C)</f>
        <v>Patrol Bear</v>
      </c>
      <c r="G3531" s="1" t="str">
        <f>LOOKUP(B3531, Maps!A:A, Maps!B:B)</f>
        <v>Bear Kingdom</v>
      </c>
    </row>
    <row r="3532" ht="15.75" customHeight="1">
      <c r="A3532" s="1">
        <v>129.0</v>
      </c>
      <c r="B3532" s="1">
        <v>43.0</v>
      </c>
      <c r="C3532" s="1">
        <v>25.0</v>
      </c>
      <c r="D3532" s="1">
        <v>5.0</v>
      </c>
      <c r="F3532" s="1" t="str">
        <f>LOOKUP(A3532, NPCs!A:A, NPCs!C:C)</f>
        <v>Patrol Bear</v>
      </c>
      <c r="G3532" s="1" t="str">
        <f>LOOKUP(B3532, Maps!A:A, Maps!B:B)</f>
        <v>Bear Kingdom</v>
      </c>
    </row>
    <row r="3533" ht="15.75" customHeight="1">
      <c r="A3533" s="1">
        <v>129.0</v>
      </c>
      <c r="B3533" s="1">
        <v>43.0</v>
      </c>
      <c r="C3533" s="1">
        <v>30.0</v>
      </c>
      <c r="D3533" s="1">
        <v>5.0</v>
      </c>
      <c r="F3533" s="1" t="str">
        <f>LOOKUP(A3533, NPCs!A:A, NPCs!C:C)</f>
        <v>Patrol Bear</v>
      </c>
      <c r="G3533" s="1" t="str">
        <f>LOOKUP(B3533, Maps!A:A, Maps!B:B)</f>
        <v>Bear Kingdom</v>
      </c>
    </row>
    <row r="3534" ht="15.75" customHeight="1">
      <c r="A3534" s="1">
        <v>129.0</v>
      </c>
      <c r="B3534" s="1">
        <v>43.0</v>
      </c>
      <c r="C3534" s="1">
        <v>35.0</v>
      </c>
      <c r="D3534" s="1">
        <v>5.0</v>
      </c>
      <c r="F3534" s="1" t="str">
        <f>LOOKUP(A3534, NPCs!A:A, NPCs!C:C)</f>
        <v>Patrol Bear</v>
      </c>
      <c r="G3534" s="1" t="str">
        <f>LOOKUP(B3534, Maps!A:A, Maps!B:B)</f>
        <v>Bear Kingdom</v>
      </c>
    </row>
    <row r="3535" ht="15.75" customHeight="1">
      <c r="A3535" s="1">
        <v>129.0</v>
      </c>
      <c r="B3535" s="1">
        <v>43.0</v>
      </c>
      <c r="C3535" s="1">
        <v>40.0</v>
      </c>
      <c r="D3535" s="1">
        <v>5.0</v>
      </c>
      <c r="F3535" s="1" t="str">
        <f>LOOKUP(A3535, NPCs!A:A, NPCs!C:C)</f>
        <v>Patrol Bear</v>
      </c>
      <c r="G3535" s="1" t="str">
        <f>LOOKUP(B3535, Maps!A:A, Maps!B:B)</f>
        <v>Bear Kingdom</v>
      </c>
    </row>
    <row r="3536" ht="15.75" customHeight="1">
      <c r="A3536" s="1">
        <v>129.0</v>
      </c>
      <c r="B3536" s="1">
        <v>43.0</v>
      </c>
      <c r="C3536" s="1">
        <v>45.0</v>
      </c>
      <c r="D3536" s="1">
        <v>5.0</v>
      </c>
      <c r="F3536" s="1" t="str">
        <f>LOOKUP(A3536, NPCs!A:A, NPCs!C:C)</f>
        <v>Patrol Bear</v>
      </c>
      <c r="G3536" s="1" t="str">
        <f>LOOKUP(B3536, Maps!A:A, Maps!B:B)</f>
        <v>Bear Kingdom</v>
      </c>
    </row>
    <row r="3537" ht="15.75" customHeight="1">
      <c r="A3537" s="1">
        <v>129.0</v>
      </c>
      <c r="B3537" s="1">
        <v>43.0</v>
      </c>
      <c r="C3537" s="1">
        <v>50.0</v>
      </c>
      <c r="D3537" s="1">
        <v>5.0</v>
      </c>
      <c r="F3537" s="1" t="str">
        <f>LOOKUP(A3537, NPCs!A:A, NPCs!C:C)</f>
        <v>Patrol Bear</v>
      </c>
      <c r="G3537" s="1" t="str">
        <f>LOOKUP(B3537, Maps!A:A, Maps!B:B)</f>
        <v>Bear Kingdom</v>
      </c>
    </row>
    <row r="3538" ht="15.75" customHeight="1">
      <c r="A3538" s="1">
        <v>129.0</v>
      </c>
      <c r="B3538" s="1">
        <v>43.0</v>
      </c>
      <c r="C3538" s="1">
        <v>55.0</v>
      </c>
      <c r="D3538" s="1">
        <v>5.0</v>
      </c>
      <c r="F3538" s="1" t="str">
        <f>LOOKUP(A3538, NPCs!A:A, NPCs!C:C)</f>
        <v>Patrol Bear</v>
      </c>
      <c r="G3538" s="1" t="str">
        <f>LOOKUP(B3538, Maps!A:A, Maps!B:B)</f>
        <v>Bear Kingdom</v>
      </c>
    </row>
    <row r="3539" ht="15.75" customHeight="1">
      <c r="A3539" s="1">
        <v>129.0</v>
      </c>
      <c r="B3539" s="1">
        <v>43.0</v>
      </c>
      <c r="C3539" s="1">
        <v>60.0</v>
      </c>
      <c r="D3539" s="1">
        <v>5.0</v>
      </c>
      <c r="F3539" s="1" t="str">
        <f>LOOKUP(A3539, NPCs!A:A, NPCs!C:C)</f>
        <v>Patrol Bear</v>
      </c>
      <c r="G3539" s="1" t="str">
        <f>LOOKUP(B3539, Maps!A:A, Maps!B:B)</f>
        <v>Bear Kingdom</v>
      </c>
    </row>
    <row r="3540" ht="15.75" customHeight="1">
      <c r="A3540" s="1">
        <v>129.0</v>
      </c>
      <c r="B3540" s="1">
        <v>43.0</v>
      </c>
      <c r="C3540" s="1">
        <v>65.0</v>
      </c>
      <c r="D3540" s="1">
        <v>5.0</v>
      </c>
      <c r="F3540" s="1" t="str">
        <f>LOOKUP(A3540, NPCs!A:A, NPCs!C:C)</f>
        <v>Patrol Bear</v>
      </c>
      <c r="G3540" s="1" t="str">
        <f>LOOKUP(B3540, Maps!A:A, Maps!B:B)</f>
        <v>Bear Kingdom</v>
      </c>
    </row>
    <row r="3541" ht="15.75" customHeight="1">
      <c r="A3541" s="1">
        <v>129.0</v>
      </c>
      <c r="B3541" s="1">
        <v>43.0</v>
      </c>
      <c r="C3541" s="1">
        <v>75.0</v>
      </c>
      <c r="D3541" s="1">
        <v>5.0</v>
      </c>
      <c r="F3541" s="1" t="str">
        <f>LOOKUP(A3541, NPCs!A:A, NPCs!C:C)</f>
        <v>Patrol Bear</v>
      </c>
      <c r="G3541" s="1" t="str">
        <f>LOOKUP(B3541, Maps!A:A, Maps!B:B)</f>
        <v>Bear Kingdom</v>
      </c>
    </row>
    <row r="3542" ht="15.75" customHeight="1">
      <c r="A3542" s="1">
        <v>129.0</v>
      </c>
      <c r="B3542" s="1">
        <v>43.0</v>
      </c>
      <c r="C3542" s="1">
        <v>85.0</v>
      </c>
      <c r="D3542" s="1">
        <v>5.0</v>
      </c>
      <c r="F3542" s="1" t="str">
        <f>LOOKUP(A3542, NPCs!A:A, NPCs!C:C)</f>
        <v>Patrol Bear</v>
      </c>
      <c r="G3542" s="1" t="str">
        <f>LOOKUP(B3542, Maps!A:A, Maps!B:B)</f>
        <v>Bear Kingdom</v>
      </c>
    </row>
    <row r="3543" ht="15.75" customHeight="1">
      <c r="A3543" s="1">
        <v>129.0</v>
      </c>
      <c r="B3543" s="1">
        <v>43.0</v>
      </c>
      <c r="C3543" s="1">
        <v>95.0</v>
      </c>
      <c r="D3543" s="1">
        <v>5.0</v>
      </c>
      <c r="F3543" s="1" t="str">
        <f>LOOKUP(A3543, NPCs!A:A, NPCs!C:C)</f>
        <v>Patrol Bear</v>
      </c>
      <c r="G3543" s="1" t="str">
        <f>LOOKUP(B3543, Maps!A:A, Maps!B:B)</f>
        <v>Bear Kingdom</v>
      </c>
    </row>
    <row r="3544" ht="15.75" customHeight="1">
      <c r="A3544" s="1">
        <v>129.0</v>
      </c>
      <c r="B3544" s="1">
        <v>43.0</v>
      </c>
      <c r="C3544" s="1">
        <v>5.0</v>
      </c>
      <c r="D3544" s="1">
        <v>10.0</v>
      </c>
      <c r="F3544" s="1" t="str">
        <f>LOOKUP(A3544, NPCs!A:A, NPCs!C:C)</f>
        <v>Patrol Bear</v>
      </c>
      <c r="G3544" s="1" t="str">
        <f>LOOKUP(B3544, Maps!A:A, Maps!B:B)</f>
        <v>Bear Kingdom</v>
      </c>
    </row>
    <row r="3545" ht="15.75" customHeight="1">
      <c r="A3545" s="1">
        <v>129.0</v>
      </c>
      <c r="B3545" s="1">
        <v>43.0</v>
      </c>
      <c r="C3545" s="1">
        <v>15.0</v>
      </c>
      <c r="D3545" s="1">
        <v>10.0</v>
      </c>
      <c r="F3545" s="1" t="str">
        <f>LOOKUP(A3545, NPCs!A:A, NPCs!C:C)</f>
        <v>Patrol Bear</v>
      </c>
      <c r="G3545" s="1" t="str">
        <f>LOOKUP(B3545, Maps!A:A, Maps!B:B)</f>
        <v>Bear Kingdom</v>
      </c>
    </row>
    <row r="3546" ht="15.75" customHeight="1">
      <c r="A3546" s="1">
        <v>129.0</v>
      </c>
      <c r="B3546" s="1">
        <v>43.0</v>
      </c>
      <c r="C3546" s="1">
        <v>25.0</v>
      </c>
      <c r="D3546" s="1">
        <v>10.0</v>
      </c>
      <c r="F3546" s="1" t="str">
        <f>LOOKUP(A3546, NPCs!A:A, NPCs!C:C)</f>
        <v>Patrol Bear</v>
      </c>
      <c r="G3546" s="1" t="str">
        <f>LOOKUP(B3546, Maps!A:A, Maps!B:B)</f>
        <v>Bear Kingdom</v>
      </c>
    </row>
    <row r="3547" ht="15.75" customHeight="1">
      <c r="A3547" s="1">
        <v>129.0</v>
      </c>
      <c r="B3547" s="1">
        <v>43.0</v>
      </c>
      <c r="C3547" s="1">
        <v>35.0</v>
      </c>
      <c r="D3547" s="1">
        <v>10.0</v>
      </c>
      <c r="F3547" s="1" t="str">
        <f>LOOKUP(A3547, NPCs!A:A, NPCs!C:C)</f>
        <v>Patrol Bear</v>
      </c>
      <c r="G3547" s="1" t="str">
        <f>LOOKUP(B3547, Maps!A:A, Maps!B:B)</f>
        <v>Bear Kingdom</v>
      </c>
    </row>
    <row r="3548" ht="15.75" customHeight="1">
      <c r="A3548" s="1">
        <v>129.0</v>
      </c>
      <c r="B3548" s="1">
        <v>43.0</v>
      </c>
      <c r="C3548" s="1">
        <v>40.0</v>
      </c>
      <c r="D3548" s="1">
        <v>10.0</v>
      </c>
      <c r="F3548" s="1" t="str">
        <f>LOOKUP(A3548, NPCs!A:A, NPCs!C:C)</f>
        <v>Patrol Bear</v>
      </c>
      <c r="G3548" s="1" t="str">
        <f>LOOKUP(B3548, Maps!A:A, Maps!B:B)</f>
        <v>Bear Kingdom</v>
      </c>
    </row>
    <row r="3549" ht="15.75" customHeight="1">
      <c r="A3549" s="1">
        <v>129.0</v>
      </c>
      <c r="B3549" s="1">
        <v>43.0</v>
      </c>
      <c r="C3549" s="1">
        <v>50.0</v>
      </c>
      <c r="D3549" s="1">
        <v>10.0</v>
      </c>
      <c r="F3549" s="1" t="str">
        <f>LOOKUP(A3549, NPCs!A:A, NPCs!C:C)</f>
        <v>Patrol Bear</v>
      </c>
      <c r="G3549" s="1" t="str">
        <f>LOOKUP(B3549, Maps!A:A, Maps!B:B)</f>
        <v>Bear Kingdom</v>
      </c>
    </row>
    <row r="3550" ht="15.75" customHeight="1">
      <c r="A3550" s="1">
        <v>129.0</v>
      </c>
      <c r="B3550" s="1">
        <v>43.0</v>
      </c>
      <c r="C3550" s="1">
        <v>55.0</v>
      </c>
      <c r="D3550" s="1">
        <v>10.0</v>
      </c>
      <c r="F3550" s="1" t="str">
        <f>LOOKUP(A3550, NPCs!A:A, NPCs!C:C)</f>
        <v>Patrol Bear</v>
      </c>
      <c r="G3550" s="1" t="str">
        <f>LOOKUP(B3550, Maps!A:A, Maps!B:B)</f>
        <v>Bear Kingdom</v>
      </c>
    </row>
    <row r="3551" ht="15.75" customHeight="1">
      <c r="A3551" s="1">
        <v>129.0</v>
      </c>
      <c r="B3551" s="1">
        <v>43.0</v>
      </c>
      <c r="C3551" s="1">
        <v>60.0</v>
      </c>
      <c r="D3551" s="1">
        <v>10.0</v>
      </c>
      <c r="F3551" s="1" t="str">
        <f>LOOKUP(A3551, NPCs!A:A, NPCs!C:C)</f>
        <v>Patrol Bear</v>
      </c>
      <c r="G3551" s="1" t="str">
        <f>LOOKUP(B3551, Maps!A:A, Maps!B:B)</f>
        <v>Bear Kingdom</v>
      </c>
    </row>
    <row r="3552" ht="15.75" customHeight="1">
      <c r="A3552" s="1">
        <v>129.0</v>
      </c>
      <c r="B3552" s="1">
        <v>43.0</v>
      </c>
      <c r="C3552" s="1">
        <v>65.0</v>
      </c>
      <c r="D3552" s="1">
        <v>10.0</v>
      </c>
      <c r="F3552" s="1" t="str">
        <f>LOOKUP(A3552, NPCs!A:A, NPCs!C:C)</f>
        <v>Patrol Bear</v>
      </c>
      <c r="G3552" s="1" t="str">
        <f>LOOKUP(B3552, Maps!A:A, Maps!B:B)</f>
        <v>Bear Kingdom</v>
      </c>
    </row>
    <row r="3553" ht="15.75" customHeight="1">
      <c r="A3553" s="1">
        <v>129.0</v>
      </c>
      <c r="B3553" s="1">
        <v>43.0</v>
      </c>
      <c r="C3553" s="1">
        <v>70.0</v>
      </c>
      <c r="D3553" s="1">
        <v>10.0</v>
      </c>
      <c r="F3553" s="1" t="str">
        <f>LOOKUP(A3553, NPCs!A:A, NPCs!C:C)</f>
        <v>Patrol Bear</v>
      </c>
      <c r="G3553" s="1" t="str">
        <f>LOOKUP(B3553, Maps!A:A, Maps!B:B)</f>
        <v>Bear Kingdom</v>
      </c>
    </row>
    <row r="3554" ht="15.75" customHeight="1">
      <c r="A3554" s="1">
        <v>129.0</v>
      </c>
      <c r="B3554" s="1">
        <v>43.0</v>
      </c>
      <c r="C3554" s="1">
        <v>75.0</v>
      </c>
      <c r="D3554" s="1">
        <v>10.0</v>
      </c>
      <c r="F3554" s="1" t="str">
        <f>LOOKUP(A3554, NPCs!A:A, NPCs!C:C)</f>
        <v>Patrol Bear</v>
      </c>
      <c r="G3554" s="1" t="str">
        <f>LOOKUP(B3554, Maps!A:A, Maps!B:B)</f>
        <v>Bear Kingdom</v>
      </c>
    </row>
    <row r="3555" ht="15.75" customHeight="1">
      <c r="A3555" s="1">
        <v>129.0</v>
      </c>
      <c r="B3555" s="1">
        <v>43.0</v>
      </c>
      <c r="C3555" s="1">
        <v>80.0</v>
      </c>
      <c r="D3555" s="1">
        <v>10.0</v>
      </c>
      <c r="F3555" s="1" t="str">
        <f>LOOKUP(A3555, NPCs!A:A, NPCs!C:C)</f>
        <v>Patrol Bear</v>
      </c>
      <c r="G3555" s="1" t="str">
        <f>LOOKUP(B3555, Maps!A:A, Maps!B:B)</f>
        <v>Bear Kingdom</v>
      </c>
    </row>
    <row r="3556" ht="15.75" customHeight="1">
      <c r="A3556" s="1">
        <v>129.0</v>
      </c>
      <c r="B3556" s="1">
        <v>43.0</v>
      </c>
      <c r="C3556" s="1">
        <v>85.0</v>
      </c>
      <c r="D3556" s="1">
        <v>10.0</v>
      </c>
      <c r="F3556" s="1" t="str">
        <f>LOOKUP(A3556, NPCs!A:A, NPCs!C:C)</f>
        <v>Patrol Bear</v>
      </c>
      <c r="G3556" s="1" t="str">
        <f>LOOKUP(B3556, Maps!A:A, Maps!B:B)</f>
        <v>Bear Kingdom</v>
      </c>
    </row>
    <row r="3557" ht="15.75" customHeight="1">
      <c r="A3557" s="1">
        <v>129.0</v>
      </c>
      <c r="B3557" s="1">
        <v>43.0</v>
      </c>
      <c r="C3557" s="1">
        <v>90.0</v>
      </c>
      <c r="D3557" s="1">
        <v>10.0</v>
      </c>
      <c r="F3557" s="1" t="str">
        <f>LOOKUP(A3557, NPCs!A:A, NPCs!C:C)</f>
        <v>Patrol Bear</v>
      </c>
      <c r="G3557" s="1" t="str">
        <f>LOOKUP(B3557, Maps!A:A, Maps!B:B)</f>
        <v>Bear Kingdom</v>
      </c>
    </row>
    <row r="3558" ht="15.75" customHeight="1">
      <c r="A3558" s="1">
        <v>129.0</v>
      </c>
      <c r="B3558" s="1">
        <v>43.0</v>
      </c>
      <c r="C3558" s="1">
        <v>95.0</v>
      </c>
      <c r="D3558" s="1">
        <v>10.0</v>
      </c>
      <c r="F3558" s="1" t="str">
        <f>LOOKUP(A3558, NPCs!A:A, NPCs!C:C)</f>
        <v>Patrol Bear</v>
      </c>
      <c r="G3558" s="1" t="str">
        <f>LOOKUP(B3558, Maps!A:A, Maps!B:B)</f>
        <v>Bear Kingdom</v>
      </c>
    </row>
    <row r="3559" ht="15.75" customHeight="1">
      <c r="A3559" s="1">
        <v>129.0</v>
      </c>
      <c r="B3559" s="1">
        <v>43.0</v>
      </c>
      <c r="C3559" s="1">
        <v>5.0</v>
      </c>
      <c r="D3559" s="1">
        <v>15.0</v>
      </c>
      <c r="F3559" s="1" t="str">
        <f>LOOKUP(A3559, NPCs!A:A, NPCs!C:C)</f>
        <v>Patrol Bear</v>
      </c>
      <c r="G3559" s="1" t="str">
        <f>LOOKUP(B3559, Maps!A:A, Maps!B:B)</f>
        <v>Bear Kingdom</v>
      </c>
    </row>
    <row r="3560" ht="15.75" customHeight="1">
      <c r="A3560" s="1">
        <v>129.0</v>
      </c>
      <c r="B3560" s="1">
        <v>43.0</v>
      </c>
      <c r="C3560" s="1">
        <v>10.0</v>
      </c>
      <c r="D3560" s="1">
        <v>15.0</v>
      </c>
      <c r="F3560" s="1" t="str">
        <f>LOOKUP(A3560, NPCs!A:A, NPCs!C:C)</f>
        <v>Patrol Bear</v>
      </c>
      <c r="G3560" s="1" t="str">
        <f>LOOKUP(B3560, Maps!A:A, Maps!B:B)</f>
        <v>Bear Kingdom</v>
      </c>
    </row>
    <row r="3561" ht="15.75" customHeight="1">
      <c r="A3561" s="1">
        <v>129.0</v>
      </c>
      <c r="B3561" s="1">
        <v>43.0</v>
      </c>
      <c r="C3561" s="1">
        <v>15.0</v>
      </c>
      <c r="D3561" s="1">
        <v>15.0</v>
      </c>
      <c r="F3561" s="1" t="str">
        <f>LOOKUP(A3561, NPCs!A:A, NPCs!C:C)</f>
        <v>Patrol Bear</v>
      </c>
      <c r="G3561" s="1" t="str">
        <f>LOOKUP(B3561, Maps!A:A, Maps!B:B)</f>
        <v>Bear Kingdom</v>
      </c>
    </row>
    <row r="3562" ht="15.75" customHeight="1">
      <c r="A3562" s="1">
        <v>129.0</v>
      </c>
      <c r="B3562" s="1">
        <v>43.0</v>
      </c>
      <c r="C3562" s="1">
        <v>20.0</v>
      </c>
      <c r="D3562" s="1">
        <v>15.0</v>
      </c>
      <c r="F3562" s="1" t="str">
        <f>LOOKUP(A3562, NPCs!A:A, NPCs!C:C)</f>
        <v>Patrol Bear</v>
      </c>
      <c r="G3562" s="1" t="str">
        <f>LOOKUP(B3562, Maps!A:A, Maps!B:B)</f>
        <v>Bear Kingdom</v>
      </c>
    </row>
    <row r="3563" ht="15.75" customHeight="1">
      <c r="A3563" s="1">
        <v>129.0</v>
      </c>
      <c r="B3563" s="1">
        <v>43.0</v>
      </c>
      <c r="C3563" s="1">
        <v>25.0</v>
      </c>
      <c r="D3563" s="1">
        <v>15.0</v>
      </c>
      <c r="F3563" s="1" t="str">
        <f>LOOKUP(A3563, NPCs!A:A, NPCs!C:C)</f>
        <v>Patrol Bear</v>
      </c>
      <c r="G3563" s="1" t="str">
        <f>LOOKUP(B3563, Maps!A:A, Maps!B:B)</f>
        <v>Bear Kingdom</v>
      </c>
    </row>
    <row r="3564" ht="15.75" customHeight="1">
      <c r="A3564" s="1">
        <v>129.0</v>
      </c>
      <c r="B3564" s="1">
        <v>43.0</v>
      </c>
      <c r="C3564" s="1">
        <v>30.0</v>
      </c>
      <c r="D3564" s="1">
        <v>15.0</v>
      </c>
      <c r="F3564" s="1" t="str">
        <f>LOOKUP(A3564, NPCs!A:A, NPCs!C:C)</f>
        <v>Patrol Bear</v>
      </c>
      <c r="G3564" s="1" t="str">
        <f>LOOKUP(B3564, Maps!A:A, Maps!B:B)</f>
        <v>Bear Kingdom</v>
      </c>
    </row>
    <row r="3565" ht="15.75" customHeight="1">
      <c r="A3565" s="1">
        <v>129.0</v>
      </c>
      <c r="B3565" s="1">
        <v>43.0</v>
      </c>
      <c r="C3565" s="1">
        <v>35.0</v>
      </c>
      <c r="D3565" s="1">
        <v>15.0</v>
      </c>
      <c r="F3565" s="1" t="str">
        <f>LOOKUP(A3565, NPCs!A:A, NPCs!C:C)</f>
        <v>Patrol Bear</v>
      </c>
      <c r="G3565" s="1" t="str">
        <f>LOOKUP(B3565, Maps!A:A, Maps!B:B)</f>
        <v>Bear Kingdom</v>
      </c>
    </row>
    <row r="3566" ht="15.75" customHeight="1">
      <c r="A3566" s="1">
        <v>129.0</v>
      </c>
      <c r="B3566" s="1">
        <v>43.0</v>
      </c>
      <c r="C3566" s="1">
        <v>40.0</v>
      </c>
      <c r="D3566" s="1">
        <v>15.0</v>
      </c>
      <c r="F3566" s="1" t="str">
        <f>LOOKUP(A3566, NPCs!A:A, NPCs!C:C)</f>
        <v>Patrol Bear</v>
      </c>
      <c r="G3566" s="1" t="str">
        <f>LOOKUP(B3566, Maps!A:A, Maps!B:B)</f>
        <v>Bear Kingdom</v>
      </c>
    </row>
    <row r="3567" ht="15.75" customHeight="1">
      <c r="A3567" s="1">
        <v>129.0</v>
      </c>
      <c r="B3567" s="1">
        <v>43.0</v>
      </c>
      <c r="C3567" s="1">
        <v>45.0</v>
      </c>
      <c r="D3567" s="1">
        <v>15.0</v>
      </c>
      <c r="F3567" s="1" t="str">
        <f>LOOKUP(A3567, NPCs!A:A, NPCs!C:C)</f>
        <v>Patrol Bear</v>
      </c>
      <c r="G3567" s="1" t="str">
        <f>LOOKUP(B3567, Maps!A:A, Maps!B:B)</f>
        <v>Bear Kingdom</v>
      </c>
    </row>
    <row r="3568" ht="15.75" customHeight="1">
      <c r="A3568" s="1">
        <v>129.0</v>
      </c>
      <c r="B3568" s="1">
        <v>43.0</v>
      </c>
      <c r="C3568" s="1">
        <v>50.0</v>
      </c>
      <c r="D3568" s="1">
        <v>15.0</v>
      </c>
      <c r="F3568" s="1" t="str">
        <f>LOOKUP(A3568, NPCs!A:A, NPCs!C:C)</f>
        <v>Patrol Bear</v>
      </c>
      <c r="G3568" s="1" t="str">
        <f>LOOKUP(B3568, Maps!A:A, Maps!B:B)</f>
        <v>Bear Kingdom</v>
      </c>
    </row>
    <row r="3569" ht="15.75" customHeight="1">
      <c r="A3569" s="1">
        <v>129.0</v>
      </c>
      <c r="B3569" s="1">
        <v>43.0</v>
      </c>
      <c r="C3569" s="1">
        <v>55.0</v>
      </c>
      <c r="D3569" s="1">
        <v>15.0</v>
      </c>
      <c r="F3569" s="1" t="str">
        <f>LOOKUP(A3569, NPCs!A:A, NPCs!C:C)</f>
        <v>Patrol Bear</v>
      </c>
      <c r="G3569" s="1" t="str">
        <f>LOOKUP(B3569, Maps!A:A, Maps!B:B)</f>
        <v>Bear Kingdom</v>
      </c>
    </row>
    <row r="3570" ht="15.75" customHeight="1">
      <c r="A3570" s="1">
        <v>129.0</v>
      </c>
      <c r="B3570" s="1">
        <v>43.0</v>
      </c>
      <c r="C3570" s="1">
        <v>60.0</v>
      </c>
      <c r="D3570" s="1">
        <v>15.0</v>
      </c>
      <c r="F3570" s="1" t="str">
        <f>LOOKUP(A3570, NPCs!A:A, NPCs!C:C)</f>
        <v>Patrol Bear</v>
      </c>
      <c r="G3570" s="1" t="str">
        <f>LOOKUP(B3570, Maps!A:A, Maps!B:B)</f>
        <v>Bear Kingdom</v>
      </c>
    </row>
    <row r="3571" ht="15.75" customHeight="1">
      <c r="A3571" s="1">
        <v>129.0</v>
      </c>
      <c r="B3571" s="1">
        <v>43.0</v>
      </c>
      <c r="C3571" s="1">
        <v>65.0</v>
      </c>
      <c r="D3571" s="1">
        <v>15.0</v>
      </c>
      <c r="F3571" s="1" t="str">
        <f>LOOKUP(A3571, NPCs!A:A, NPCs!C:C)</f>
        <v>Patrol Bear</v>
      </c>
      <c r="G3571" s="1" t="str">
        <f>LOOKUP(B3571, Maps!A:A, Maps!B:B)</f>
        <v>Bear Kingdom</v>
      </c>
    </row>
    <row r="3572" ht="15.75" customHeight="1">
      <c r="A3572" s="1">
        <v>129.0</v>
      </c>
      <c r="B3572" s="1">
        <v>43.0</v>
      </c>
      <c r="C3572" s="1">
        <v>75.0</v>
      </c>
      <c r="D3572" s="1">
        <v>15.0</v>
      </c>
      <c r="F3572" s="1" t="str">
        <f>LOOKUP(A3572, NPCs!A:A, NPCs!C:C)</f>
        <v>Patrol Bear</v>
      </c>
      <c r="G3572" s="1" t="str">
        <f>LOOKUP(B3572, Maps!A:A, Maps!B:B)</f>
        <v>Bear Kingdom</v>
      </c>
    </row>
    <row r="3573" ht="15.75" customHeight="1">
      <c r="A3573" s="1">
        <v>129.0</v>
      </c>
      <c r="B3573" s="1">
        <v>43.0</v>
      </c>
      <c r="C3573" s="1">
        <v>85.0</v>
      </c>
      <c r="D3573" s="1">
        <v>15.0</v>
      </c>
      <c r="F3573" s="1" t="str">
        <f>LOOKUP(A3573, NPCs!A:A, NPCs!C:C)</f>
        <v>Patrol Bear</v>
      </c>
      <c r="G3573" s="1" t="str">
        <f>LOOKUP(B3573, Maps!A:A, Maps!B:B)</f>
        <v>Bear Kingdom</v>
      </c>
    </row>
    <row r="3574" ht="15.75" customHeight="1">
      <c r="A3574" s="1">
        <v>129.0</v>
      </c>
      <c r="B3574" s="1">
        <v>43.0</v>
      </c>
      <c r="C3574" s="1">
        <v>95.0</v>
      </c>
      <c r="D3574" s="1">
        <v>15.0</v>
      </c>
      <c r="F3574" s="1" t="str">
        <f>LOOKUP(A3574, NPCs!A:A, NPCs!C:C)</f>
        <v>Patrol Bear</v>
      </c>
      <c r="G3574" s="1" t="str">
        <f>LOOKUP(B3574, Maps!A:A, Maps!B:B)</f>
        <v>Bear Kingdom</v>
      </c>
    </row>
    <row r="3575" ht="15.75" customHeight="1">
      <c r="A3575" s="1">
        <v>129.0</v>
      </c>
      <c r="B3575" s="1">
        <v>43.0</v>
      </c>
      <c r="C3575" s="1">
        <v>5.0</v>
      </c>
      <c r="D3575" s="1">
        <v>20.0</v>
      </c>
      <c r="F3575" s="1" t="str">
        <f>LOOKUP(A3575, NPCs!A:A, NPCs!C:C)</f>
        <v>Patrol Bear</v>
      </c>
      <c r="G3575" s="1" t="str">
        <f>LOOKUP(B3575, Maps!A:A, Maps!B:B)</f>
        <v>Bear Kingdom</v>
      </c>
    </row>
    <row r="3576" ht="15.75" customHeight="1">
      <c r="A3576" s="1">
        <v>129.0</v>
      </c>
      <c r="B3576" s="1">
        <v>43.0</v>
      </c>
      <c r="C3576" s="1">
        <v>15.0</v>
      </c>
      <c r="D3576" s="1">
        <v>20.0</v>
      </c>
      <c r="F3576" s="1" t="str">
        <f>LOOKUP(A3576, NPCs!A:A, NPCs!C:C)</f>
        <v>Patrol Bear</v>
      </c>
      <c r="G3576" s="1" t="str">
        <f>LOOKUP(B3576, Maps!A:A, Maps!B:B)</f>
        <v>Bear Kingdom</v>
      </c>
    </row>
    <row r="3577" ht="15.75" customHeight="1">
      <c r="A3577" s="1">
        <v>129.0</v>
      </c>
      <c r="B3577" s="1">
        <v>43.0</v>
      </c>
      <c r="C3577" s="1">
        <v>25.0</v>
      </c>
      <c r="D3577" s="1">
        <v>20.0</v>
      </c>
      <c r="F3577" s="1" t="str">
        <f>LOOKUP(A3577, NPCs!A:A, NPCs!C:C)</f>
        <v>Patrol Bear</v>
      </c>
      <c r="G3577" s="1" t="str">
        <f>LOOKUP(B3577, Maps!A:A, Maps!B:B)</f>
        <v>Bear Kingdom</v>
      </c>
    </row>
    <row r="3578" ht="15.75" customHeight="1">
      <c r="A3578" s="1">
        <v>129.0</v>
      </c>
      <c r="B3578" s="1">
        <v>43.0</v>
      </c>
      <c r="C3578" s="1">
        <v>35.0</v>
      </c>
      <c r="D3578" s="1">
        <v>20.0</v>
      </c>
      <c r="F3578" s="1" t="str">
        <f>LOOKUP(A3578, NPCs!A:A, NPCs!C:C)</f>
        <v>Patrol Bear</v>
      </c>
      <c r="G3578" s="1" t="str">
        <f>LOOKUP(B3578, Maps!A:A, Maps!B:B)</f>
        <v>Bear Kingdom</v>
      </c>
    </row>
    <row r="3579" ht="15.75" customHeight="1">
      <c r="A3579" s="1">
        <v>129.0</v>
      </c>
      <c r="B3579" s="1">
        <v>43.0</v>
      </c>
      <c r="C3579" s="1">
        <v>40.0</v>
      </c>
      <c r="D3579" s="1">
        <v>20.0</v>
      </c>
      <c r="F3579" s="1" t="str">
        <f>LOOKUP(A3579, NPCs!A:A, NPCs!C:C)</f>
        <v>Patrol Bear</v>
      </c>
      <c r="G3579" s="1" t="str">
        <f>LOOKUP(B3579, Maps!A:A, Maps!B:B)</f>
        <v>Bear Kingdom</v>
      </c>
    </row>
    <row r="3580" ht="15.75" customHeight="1">
      <c r="A3580" s="1">
        <v>129.0</v>
      </c>
      <c r="B3580" s="1">
        <v>43.0</v>
      </c>
      <c r="C3580" s="1">
        <v>50.0</v>
      </c>
      <c r="D3580" s="1">
        <v>20.0</v>
      </c>
      <c r="F3580" s="1" t="str">
        <f>LOOKUP(A3580, NPCs!A:A, NPCs!C:C)</f>
        <v>Patrol Bear</v>
      </c>
      <c r="G3580" s="1" t="str">
        <f>LOOKUP(B3580, Maps!A:A, Maps!B:B)</f>
        <v>Bear Kingdom</v>
      </c>
    </row>
    <row r="3581" ht="15.75" customHeight="1">
      <c r="A3581" s="1">
        <v>129.0</v>
      </c>
      <c r="B3581" s="1">
        <v>43.0</v>
      </c>
      <c r="C3581" s="1">
        <v>55.0</v>
      </c>
      <c r="D3581" s="1">
        <v>20.0</v>
      </c>
      <c r="F3581" s="1" t="str">
        <f>LOOKUP(A3581, NPCs!A:A, NPCs!C:C)</f>
        <v>Patrol Bear</v>
      </c>
      <c r="G3581" s="1" t="str">
        <f>LOOKUP(B3581, Maps!A:A, Maps!B:B)</f>
        <v>Bear Kingdom</v>
      </c>
    </row>
    <row r="3582" ht="15.75" customHeight="1">
      <c r="A3582" s="1">
        <v>129.0</v>
      </c>
      <c r="B3582" s="1">
        <v>43.0</v>
      </c>
      <c r="C3582" s="1">
        <v>60.0</v>
      </c>
      <c r="D3582" s="1">
        <v>20.0</v>
      </c>
      <c r="F3582" s="1" t="str">
        <f>LOOKUP(A3582, NPCs!A:A, NPCs!C:C)</f>
        <v>Patrol Bear</v>
      </c>
      <c r="G3582" s="1" t="str">
        <f>LOOKUP(B3582, Maps!A:A, Maps!B:B)</f>
        <v>Bear Kingdom</v>
      </c>
    </row>
    <row r="3583" ht="15.75" customHeight="1">
      <c r="A3583" s="1">
        <v>129.0</v>
      </c>
      <c r="B3583" s="1">
        <v>43.0</v>
      </c>
      <c r="C3583" s="1">
        <v>65.0</v>
      </c>
      <c r="D3583" s="1">
        <v>20.0</v>
      </c>
      <c r="F3583" s="1" t="str">
        <f>LOOKUP(A3583, NPCs!A:A, NPCs!C:C)</f>
        <v>Patrol Bear</v>
      </c>
      <c r="G3583" s="1" t="str">
        <f>LOOKUP(B3583, Maps!A:A, Maps!B:B)</f>
        <v>Bear Kingdom</v>
      </c>
    </row>
    <row r="3584" ht="15.75" customHeight="1">
      <c r="A3584" s="1">
        <v>129.0</v>
      </c>
      <c r="B3584" s="1">
        <v>43.0</v>
      </c>
      <c r="C3584" s="1">
        <v>70.0</v>
      </c>
      <c r="D3584" s="1">
        <v>20.0</v>
      </c>
      <c r="F3584" s="1" t="str">
        <f>LOOKUP(A3584, NPCs!A:A, NPCs!C:C)</f>
        <v>Patrol Bear</v>
      </c>
      <c r="G3584" s="1" t="str">
        <f>LOOKUP(B3584, Maps!A:A, Maps!B:B)</f>
        <v>Bear Kingdom</v>
      </c>
    </row>
    <row r="3585" ht="15.75" customHeight="1">
      <c r="A3585" s="1">
        <v>129.0</v>
      </c>
      <c r="B3585" s="1">
        <v>43.0</v>
      </c>
      <c r="C3585" s="1">
        <v>75.0</v>
      </c>
      <c r="D3585" s="1">
        <v>20.0</v>
      </c>
      <c r="F3585" s="1" t="str">
        <f>LOOKUP(A3585, NPCs!A:A, NPCs!C:C)</f>
        <v>Patrol Bear</v>
      </c>
      <c r="G3585" s="1" t="str">
        <f>LOOKUP(B3585, Maps!A:A, Maps!B:B)</f>
        <v>Bear Kingdom</v>
      </c>
    </row>
    <row r="3586" ht="15.75" customHeight="1">
      <c r="A3586" s="1">
        <v>129.0</v>
      </c>
      <c r="B3586" s="1">
        <v>43.0</v>
      </c>
      <c r="C3586" s="1">
        <v>80.0</v>
      </c>
      <c r="D3586" s="1">
        <v>20.0</v>
      </c>
      <c r="F3586" s="1" t="str">
        <f>LOOKUP(A3586, NPCs!A:A, NPCs!C:C)</f>
        <v>Patrol Bear</v>
      </c>
      <c r="G3586" s="1" t="str">
        <f>LOOKUP(B3586, Maps!A:A, Maps!B:B)</f>
        <v>Bear Kingdom</v>
      </c>
    </row>
    <row r="3587" ht="15.75" customHeight="1">
      <c r="A3587" s="1">
        <v>129.0</v>
      </c>
      <c r="B3587" s="1">
        <v>43.0</v>
      </c>
      <c r="C3587" s="1">
        <v>85.0</v>
      </c>
      <c r="D3587" s="1">
        <v>20.0</v>
      </c>
      <c r="F3587" s="1" t="str">
        <f>LOOKUP(A3587, NPCs!A:A, NPCs!C:C)</f>
        <v>Patrol Bear</v>
      </c>
      <c r="G3587" s="1" t="str">
        <f>LOOKUP(B3587, Maps!A:A, Maps!B:B)</f>
        <v>Bear Kingdom</v>
      </c>
    </row>
    <row r="3588" ht="15.75" customHeight="1">
      <c r="A3588" s="1">
        <v>129.0</v>
      </c>
      <c r="B3588" s="1">
        <v>43.0</v>
      </c>
      <c r="C3588" s="1">
        <v>90.0</v>
      </c>
      <c r="D3588" s="1">
        <v>20.0</v>
      </c>
      <c r="F3588" s="1" t="str">
        <f>LOOKUP(A3588, NPCs!A:A, NPCs!C:C)</f>
        <v>Patrol Bear</v>
      </c>
      <c r="G3588" s="1" t="str">
        <f>LOOKUP(B3588, Maps!A:A, Maps!B:B)</f>
        <v>Bear Kingdom</v>
      </c>
    </row>
    <row r="3589" ht="15.75" customHeight="1">
      <c r="A3589" s="1">
        <v>129.0</v>
      </c>
      <c r="B3589" s="1">
        <v>43.0</v>
      </c>
      <c r="C3589" s="1">
        <v>95.0</v>
      </c>
      <c r="D3589" s="1">
        <v>20.0</v>
      </c>
      <c r="F3589" s="1" t="str">
        <f>LOOKUP(A3589, NPCs!A:A, NPCs!C:C)</f>
        <v>Patrol Bear</v>
      </c>
      <c r="G3589" s="1" t="str">
        <f>LOOKUP(B3589, Maps!A:A, Maps!B:B)</f>
        <v>Bear Kingdom</v>
      </c>
    </row>
    <row r="3590" ht="15.75" customHeight="1">
      <c r="A3590" s="1">
        <v>129.0</v>
      </c>
      <c r="B3590" s="1">
        <v>43.0</v>
      </c>
      <c r="C3590" s="1">
        <v>5.0</v>
      </c>
      <c r="D3590" s="1">
        <v>35.0</v>
      </c>
      <c r="F3590" s="1" t="str">
        <f>LOOKUP(A3590, NPCs!A:A, NPCs!C:C)</f>
        <v>Patrol Bear</v>
      </c>
      <c r="G3590" s="1" t="str">
        <f>LOOKUP(B3590, Maps!A:A, Maps!B:B)</f>
        <v>Bear Kingdom</v>
      </c>
    </row>
    <row r="3591" ht="15.75" customHeight="1">
      <c r="A3591" s="1">
        <v>129.0</v>
      </c>
      <c r="B3591" s="1">
        <v>43.0</v>
      </c>
      <c r="C3591" s="1">
        <v>10.0</v>
      </c>
      <c r="D3591" s="1">
        <v>35.0</v>
      </c>
      <c r="F3591" s="1" t="str">
        <f>LOOKUP(A3591, NPCs!A:A, NPCs!C:C)</f>
        <v>Patrol Bear</v>
      </c>
      <c r="G3591" s="1" t="str">
        <f>LOOKUP(B3591, Maps!A:A, Maps!B:B)</f>
        <v>Bear Kingdom</v>
      </c>
    </row>
    <row r="3592" ht="15.75" customHeight="1">
      <c r="A3592" s="1">
        <v>129.0</v>
      </c>
      <c r="B3592" s="1">
        <v>43.0</v>
      </c>
      <c r="C3592" s="1">
        <v>15.0</v>
      </c>
      <c r="D3592" s="1">
        <v>35.0</v>
      </c>
      <c r="F3592" s="1" t="str">
        <f>LOOKUP(A3592, NPCs!A:A, NPCs!C:C)</f>
        <v>Patrol Bear</v>
      </c>
      <c r="G3592" s="1" t="str">
        <f>LOOKUP(B3592, Maps!A:A, Maps!B:B)</f>
        <v>Bear Kingdom</v>
      </c>
    </row>
    <row r="3593" ht="15.75" customHeight="1">
      <c r="A3593" s="1">
        <v>129.0</v>
      </c>
      <c r="B3593" s="1">
        <v>43.0</v>
      </c>
      <c r="C3593" s="1">
        <v>20.0</v>
      </c>
      <c r="D3593" s="1">
        <v>35.0</v>
      </c>
      <c r="F3593" s="1" t="str">
        <f>LOOKUP(A3593, NPCs!A:A, NPCs!C:C)</f>
        <v>Patrol Bear</v>
      </c>
      <c r="G3593" s="1" t="str">
        <f>LOOKUP(B3593, Maps!A:A, Maps!B:B)</f>
        <v>Bear Kingdom</v>
      </c>
    </row>
    <row r="3594" ht="15.75" customHeight="1">
      <c r="A3594" s="1">
        <v>129.0</v>
      </c>
      <c r="B3594" s="1">
        <v>43.0</v>
      </c>
      <c r="C3594" s="1">
        <v>25.0</v>
      </c>
      <c r="D3594" s="1">
        <v>35.0</v>
      </c>
      <c r="F3594" s="1" t="str">
        <f>LOOKUP(A3594, NPCs!A:A, NPCs!C:C)</f>
        <v>Patrol Bear</v>
      </c>
      <c r="G3594" s="1" t="str">
        <f>LOOKUP(B3594, Maps!A:A, Maps!B:B)</f>
        <v>Bear Kingdom</v>
      </c>
    </row>
    <row r="3595" ht="15.75" customHeight="1">
      <c r="A3595" s="1">
        <v>129.0</v>
      </c>
      <c r="B3595" s="1">
        <v>43.0</v>
      </c>
      <c r="C3595" s="1">
        <v>30.0</v>
      </c>
      <c r="D3595" s="1">
        <v>35.0</v>
      </c>
      <c r="F3595" s="1" t="str">
        <f>LOOKUP(A3595, NPCs!A:A, NPCs!C:C)</f>
        <v>Patrol Bear</v>
      </c>
      <c r="G3595" s="1" t="str">
        <f>LOOKUP(B3595, Maps!A:A, Maps!B:B)</f>
        <v>Bear Kingdom</v>
      </c>
    </row>
    <row r="3596" ht="15.75" customHeight="1">
      <c r="A3596" s="1">
        <v>129.0</v>
      </c>
      <c r="B3596" s="1">
        <v>43.0</v>
      </c>
      <c r="C3596" s="1">
        <v>35.0</v>
      </c>
      <c r="D3596" s="1">
        <v>35.0</v>
      </c>
      <c r="F3596" s="1" t="str">
        <f>LOOKUP(A3596, NPCs!A:A, NPCs!C:C)</f>
        <v>Patrol Bear</v>
      </c>
      <c r="G3596" s="1" t="str">
        <f>LOOKUP(B3596, Maps!A:A, Maps!B:B)</f>
        <v>Bear Kingdom</v>
      </c>
    </row>
    <row r="3597" ht="15.75" customHeight="1">
      <c r="A3597" s="1">
        <v>129.0</v>
      </c>
      <c r="B3597" s="1">
        <v>43.0</v>
      </c>
      <c r="C3597" s="1">
        <v>40.0</v>
      </c>
      <c r="D3597" s="1">
        <v>35.0</v>
      </c>
      <c r="F3597" s="1" t="str">
        <f>LOOKUP(A3597, NPCs!A:A, NPCs!C:C)</f>
        <v>Patrol Bear</v>
      </c>
      <c r="G3597" s="1" t="str">
        <f>LOOKUP(B3597, Maps!A:A, Maps!B:B)</f>
        <v>Bear Kingdom</v>
      </c>
    </row>
    <row r="3598" ht="15.75" customHeight="1">
      <c r="A3598" s="1">
        <v>129.0</v>
      </c>
      <c r="B3598" s="1">
        <v>43.0</v>
      </c>
      <c r="C3598" s="1">
        <v>45.0</v>
      </c>
      <c r="D3598" s="1">
        <v>35.0</v>
      </c>
      <c r="F3598" s="1" t="str">
        <f>LOOKUP(A3598, NPCs!A:A, NPCs!C:C)</f>
        <v>Patrol Bear</v>
      </c>
      <c r="G3598" s="1" t="str">
        <f>LOOKUP(B3598, Maps!A:A, Maps!B:B)</f>
        <v>Bear Kingdom</v>
      </c>
    </row>
    <row r="3599" ht="15.75" customHeight="1">
      <c r="A3599" s="1">
        <v>129.0</v>
      </c>
      <c r="B3599" s="1">
        <v>43.0</v>
      </c>
      <c r="C3599" s="1">
        <v>50.0</v>
      </c>
      <c r="D3599" s="1">
        <v>35.0</v>
      </c>
      <c r="F3599" s="1" t="str">
        <f>LOOKUP(A3599, NPCs!A:A, NPCs!C:C)</f>
        <v>Patrol Bear</v>
      </c>
      <c r="G3599" s="1" t="str">
        <f>LOOKUP(B3599, Maps!A:A, Maps!B:B)</f>
        <v>Bear Kingdom</v>
      </c>
    </row>
    <row r="3600" ht="15.75" customHeight="1">
      <c r="A3600" s="1">
        <v>129.0</v>
      </c>
      <c r="B3600" s="1">
        <v>43.0</v>
      </c>
      <c r="C3600" s="1">
        <v>55.0</v>
      </c>
      <c r="D3600" s="1">
        <v>35.0</v>
      </c>
      <c r="F3600" s="1" t="str">
        <f>LOOKUP(A3600, NPCs!A:A, NPCs!C:C)</f>
        <v>Patrol Bear</v>
      </c>
      <c r="G3600" s="1" t="str">
        <f>LOOKUP(B3600, Maps!A:A, Maps!B:B)</f>
        <v>Bear Kingdom</v>
      </c>
    </row>
    <row r="3601" ht="15.75" customHeight="1">
      <c r="A3601" s="1">
        <v>129.0</v>
      </c>
      <c r="B3601" s="1">
        <v>43.0</v>
      </c>
      <c r="C3601" s="1">
        <v>60.0</v>
      </c>
      <c r="D3601" s="1">
        <v>35.0</v>
      </c>
      <c r="F3601" s="1" t="str">
        <f>LOOKUP(A3601, NPCs!A:A, NPCs!C:C)</f>
        <v>Patrol Bear</v>
      </c>
      <c r="G3601" s="1" t="str">
        <f>LOOKUP(B3601, Maps!A:A, Maps!B:B)</f>
        <v>Bear Kingdom</v>
      </c>
    </row>
    <row r="3602" ht="15.75" customHeight="1">
      <c r="A3602" s="1">
        <v>129.0</v>
      </c>
      <c r="B3602" s="1">
        <v>43.0</v>
      </c>
      <c r="C3602" s="1">
        <v>65.0</v>
      </c>
      <c r="D3602" s="1">
        <v>35.0</v>
      </c>
      <c r="F3602" s="1" t="str">
        <f>LOOKUP(A3602, NPCs!A:A, NPCs!C:C)</f>
        <v>Patrol Bear</v>
      </c>
      <c r="G3602" s="1" t="str">
        <f>LOOKUP(B3602, Maps!A:A, Maps!B:B)</f>
        <v>Bear Kingdom</v>
      </c>
    </row>
    <row r="3603" ht="15.75" customHeight="1">
      <c r="A3603" s="1">
        <v>129.0</v>
      </c>
      <c r="B3603" s="1">
        <v>43.0</v>
      </c>
      <c r="C3603" s="1">
        <v>75.0</v>
      </c>
      <c r="D3603" s="1">
        <v>35.0</v>
      </c>
      <c r="F3603" s="1" t="str">
        <f>LOOKUP(A3603, NPCs!A:A, NPCs!C:C)</f>
        <v>Patrol Bear</v>
      </c>
      <c r="G3603" s="1" t="str">
        <f>LOOKUP(B3603, Maps!A:A, Maps!B:B)</f>
        <v>Bear Kingdom</v>
      </c>
    </row>
    <row r="3604" ht="15.75" customHeight="1">
      <c r="A3604" s="1">
        <v>129.0</v>
      </c>
      <c r="B3604" s="1">
        <v>43.0</v>
      </c>
      <c r="C3604" s="1">
        <v>85.0</v>
      </c>
      <c r="D3604" s="1">
        <v>35.0</v>
      </c>
      <c r="F3604" s="1" t="str">
        <f>LOOKUP(A3604, NPCs!A:A, NPCs!C:C)</f>
        <v>Patrol Bear</v>
      </c>
      <c r="G3604" s="1" t="str">
        <f>LOOKUP(B3604, Maps!A:A, Maps!B:B)</f>
        <v>Bear Kingdom</v>
      </c>
    </row>
    <row r="3605" ht="15.75" customHeight="1">
      <c r="A3605" s="1">
        <v>129.0</v>
      </c>
      <c r="B3605" s="1">
        <v>43.0</v>
      </c>
      <c r="C3605" s="1">
        <v>95.0</v>
      </c>
      <c r="D3605" s="1">
        <v>35.0</v>
      </c>
      <c r="F3605" s="1" t="str">
        <f>LOOKUP(A3605, NPCs!A:A, NPCs!C:C)</f>
        <v>Patrol Bear</v>
      </c>
      <c r="G3605" s="1" t="str">
        <f>LOOKUP(B3605, Maps!A:A, Maps!B:B)</f>
        <v>Bear Kingdom</v>
      </c>
    </row>
    <row r="3606" ht="15.75" customHeight="1">
      <c r="A3606" s="1">
        <v>129.0</v>
      </c>
      <c r="B3606" s="1">
        <v>43.0</v>
      </c>
      <c r="C3606" s="1">
        <v>5.0</v>
      </c>
      <c r="D3606" s="1">
        <v>50.0</v>
      </c>
      <c r="F3606" s="1" t="str">
        <f>LOOKUP(A3606, NPCs!A:A, NPCs!C:C)</f>
        <v>Patrol Bear</v>
      </c>
      <c r="G3606" s="1" t="str">
        <f>LOOKUP(B3606, Maps!A:A, Maps!B:B)</f>
        <v>Bear Kingdom</v>
      </c>
    </row>
    <row r="3607" ht="15.75" customHeight="1">
      <c r="A3607" s="1">
        <v>129.0</v>
      </c>
      <c r="B3607" s="1">
        <v>43.0</v>
      </c>
      <c r="C3607" s="1">
        <v>15.0</v>
      </c>
      <c r="D3607" s="1">
        <v>50.0</v>
      </c>
      <c r="F3607" s="1" t="str">
        <f>LOOKUP(A3607, NPCs!A:A, NPCs!C:C)</f>
        <v>Patrol Bear</v>
      </c>
      <c r="G3607" s="1" t="str">
        <f>LOOKUP(B3607, Maps!A:A, Maps!B:B)</f>
        <v>Bear Kingdom</v>
      </c>
    </row>
    <row r="3608" ht="15.75" customHeight="1">
      <c r="A3608" s="1">
        <v>129.0</v>
      </c>
      <c r="B3608" s="1">
        <v>43.0</v>
      </c>
      <c r="C3608" s="1">
        <v>25.0</v>
      </c>
      <c r="D3608" s="1">
        <v>50.0</v>
      </c>
      <c r="F3608" s="1" t="str">
        <f>LOOKUP(A3608, NPCs!A:A, NPCs!C:C)</f>
        <v>Patrol Bear</v>
      </c>
      <c r="G3608" s="1" t="str">
        <f>LOOKUP(B3608, Maps!A:A, Maps!B:B)</f>
        <v>Bear Kingdom</v>
      </c>
    </row>
    <row r="3609" ht="15.75" customHeight="1">
      <c r="A3609" s="1">
        <v>129.0</v>
      </c>
      <c r="B3609" s="1">
        <v>43.0</v>
      </c>
      <c r="C3609" s="1">
        <v>35.0</v>
      </c>
      <c r="D3609" s="1">
        <v>50.0</v>
      </c>
      <c r="F3609" s="1" t="str">
        <f>LOOKUP(A3609, NPCs!A:A, NPCs!C:C)</f>
        <v>Patrol Bear</v>
      </c>
      <c r="G3609" s="1" t="str">
        <f>LOOKUP(B3609, Maps!A:A, Maps!B:B)</f>
        <v>Bear Kingdom</v>
      </c>
    </row>
    <row r="3610" ht="15.75" customHeight="1">
      <c r="A3610" s="1">
        <v>129.0</v>
      </c>
      <c r="B3610" s="1">
        <v>43.0</v>
      </c>
      <c r="C3610" s="1">
        <v>40.0</v>
      </c>
      <c r="D3610" s="1">
        <v>50.0</v>
      </c>
      <c r="F3610" s="1" t="str">
        <f>LOOKUP(A3610, NPCs!A:A, NPCs!C:C)</f>
        <v>Patrol Bear</v>
      </c>
      <c r="G3610" s="1" t="str">
        <f>LOOKUP(B3610, Maps!A:A, Maps!B:B)</f>
        <v>Bear Kingdom</v>
      </c>
    </row>
    <row r="3611" ht="15.75" customHeight="1">
      <c r="A3611" s="1">
        <v>129.0</v>
      </c>
      <c r="B3611" s="1">
        <v>43.0</v>
      </c>
      <c r="C3611" s="1">
        <v>50.0</v>
      </c>
      <c r="D3611" s="1">
        <v>50.0</v>
      </c>
      <c r="F3611" s="1" t="str">
        <f>LOOKUP(A3611, NPCs!A:A, NPCs!C:C)</f>
        <v>Patrol Bear</v>
      </c>
      <c r="G3611" s="1" t="str">
        <f>LOOKUP(B3611, Maps!A:A, Maps!B:B)</f>
        <v>Bear Kingdom</v>
      </c>
    </row>
    <row r="3612" ht="15.75" customHeight="1">
      <c r="A3612" s="1">
        <v>129.0</v>
      </c>
      <c r="B3612" s="1">
        <v>43.0</v>
      </c>
      <c r="C3612" s="1">
        <v>55.0</v>
      </c>
      <c r="D3612" s="1">
        <v>50.0</v>
      </c>
      <c r="F3612" s="1" t="str">
        <f>LOOKUP(A3612, NPCs!A:A, NPCs!C:C)</f>
        <v>Patrol Bear</v>
      </c>
      <c r="G3612" s="1" t="str">
        <f>LOOKUP(B3612, Maps!A:A, Maps!B:B)</f>
        <v>Bear Kingdom</v>
      </c>
    </row>
    <row r="3613" ht="15.75" customHeight="1">
      <c r="A3613" s="1">
        <v>129.0</v>
      </c>
      <c r="B3613" s="1">
        <v>43.0</v>
      </c>
      <c r="C3613" s="1">
        <v>60.0</v>
      </c>
      <c r="D3613" s="1">
        <v>50.0</v>
      </c>
      <c r="F3613" s="1" t="str">
        <f>LOOKUP(A3613, NPCs!A:A, NPCs!C:C)</f>
        <v>Patrol Bear</v>
      </c>
      <c r="G3613" s="1" t="str">
        <f>LOOKUP(B3613, Maps!A:A, Maps!B:B)</f>
        <v>Bear Kingdom</v>
      </c>
    </row>
    <row r="3614" ht="15.75" customHeight="1">
      <c r="A3614" s="1">
        <v>129.0</v>
      </c>
      <c r="B3614" s="1">
        <v>43.0</v>
      </c>
      <c r="C3614" s="1">
        <v>65.0</v>
      </c>
      <c r="D3614" s="1">
        <v>50.0</v>
      </c>
      <c r="F3614" s="1" t="str">
        <f>LOOKUP(A3614, NPCs!A:A, NPCs!C:C)</f>
        <v>Patrol Bear</v>
      </c>
      <c r="G3614" s="1" t="str">
        <f>LOOKUP(B3614, Maps!A:A, Maps!B:B)</f>
        <v>Bear Kingdom</v>
      </c>
    </row>
    <row r="3615" ht="15.75" customHeight="1">
      <c r="A3615" s="1">
        <v>129.0</v>
      </c>
      <c r="B3615" s="1">
        <v>43.0</v>
      </c>
      <c r="C3615" s="1">
        <v>70.0</v>
      </c>
      <c r="D3615" s="1">
        <v>50.0</v>
      </c>
      <c r="F3615" s="1" t="str">
        <f>LOOKUP(A3615, NPCs!A:A, NPCs!C:C)</f>
        <v>Patrol Bear</v>
      </c>
      <c r="G3615" s="1" t="str">
        <f>LOOKUP(B3615, Maps!A:A, Maps!B:B)</f>
        <v>Bear Kingdom</v>
      </c>
    </row>
    <row r="3616" ht="15.75" customHeight="1">
      <c r="A3616" s="1">
        <v>129.0</v>
      </c>
      <c r="B3616" s="1">
        <v>43.0</v>
      </c>
      <c r="C3616" s="1">
        <v>75.0</v>
      </c>
      <c r="D3616" s="1">
        <v>50.0</v>
      </c>
      <c r="F3616" s="1" t="str">
        <f>LOOKUP(A3616, NPCs!A:A, NPCs!C:C)</f>
        <v>Patrol Bear</v>
      </c>
      <c r="G3616" s="1" t="str">
        <f>LOOKUP(B3616, Maps!A:A, Maps!B:B)</f>
        <v>Bear Kingdom</v>
      </c>
    </row>
    <row r="3617" ht="15.75" customHeight="1">
      <c r="A3617" s="1">
        <v>129.0</v>
      </c>
      <c r="B3617" s="1">
        <v>43.0</v>
      </c>
      <c r="C3617" s="1">
        <v>80.0</v>
      </c>
      <c r="D3617" s="1">
        <v>50.0</v>
      </c>
      <c r="F3617" s="1" t="str">
        <f>LOOKUP(A3617, NPCs!A:A, NPCs!C:C)</f>
        <v>Patrol Bear</v>
      </c>
      <c r="G3617" s="1" t="str">
        <f>LOOKUP(B3617, Maps!A:A, Maps!B:B)</f>
        <v>Bear Kingdom</v>
      </c>
    </row>
    <row r="3618" ht="15.75" customHeight="1">
      <c r="A3618" s="1">
        <v>129.0</v>
      </c>
      <c r="B3618" s="1">
        <v>43.0</v>
      </c>
      <c r="C3618" s="1">
        <v>85.0</v>
      </c>
      <c r="D3618" s="1">
        <v>50.0</v>
      </c>
      <c r="F3618" s="1" t="str">
        <f>LOOKUP(A3618, NPCs!A:A, NPCs!C:C)</f>
        <v>Patrol Bear</v>
      </c>
      <c r="G3618" s="1" t="str">
        <f>LOOKUP(B3618, Maps!A:A, Maps!B:B)</f>
        <v>Bear Kingdom</v>
      </c>
    </row>
    <row r="3619" ht="15.75" customHeight="1">
      <c r="A3619" s="1">
        <v>129.0</v>
      </c>
      <c r="B3619" s="1">
        <v>43.0</v>
      </c>
      <c r="C3619" s="1">
        <v>90.0</v>
      </c>
      <c r="D3619" s="1">
        <v>50.0</v>
      </c>
      <c r="F3619" s="1" t="str">
        <f>LOOKUP(A3619, NPCs!A:A, NPCs!C:C)</f>
        <v>Patrol Bear</v>
      </c>
      <c r="G3619" s="1" t="str">
        <f>LOOKUP(B3619, Maps!A:A, Maps!B:B)</f>
        <v>Bear Kingdom</v>
      </c>
    </row>
    <row r="3620" ht="15.75" customHeight="1">
      <c r="A3620" s="1">
        <v>129.0</v>
      </c>
      <c r="B3620" s="1">
        <v>43.0</v>
      </c>
      <c r="C3620" s="1">
        <v>95.0</v>
      </c>
      <c r="D3620" s="1">
        <v>50.0</v>
      </c>
      <c r="F3620" s="1" t="str">
        <f>LOOKUP(A3620, NPCs!A:A, NPCs!C:C)</f>
        <v>Patrol Bear</v>
      </c>
      <c r="G3620" s="1" t="str">
        <f>LOOKUP(B3620, Maps!A:A, Maps!B:B)</f>
        <v>Bear Kingdom</v>
      </c>
    </row>
    <row r="3621" ht="15.75" customHeight="1">
      <c r="A3621" s="1">
        <v>129.0</v>
      </c>
      <c r="B3621" s="1">
        <v>43.0</v>
      </c>
      <c r="C3621" s="1">
        <v>5.0</v>
      </c>
      <c r="D3621" s="1">
        <v>55.0</v>
      </c>
      <c r="F3621" s="1" t="str">
        <f>LOOKUP(A3621, NPCs!A:A, NPCs!C:C)</f>
        <v>Patrol Bear</v>
      </c>
      <c r="G3621" s="1" t="str">
        <f>LOOKUP(B3621, Maps!A:A, Maps!B:B)</f>
        <v>Bear Kingdom</v>
      </c>
    </row>
    <row r="3622" ht="15.75" customHeight="1">
      <c r="A3622" s="1">
        <v>129.0</v>
      </c>
      <c r="B3622" s="1">
        <v>43.0</v>
      </c>
      <c r="C3622" s="1">
        <v>10.0</v>
      </c>
      <c r="D3622" s="1">
        <v>55.0</v>
      </c>
      <c r="F3622" s="1" t="str">
        <f>LOOKUP(A3622, NPCs!A:A, NPCs!C:C)</f>
        <v>Patrol Bear</v>
      </c>
      <c r="G3622" s="1" t="str">
        <f>LOOKUP(B3622, Maps!A:A, Maps!B:B)</f>
        <v>Bear Kingdom</v>
      </c>
    </row>
    <row r="3623" ht="15.75" customHeight="1">
      <c r="A3623" s="1">
        <v>129.0</v>
      </c>
      <c r="B3623" s="1">
        <v>43.0</v>
      </c>
      <c r="C3623" s="1">
        <v>15.0</v>
      </c>
      <c r="D3623" s="1">
        <v>55.0</v>
      </c>
      <c r="F3623" s="1" t="str">
        <f>LOOKUP(A3623, NPCs!A:A, NPCs!C:C)</f>
        <v>Patrol Bear</v>
      </c>
      <c r="G3623" s="1" t="str">
        <f>LOOKUP(B3623, Maps!A:A, Maps!B:B)</f>
        <v>Bear Kingdom</v>
      </c>
    </row>
    <row r="3624" ht="15.75" customHeight="1">
      <c r="A3624" s="1">
        <v>129.0</v>
      </c>
      <c r="B3624" s="1">
        <v>43.0</v>
      </c>
      <c r="C3624" s="1">
        <v>20.0</v>
      </c>
      <c r="D3624" s="1">
        <v>55.0</v>
      </c>
      <c r="F3624" s="1" t="str">
        <f>LOOKUP(A3624, NPCs!A:A, NPCs!C:C)</f>
        <v>Patrol Bear</v>
      </c>
      <c r="G3624" s="1" t="str">
        <f>LOOKUP(B3624, Maps!A:A, Maps!B:B)</f>
        <v>Bear Kingdom</v>
      </c>
    </row>
    <row r="3625" ht="15.75" customHeight="1">
      <c r="A3625" s="1">
        <v>129.0</v>
      </c>
      <c r="B3625" s="1">
        <v>43.0</v>
      </c>
      <c r="C3625" s="1">
        <v>25.0</v>
      </c>
      <c r="D3625" s="1">
        <v>55.0</v>
      </c>
      <c r="F3625" s="1" t="str">
        <f>LOOKUP(A3625, NPCs!A:A, NPCs!C:C)</f>
        <v>Patrol Bear</v>
      </c>
      <c r="G3625" s="1" t="str">
        <f>LOOKUP(B3625, Maps!A:A, Maps!B:B)</f>
        <v>Bear Kingdom</v>
      </c>
    </row>
    <row r="3626" ht="15.75" customHeight="1">
      <c r="A3626" s="1">
        <v>129.0</v>
      </c>
      <c r="B3626" s="1">
        <v>43.0</v>
      </c>
      <c r="C3626" s="1">
        <v>30.0</v>
      </c>
      <c r="D3626" s="1">
        <v>55.0</v>
      </c>
      <c r="F3626" s="1" t="str">
        <f>LOOKUP(A3626, NPCs!A:A, NPCs!C:C)</f>
        <v>Patrol Bear</v>
      </c>
      <c r="G3626" s="1" t="str">
        <f>LOOKUP(B3626, Maps!A:A, Maps!B:B)</f>
        <v>Bear Kingdom</v>
      </c>
    </row>
    <row r="3627" ht="15.75" customHeight="1">
      <c r="A3627" s="1">
        <v>129.0</v>
      </c>
      <c r="B3627" s="1">
        <v>43.0</v>
      </c>
      <c r="C3627" s="1">
        <v>35.0</v>
      </c>
      <c r="D3627" s="1">
        <v>55.0</v>
      </c>
      <c r="F3627" s="1" t="str">
        <f>LOOKUP(A3627, NPCs!A:A, NPCs!C:C)</f>
        <v>Patrol Bear</v>
      </c>
      <c r="G3627" s="1" t="str">
        <f>LOOKUP(B3627, Maps!A:A, Maps!B:B)</f>
        <v>Bear Kingdom</v>
      </c>
    </row>
    <row r="3628" ht="15.75" customHeight="1">
      <c r="A3628" s="1">
        <v>129.0</v>
      </c>
      <c r="B3628" s="1">
        <v>43.0</v>
      </c>
      <c r="C3628" s="1">
        <v>40.0</v>
      </c>
      <c r="D3628" s="1">
        <v>55.0</v>
      </c>
      <c r="F3628" s="1" t="str">
        <f>LOOKUP(A3628, NPCs!A:A, NPCs!C:C)</f>
        <v>Patrol Bear</v>
      </c>
      <c r="G3628" s="1" t="str">
        <f>LOOKUP(B3628, Maps!A:A, Maps!B:B)</f>
        <v>Bear Kingdom</v>
      </c>
    </row>
    <row r="3629" ht="15.75" customHeight="1">
      <c r="A3629" s="1">
        <v>129.0</v>
      </c>
      <c r="B3629" s="1">
        <v>43.0</v>
      </c>
      <c r="C3629" s="1">
        <v>45.0</v>
      </c>
      <c r="D3629" s="1">
        <v>55.0</v>
      </c>
      <c r="F3629" s="1" t="str">
        <f>LOOKUP(A3629, NPCs!A:A, NPCs!C:C)</f>
        <v>Patrol Bear</v>
      </c>
      <c r="G3629" s="1" t="str">
        <f>LOOKUP(B3629, Maps!A:A, Maps!B:B)</f>
        <v>Bear Kingdom</v>
      </c>
    </row>
    <row r="3630" ht="15.75" customHeight="1">
      <c r="A3630" s="1">
        <v>129.0</v>
      </c>
      <c r="B3630" s="1">
        <v>43.0</v>
      </c>
      <c r="C3630" s="1">
        <v>50.0</v>
      </c>
      <c r="D3630" s="1">
        <v>55.0</v>
      </c>
      <c r="F3630" s="1" t="str">
        <f>LOOKUP(A3630, NPCs!A:A, NPCs!C:C)</f>
        <v>Patrol Bear</v>
      </c>
      <c r="G3630" s="1" t="str">
        <f>LOOKUP(B3630, Maps!A:A, Maps!B:B)</f>
        <v>Bear Kingdom</v>
      </c>
    </row>
    <row r="3631" ht="15.75" customHeight="1">
      <c r="A3631" s="1">
        <v>129.0</v>
      </c>
      <c r="B3631" s="1">
        <v>43.0</v>
      </c>
      <c r="C3631" s="1">
        <v>55.0</v>
      </c>
      <c r="D3631" s="1">
        <v>55.0</v>
      </c>
      <c r="F3631" s="1" t="str">
        <f>LOOKUP(A3631, NPCs!A:A, NPCs!C:C)</f>
        <v>Patrol Bear</v>
      </c>
      <c r="G3631" s="1" t="str">
        <f>LOOKUP(B3631, Maps!A:A, Maps!B:B)</f>
        <v>Bear Kingdom</v>
      </c>
    </row>
    <row r="3632" ht="15.75" customHeight="1">
      <c r="A3632" s="1">
        <v>129.0</v>
      </c>
      <c r="B3632" s="1">
        <v>43.0</v>
      </c>
      <c r="C3632" s="1">
        <v>60.0</v>
      </c>
      <c r="D3632" s="1">
        <v>55.0</v>
      </c>
      <c r="F3632" s="1" t="str">
        <f>LOOKUP(A3632, NPCs!A:A, NPCs!C:C)</f>
        <v>Patrol Bear</v>
      </c>
      <c r="G3632" s="1" t="str">
        <f>LOOKUP(B3632, Maps!A:A, Maps!B:B)</f>
        <v>Bear Kingdom</v>
      </c>
    </row>
    <row r="3633" ht="15.75" customHeight="1">
      <c r="A3633" s="1">
        <v>129.0</v>
      </c>
      <c r="B3633" s="1">
        <v>43.0</v>
      </c>
      <c r="C3633" s="1">
        <v>65.0</v>
      </c>
      <c r="D3633" s="1">
        <v>55.0</v>
      </c>
      <c r="F3633" s="1" t="str">
        <f>LOOKUP(A3633, NPCs!A:A, NPCs!C:C)</f>
        <v>Patrol Bear</v>
      </c>
      <c r="G3633" s="1" t="str">
        <f>LOOKUP(B3633, Maps!A:A, Maps!B:B)</f>
        <v>Bear Kingdom</v>
      </c>
    </row>
    <row r="3634" ht="15.75" customHeight="1">
      <c r="A3634" s="1">
        <v>129.0</v>
      </c>
      <c r="B3634" s="1">
        <v>43.0</v>
      </c>
      <c r="C3634" s="1">
        <v>75.0</v>
      </c>
      <c r="D3634" s="1">
        <v>55.0</v>
      </c>
      <c r="F3634" s="1" t="str">
        <f>LOOKUP(A3634, NPCs!A:A, NPCs!C:C)</f>
        <v>Patrol Bear</v>
      </c>
      <c r="G3634" s="1" t="str">
        <f>LOOKUP(B3634, Maps!A:A, Maps!B:B)</f>
        <v>Bear Kingdom</v>
      </c>
    </row>
    <row r="3635" ht="15.75" customHeight="1">
      <c r="A3635" s="1">
        <v>129.0</v>
      </c>
      <c r="B3635" s="1">
        <v>43.0</v>
      </c>
      <c r="C3635" s="1">
        <v>85.0</v>
      </c>
      <c r="D3635" s="1">
        <v>55.0</v>
      </c>
      <c r="F3635" s="1" t="str">
        <f>LOOKUP(A3635, NPCs!A:A, NPCs!C:C)</f>
        <v>Patrol Bear</v>
      </c>
      <c r="G3635" s="1" t="str">
        <f>LOOKUP(B3635, Maps!A:A, Maps!B:B)</f>
        <v>Bear Kingdom</v>
      </c>
    </row>
    <row r="3636" ht="15.75" customHeight="1">
      <c r="A3636" s="1">
        <v>129.0</v>
      </c>
      <c r="B3636" s="1">
        <v>43.0</v>
      </c>
      <c r="C3636" s="1">
        <v>95.0</v>
      </c>
      <c r="D3636" s="1">
        <v>55.0</v>
      </c>
      <c r="F3636" s="1" t="str">
        <f>LOOKUP(A3636, NPCs!A:A, NPCs!C:C)</f>
        <v>Patrol Bear</v>
      </c>
      <c r="G3636" s="1" t="str">
        <f>LOOKUP(B3636, Maps!A:A, Maps!B:B)</f>
        <v>Bear Kingdom</v>
      </c>
    </row>
    <row r="3637" ht="15.75" customHeight="1">
      <c r="A3637" s="1">
        <v>129.0</v>
      </c>
      <c r="B3637" s="1">
        <v>43.0</v>
      </c>
      <c r="C3637" s="1">
        <v>5.0</v>
      </c>
      <c r="D3637" s="1">
        <v>70.0</v>
      </c>
      <c r="F3637" s="1" t="str">
        <f>LOOKUP(A3637, NPCs!A:A, NPCs!C:C)</f>
        <v>Patrol Bear</v>
      </c>
      <c r="G3637" s="1" t="str">
        <f>LOOKUP(B3637, Maps!A:A, Maps!B:B)</f>
        <v>Bear Kingdom</v>
      </c>
    </row>
    <row r="3638" ht="15.75" customHeight="1">
      <c r="A3638" s="1">
        <v>129.0</v>
      </c>
      <c r="B3638" s="1">
        <v>43.0</v>
      </c>
      <c r="C3638" s="1">
        <v>15.0</v>
      </c>
      <c r="D3638" s="1">
        <v>70.0</v>
      </c>
      <c r="F3638" s="1" t="str">
        <f>LOOKUP(A3638, NPCs!A:A, NPCs!C:C)</f>
        <v>Patrol Bear</v>
      </c>
      <c r="G3638" s="1" t="str">
        <f>LOOKUP(B3638, Maps!A:A, Maps!B:B)</f>
        <v>Bear Kingdom</v>
      </c>
    </row>
    <row r="3639" ht="15.75" customHeight="1">
      <c r="A3639" s="1">
        <v>129.0</v>
      </c>
      <c r="B3639" s="1">
        <v>43.0</v>
      </c>
      <c r="C3639" s="1">
        <v>25.0</v>
      </c>
      <c r="D3639" s="1">
        <v>70.0</v>
      </c>
      <c r="F3639" s="1" t="str">
        <f>LOOKUP(A3639, NPCs!A:A, NPCs!C:C)</f>
        <v>Patrol Bear</v>
      </c>
      <c r="G3639" s="1" t="str">
        <f>LOOKUP(B3639, Maps!A:A, Maps!B:B)</f>
        <v>Bear Kingdom</v>
      </c>
    </row>
    <row r="3640" ht="15.75" customHeight="1">
      <c r="A3640" s="1">
        <v>129.0</v>
      </c>
      <c r="B3640" s="1">
        <v>43.0</v>
      </c>
      <c r="C3640" s="1">
        <v>35.0</v>
      </c>
      <c r="D3640" s="1">
        <v>70.0</v>
      </c>
      <c r="F3640" s="1" t="str">
        <f>LOOKUP(A3640, NPCs!A:A, NPCs!C:C)</f>
        <v>Patrol Bear</v>
      </c>
      <c r="G3640" s="1" t="str">
        <f>LOOKUP(B3640, Maps!A:A, Maps!B:B)</f>
        <v>Bear Kingdom</v>
      </c>
    </row>
    <row r="3641" ht="15.75" customHeight="1">
      <c r="A3641" s="1">
        <v>129.0</v>
      </c>
      <c r="B3641" s="1">
        <v>43.0</v>
      </c>
      <c r="C3641" s="1">
        <v>40.0</v>
      </c>
      <c r="D3641" s="1">
        <v>70.0</v>
      </c>
      <c r="F3641" s="1" t="str">
        <f>LOOKUP(A3641, NPCs!A:A, NPCs!C:C)</f>
        <v>Patrol Bear</v>
      </c>
      <c r="G3641" s="1" t="str">
        <f>LOOKUP(B3641, Maps!A:A, Maps!B:B)</f>
        <v>Bear Kingdom</v>
      </c>
    </row>
    <row r="3642" ht="15.75" customHeight="1">
      <c r="A3642" s="1">
        <v>129.0</v>
      </c>
      <c r="B3642" s="1">
        <v>43.0</v>
      </c>
      <c r="C3642" s="1">
        <v>50.0</v>
      </c>
      <c r="D3642" s="1">
        <v>70.0</v>
      </c>
      <c r="F3642" s="1" t="str">
        <f>LOOKUP(A3642, NPCs!A:A, NPCs!C:C)</f>
        <v>Patrol Bear</v>
      </c>
      <c r="G3642" s="1" t="str">
        <f>LOOKUP(B3642, Maps!A:A, Maps!B:B)</f>
        <v>Bear Kingdom</v>
      </c>
    </row>
    <row r="3643" ht="15.75" customHeight="1">
      <c r="A3643" s="1">
        <v>129.0</v>
      </c>
      <c r="B3643" s="1">
        <v>43.0</v>
      </c>
      <c r="C3643" s="1">
        <v>55.0</v>
      </c>
      <c r="D3643" s="1">
        <v>70.0</v>
      </c>
      <c r="F3643" s="1" t="str">
        <f>LOOKUP(A3643, NPCs!A:A, NPCs!C:C)</f>
        <v>Patrol Bear</v>
      </c>
      <c r="G3643" s="1" t="str">
        <f>LOOKUP(B3643, Maps!A:A, Maps!B:B)</f>
        <v>Bear Kingdom</v>
      </c>
    </row>
    <row r="3644" ht="15.75" customHeight="1">
      <c r="A3644" s="1">
        <v>129.0</v>
      </c>
      <c r="B3644" s="1">
        <v>43.0</v>
      </c>
      <c r="C3644" s="1">
        <v>60.0</v>
      </c>
      <c r="D3644" s="1">
        <v>70.0</v>
      </c>
      <c r="F3644" s="1" t="str">
        <f>LOOKUP(A3644, NPCs!A:A, NPCs!C:C)</f>
        <v>Patrol Bear</v>
      </c>
      <c r="G3644" s="1" t="str">
        <f>LOOKUP(B3644, Maps!A:A, Maps!B:B)</f>
        <v>Bear Kingdom</v>
      </c>
    </row>
    <row r="3645" ht="15.75" customHeight="1">
      <c r="A3645" s="1">
        <v>129.0</v>
      </c>
      <c r="B3645" s="1">
        <v>43.0</v>
      </c>
      <c r="C3645" s="1">
        <v>65.0</v>
      </c>
      <c r="D3645" s="1">
        <v>70.0</v>
      </c>
      <c r="F3645" s="1" t="str">
        <f>LOOKUP(A3645, NPCs!A:A, NPCs!C:C)</f>
        <v>Patrol Bear</v>
      </c>
      <c r="G3645" s="1" t="str">
        <f>LOOKUP(B3645, Maps!A:A, Maps!B:B)</f>
        <v>Bear Kingdom</v>
      </c>
    </row>
    <row r="3646" ht="15.75" customHeight="1">
      <c r="A3646" s="1">
        <v>129.0</v>
      </c>
      <c r="B3646" s="1">
        <v>43.0</v>
      </c>
      <c r="C3646" s="1">
        <v>70.0</v>
      </c>
      <c r="D3646" s="1">
        <v>70.0</v>
      </c>
      <c r="F3646" s="1" t="str">
        <f>LOOKUP(A3646, NPCs!A:A, NPCs!C:C)</f>
        <v>Patrol Bear</v>
      </c>
      <c r="G3646" s="1" t="str">
        <f>LOOKUP(B3646, Maps!A:A, Maps!B:B)</f>
        <v>Bear Kingdom</v>
      </c>
    </row>
    <row r="3647" ht="15.75" customHeight="1">
      <c r="A3647" s="1">
        <v>129.0</v>
      </c>
      <c r="B3647" s="1">
        <v>43.0</v>
      </c>
      <c r="C3647" s="1">
        <v>75.0</v>
      </c>
      <c r="D3647" s="1">
        <v>70.0</v>
      </c>
      <c r="F3647" s="1" t="str">
        <f>LOOKUP(A3647, NPCs!A:A, NPCs!C:C)</f>
        <v>Patrol Bear</v>
      </c>
      <c r="G3647" s="1" t="str">
        <f>LOOKUP(B3647, Maps!A:A, Maps!B:B)</f>
        <v>Bear Kingdom</v>
      </c>
    </row>
    <row r="3648" ht="15.75" customHeight="1">
      <c r="A3648" s="1">
        <v>129.0</v>
      </c>
      <c r="B3648" s="1">
        <v>43.0</v>
      </c>
      <c r="C3648" s="1">
        <v>80.0</v>
      </c>
      <c r="D3648" s="1">
        <v>70.0</v>
      </c>
      <c r="F3648" s="1" t="str">
        <f>LOOKUP(A3648, NPCs!A:A, NPCs!C:C)</f>
        <v>Patrol Bear</v>
      </c>
      <c r="G3648" s="1" t="str">
        <f>LOOKUP(B3648, Maps!A:A, Maps!B:B)</f>
        <v>Bear Kingdom</v>
      </c>
    </row>
    <row r="3649" ht="15.75" customHeight="1">
      <c r="A3649" s="1">
        <v>129.0</v>
      </c>
      <c r="B3649" s="1">
        <v>43.0</v>
      </c>
      <c r="C3649" s="1">
        <v>85.0</v>
      </c>
      <c r="D3649" s="1">
        <v>70.0</v>
      </c>
      <c r="F3649" s="1" t="str">
        <f>LOOKUP(A3649, NPCs!A:A, NPCs!C:C)</f>
        <v>Patrol Bear</v>
      </c>
      <c r="G3649" s="1" t="str">
        <f>LOOKUP(B3649, Maps!A:A, Maps!B:B)</f>
        <v>Bear Kingdom</v>
      </c>
    </row>
    <row r="3650" ht="15.75" customHeight="1">
      <c r="A3650" s="1">
        <v>129.0</v>
      </c>
      <c r="B3650" s="1">
        <v>43.0</v>
      </c>
      <c r="C3650" s="1">
        <v>90.0</v>
      </c>
      <c r="D3650" s="1">
        <v>70.0</v>
      </c>
      <c r="F3650" s="1" t="str">
        <f>LOOKUP(A3650, NPCs!A:A, NPCs!C:C)</f>
        <v>Patrol Bear</v>
      </c>
      <c r="G3650" s="1" t="str">
        <f>LOOKUP(B3650, Maps!A:A, Maps!B:B)</f>
        <v>Bear Kingdom</v>
      </c>
    </row>
    <row r="3651" ht="15.75" customHeight="1">
      <c r="A3651" s="1">
        <v>129.0</v>
      </c>
      <c r="B3651" s="1">
        <v>43.0</v>
      </c>
      <c r="C3651" s="1">
        <v>95.0</v>
      </c>
      <c r="D3651" s="1">
        <v>70.0</v>
      </c>
      <c r="F3651" s="1" t="str">
        <f>LOOKUP(A3651, NPCs!A:A, NPCs!C:C)</f>
        <v>Patrol Bear</v>
      </c>
      <c r="G3651" s="1" t="str">
        <f>LOOKUP(B3651, Maps!A:A, Maps!B:B)</f>
        <v>Bear Kingdom</v>
      </c>
    </row>
    <row r="3652" ht="15.75" customHeight="1">
      <c r="A3652" s="1">
        <v>129.0</v>
      </c>
      <c r="B3652" s="1">
        <v>43.0</v>
      </c>
      <c r="C3652" s="1">
        <v>5.0</v>
      </c>
      <c r="D3652" s="1">
        <v>75.0</v>
      </c>
      <c r="F3652" s="1" t="str">
        <f>LOOKUP(A3652, NPCs!A:A, NPCs!C:C)</f>
        <v>Patrol Bear</v>
      </c>
      <c r="G3652" s="1" t="str">
        <f>LOOKUP(B3652, Maps!A:A, Maps!B:B)</f>
        <v>Bear Kingdom</v>
      </c>
    </row>
    <row r="3653" ht="15.75" customHeight="1">
      <c r="A3653" s="1">
        <v>129.0</v>
      </c>
      <c r="B3653" s="1">
        <v>43.0</v>
      </c>
      <c r="C3653" s="1">
        <v>10.0</v>
      </c>
      <c r="D3653" s="1">
        <v>75.0</v>
      </c>
      <c r="F3653" s="1" t="str">
        <f>LOOKUP(A3653, NPCs!A:A, NPCs!C:C)</f>
        <v>Patrol Bear</v>
      </c>
      <c r="G3653" s="1" t="str">
        <f>LOOKUP(B3653, Maps!A:A, Maps!B:B)</f>
        <v>Bear Kingdom</v>
      </c>
    </row>
    <row r="3654" ht="15.75" customHeight="1">
      <c r="A3654" s="1">
        <v>129.0</v>
      </c>
      <c r="B3654" s="1">
        <v>43.0</v>
      </c>
      <c r="C3654" s="1">
        <v>15.0</v>
      </c>
      <c r="D3654" s="1">
        <v>75.0</v>
      </c>
      <c r="F3654" s="1" t="str">
        <f>LOOKUP(A3654, NPCs!A:A, NPCs!C:C)</f>
        <v>Patrol Bear</v>
      </c>
      <c r="G3654" s="1" t="str">
        <f>LOOKUP(B3654, Maps!A:A, Maps!B:B)</f>
        <v>Bear Kingdom</v>
      </c>
    </row>
    <row r="3655" ht="15.75" customHeight="1">
      <c r="A3655" s="1">
        <v>129.0</v>
      </c>
      <c r="B3655" s="1">
        <v>43.0</v>
      </c>
      <c r="C3655" s="1">
        <v>20.0</v>
      </c>
      <c r="D3655" s="1">
        <v>75.0</v>
      </c>
      <c r="F3655" s="1" t="str">
        <f>LOOKUP(A3655, NPCs!A:A, NPCs!C:C)</f>
        <v>Patrol Bear</v>
      </c>
      <c r="G3655" s="1" t="str">
        <f>LOOKUP(B3655, Maps!A:A, Maps!B:B)</f>
        <v>Bear Kingdom</v>
      </c>
    </row>
    <row r="3656" ht="15.75" customHeight="1">
      <c r="A3656" s="1">
        <v>129.0</v>
      </c>
      <c r="B3656" s="1">
        <v>43.0</v>
      </c>
      <c r="C3656" s="1">
        <v>25.0</v>
      </c>
      <c r="D3656" s="1">
        <v>75.0</v>
      </c>
      <c r="F3656" s="1" t="str">
        <f>LOOKUP(A3656, NPCs!A:A, NPCs!C:C)</f>
        <v>Patrol Bear</v>
      </c>
      <c r="G3656" s="1" t="str">
        <f>LOOKUP(B3656, Maps!A:A, Maps!B:B)</f>
        <v>Bear Kingdom</v>
      </c>
    </row>
    <row r="3657" ht="15.75" customHeight="1">
      <c r="A3657" s="1">
        <v>129.0</v>
      </c>
      <c r="B3657" s="1">
        <v>43.0</v>
      </c>
      <c r="C3657" s="1">
        <v>30.0</v>
      </c>
      <c r="D3657" s="1">
        <v>75.0</v>
      </c>
      <c r="F3657" s="1" t="str">
        <f>LOOKUP(A3657, NPCs!A:A, NPCs!C:C)</f>
        <v>Patrol Bear</v>
      </c>
      <c r="G3657" s="1" t="str">
        <f>LOOKUP(B3657, Maps!A:A, Maps!B:B)</f>
        <v>Bear Kingdom</v>
      </c>
    </row>
    <row r="3658" ht="15.75" customHeight="1">
      <c r="A3658" s="1">
        <v>129.0</v>
      </c>
      <c r="B3658" s="1">
        <v>43.0</v>
      </c>
      <c r="C3658" s="1">
        <v>35.0</v>
      </c>
      <c r="D3658" s="1">
        <v>75.0</v>
      </c>
      <c r="F3658" s="1" t="str">
        <f>LOOKUP(A3658, NPCs!A:A, NPCs!C:C)</f>
        <v>Patrol Bear</v>
      </c>
      <c r="G3658" s="1" t="str">
        <f>LOOKUP(B3658, Maps!A:A, Maps!B:B)</f>
        <v>Bear Kingdom</v>
      </c>
    </row>
    <row r="3659" ht="15.75" customHeight="1">
      <c r="A3659" s="1">
        <v>129.0</v>
      </c>
      <c r="B3659" s="1">
        <v>43.0</v>
      </c>
      <c r="C3659" s="1">
        <v>40.0</v>
      </c>
      <c r="D3659" s="1">
        <v>75.0</v>
      </c>
      <c r="F3659" s="1" t="str">
        <f>LOOKUP(A3659, NPCs!A:A, NPCs!C:C)</f>
        <v>Patrol Bear</v>
      </c>
      <c r="G3659" s="1" t="str">
        <f>LOOKUP(B3659, Maps!A:A, Maps!B:B)</f>
        <v>Bear Kingdom</v>
      </c>
    </row>
    <row r="3660" ht="15.75" customHeight="1">
      <c r="A3660" s="1">
        <v>129.0</v>
      </c>
      <c r="B3660" s="1">
        <v>43.0</v>
      </c>
      <c r="C3660" s="1">
        <v>45.0</v>
      </c>
      <c r="D3660" s="1">
        <v>75.0</v>
      </c>
      <c r="F3660" s="1" t="str">
        <f>LOOKUP(A3660, NPCs!A:A, NPCs!C:C)</f>
        <v>Patrol Bear</v>
      </c>
      <c r="G3660" s="1" t="str">
        <f>LOOKUP(B3660, Maps!A:A, Maps!B:B)</f>
        <v>Bear Kingdom</v>
      </c>
    </row>
    <row r="3661" ht="15.75" customHeight="1">
      <c r="A3661" s="1">
        <v>129.0</v>
      </c>
      <c r="B3661" s="1">
        <v>43.0</v>
      </c>
      <c r="C3661" s="1">
        <v>50.0</v>
      </c>
      <c r="D3661" s="1">
        <v>75.0</v>
      </c>
      <c r="F3661" s="1" t="str">
        <f>LOOKUP(A3661, NPCs!A:A, NPCs!C:C)</f>
        <v>Patrol Bear</v>
      </c>
      <c r="G3661" s="1" t="str">
        <f>LOOKUP(B3661, Maps!A:A, Maps!B:B)</f>
        <v>Bear Kingdom</v>
      </c>
    </row>
    <row r="3662" ht="15.75" customHeight="1">
      <c r="A3662" s="1">
        <v>129.0</v>
      </c>
      <c r="B3662" s="1">
        <v>43.0</v>
      </c>
      <c r="C3662" s="1">
        <v>55.0</v>
      </c>
      <c r="D3662" s="1">
        <v>75.0</v>
      </c>
      <c r="F3662" s="1" t="str">
        <f>LOOKUP(A3662, NPCs!A:A, NPCs!C:C)</f>
        <v>Patrol Bear</v>
      </c>
      <c r="G3662" s="1" t="str">
        <f>LOOKUP(B3662, Maps!A:A, Maps!B:B)</f>
        <v>Bear Kingdom</v>
      </c>
    </row>
    <row r="3663" ht="15.75" customHeight="1">
      <c r="A3663" s="1">
        <v>129.0</v>
      </c>
      <c r="B3663" s="1">
        <v>43.0</v>
      </c>
      <c r="C3663" s="1">
        <v>60.0</v>
      </c>
      <c r="D3663" s="1">
        <v>75.0</v>
      </c>
      <c r="F3663" s="1" t="str">
        <f>LOOKUP(A3663, NPCs!A:A, NPCs!C:C)</f>
        <v>Patrol Bear</v>
      </c>
      <c r="G3663" s="1" t="str">
        <f>LOOKUP(B3663, Maps!A:A, Maps!B:B)</f>
        <v>Bear Kingdom</v>
      </c>
    </row>
    <row r="3664" ht="15.75" customHeight="1">
      <c r="A3664" s="1">
        <v>129.0</v>
      </c>
      <c r="B3664" s="1">
        <v>43.0</v>
      </c>
      <c r="C3664" s="1">
        <v>65.0</v>
      </c>
      <c r="D3664" s="1">
        <v>75.0</v>
      </c>
      <c r="F3664" s="1" t="str">
        <f>LOOKUP(A3664, NPCs!A:A, NPCs!C:C)</f>
        <v>Patrol Bear</v>
      </c>
      <c r="G3664" s="1" t="str">
        <f>LOOKUP(B3664, Maps!A:A, Maps!B:B)</f>
        <v>Bear Kingdom</v>
      </c>
    </row>
    <row r="3665" ht="15.75" customHeight="1">
      <c r="A3665" s="1">
        <v>129.0</v>
      </c>
      <c r="B3665" s="1">
        <v>43.0</v>
      </c>
      <c r="C3665" s="1">
        <v>75.0</v>
      </c>
      <c r="D3665" s="1">
        <v>75.0</v>
      </c>
      <c r="F3665" s="1" t="str">
        <f>LOOKUP(A3665, NPCs!A:A, NPCs!C:C)</f>
        <v>Patrol Bear</v>
      </c>
      <c r="G3665" s="1" t="str">
        <f>LOOKUP(B3665, Maps!A:A, Maps!B:B)</f>
        <v>Bear Kingdom</v>
      </c>
    </row>
    <row r="3666" ht="15.75" customHeight="1">
      <c r="A3666" s="1">
        <v>129.0</v>
      </c>
      <c r="B3666" s="1">
        <v>43.0</v>
      </c>
      <c r="C3666" s="1">
        <v>85.0</v>
      </c>
      <c r="D3666" s="1">
        <v>75.0</v>
      </c>
      <c r="F3666" s="1" t="str">
        <f>LOOKUP(A3666, NPCs!A:A, NPCs!C:C)</f>
        <v>Patrol Bear</v>
      </c>
      <c r="G3666" s="1" t="str">
        <f>LOOKUP(B3666, Maps!A:A, Maps!B:B)</f>
        <v>Bear Kingdom</v>
      </c>
    </row>
    <row r="3667" ht="15.75" customHeight="1">
      <c r="A3667" s="1">
        <v>129.0</v>
      </c>
      <c r="B3667" s="1">
        <v>43.0</v>
      </c>
      <c r="C3667" s="1">
        <v>95.0</v>
      </c>
      <c r="D3667" s="1">
        <v>75.0</v>
      </c>
      <c r="F3667" s="1" t="str">
        <f>LOOKUP(A3667, NPCs!A:A, NPCs!C:C)</f>
        <v>Patrol Bear</v>
      </c>
      <c r="G3667" s="1" t="str">
        <f>LOOKUP(B3667, Maps!A:A, Maps!B:B)</f>
        <v>Bear Kingdom</v>
      </c>
    </row>
    <row r="3668" ht="15.75" customHeight="1">
      <c r="A3668" s="1">
        <v>129.0</v>
      </c>
      <c r="B3668" s="1">
        <v>43.0</v>
      </c>
      <c r="C3668" s="1">
        <v>5.0</v>
      </c>
      <c r="D3668" s="1">
        <v>90.0</v>
      </c>
      <c r="F3668" s="1" t="str">
        <f>LOOKUP(A3668, NPCs!A:A, NPCs!C:C)</f>
        <v>Patrol Bear</v>
      </c>
      <c r="G3668" s="1" t="str">
        <f>LOOKUP(B3668, Maps!A:A, Maps!B:B)</f>
        <v>Bear Kingdom</v>
      </c>
    </row>
    <row r="3669" ht="15.75" customHeight="1">
      <c r="A3669" s="1">
        <v>129.0</v>
      </c>
      <c r="B3669" s="1">
        <v>43.0</v>
      </c>
      <c r="C3669" s="1">
        <v>15.0</v>
      </c>
      <c r="D3669" s="1">
        <v>90.0</v>
      </c>
      <c r="F3669" s="1" t="str">
        <f>LOOKUP(A3669, NPCs!A:A, NPCs!C:C)</f>
        <v>Patrol Bear</v>
      </c>
      <c r="G3669" s="1" t="str">
        <f>LOOKUP(B3669, Maps!A:A, Maps!B:B)</f>
        <v>Bear Kingdom</v>
      </c>
    </row>
    <row r="3670" ht="15.75" customHeight="1">
      <c r="A3670" s="1">
        <v>129.0</v>
      </c>
      <c r="B3670" s="1">
        <v>43.0</v>
      </c>
      <c r="C3670" s="1">
        <v>25.0</v>
      </c>
      <c r="D3670" s="1">
        <v>90.0</v>
      </c>
      <c r="F3670" s="1" t="str">
        <f>LOOKUP(A3670, NPCs!A:A, NPCs!C:C)</f>
        <v>Patrol Bear</v>
      </c>
      <c r="G3670" s="1" t="str">
        <f>LOOKUP(B3670, Maps!A:A, Maps!B:B)</f>
        <v>Bear Kingdom</v>
      </c>
    </row>
    <row r="3671" ht="15.75" customHeight="1">
      <c r="A3671" s="1">
        <v>129.0</v>
      </c>
      <c r="B3671" s="1">
        <v>43.0</v>
      </c>
      <c r="C3671" s="1">
        <v>35.0</v>
      </c>
      <c r="D3671" s="1">
        <v>90.0</v>
      </c>
      <c r="F3671" s="1" t="str">
        <f>LOOKUP(A3671, NPCs!A:A, NPCs!C:C)</f>
        <v>Patrol Bear</v>
      </c>
      <c r="G3671" s="1" t="str">
        <f>LOOKUP(B3671, Maps!A:A, Maps!B:B)</f>
        <v>Bear Kingdom</v>
      </c>
    </row>
    <row r="3672" ht="15.75" customHeight="1">
      <c r="A3672" s="1">
        <v>129.0</v>
      </c>
      <c r="B3672" s="1">
        <v>43.0</v>
      </c>
      <c r="C3672" s="1">
        <v>40.0</v>
      </c>
      <c r="D3672" s="1">
        <v>90.0</v>
      </c>
      <c r="F3672" s="1" t="str">
        <f>LOOKUP(A3672, NPCs!A:A, NPCs!C:C)</f>
        <v>Patrol Bear</v>
      </c>
      <c r="G3672" s="1" t="str">
        <f>LOOKUP(B3672, Maps!A:A, Maps!B:B)</f>
        <v>Bear Kingdom</v>
      </c>
    </row>
    <row r="3673" ht="15.75" customHeight="1">
      <c r="A3673" s="1">
        <v>129.0</v>
      </c>
      <c r="B3673" s="1">
        <v>43.0</v>
      </c>
      <c r="C3673" s="1">
        <v>50.0</v>
      </c>
      <c r="D3673" s="1">
        <v>90.0</v>
      </c>
      <c r="F3673" s="1" t="str">
        <f>LOOKUP(A3673, NPCs!A:A, NPCs!C:C)</f>
        <v>Patrol Bear</v>
      </c>
      <c r="G3673" s="1" t="str">
        <f>LOOKUP(B3673, Maps!A:A, Maps!B:B)</f>
        <v>Bear Kingdom</v>
      </c>
    </row>
    <row r="3674" ht="15.75" customHeight="1">
      <c r="A3674" s="1">
        <v>129.0</v>
      </c>
      <c r="B3674" s="1">
        <v>43.0</v>
      </c>
      <c r="C3674" s="1">
        <v>55.0</v>
      </c>
      <c r="D3674" s="1">
        <v>90.0</v>
      </c>
      <c r="F3674" s="1" t="str">
        <f>LOOKUP(A3674, NPCs!A:A, NPCs!C:C)</f>
        <v>Patrol Bear</v>
      </c>
      <c r="G3674" s="1" t="str">
        <f>LOOKUP(B3674, Maps!A:A, Maps!B:B)</f>
        <v>Bear Kingdom</v>
      </c>
    </row>
    <row r="3675" ht="15.75" customHeight="1">
      <c r="A3675" s="1">
        <v>129.0</v>
      </c>
      <c r="B3675" s="1">
        <v>43.0</v>
      </c>
      <c r="C3675" s="1">
        <v>60.0</v>
      </c>
      <c r="D3675" s="1">
        <v>90.0</v>
      </c>
      <c r="F3675" s="1" t="str">
        <f>LOOKUP(A3675, NPCs!A:A, NPCs!C:C)</f>
        <v>Patrol Bear</v>
      </c>
      <c r="G3675" s="1" t="str">
        <f>LOOKUP(B3675, Maps!A:A, Maps!B:B)</f>
        <v>Bear Kingdom</v>
      </c>
    </row>
    <row r="3676" ht="15.75" customHeight="1">
      <c r="A3676" s="1">
        <v>129.0</v>
      </c>
      <c r="B3676" s="1">
        <v>43.0</v>
      </c>
      <c r="C3676" s="1">
        <v>65.0</v>
      </c>
      <c r="D3676" s="1">
        <v>90.0</v>
      </c>
      <c r="F3676" s="1" t="str">
        <f>LOOKUP(A3676, NPCs!A:A, NPCs!C:C)</f>
        <v>Patrol Bear</v>
      </c>
      <c r="G3676" s="1" t="str">
        <f>LOOKUP(B3676, Maps!A:A, Maps!B:B)</f>
        <v>Bear Kingdom</v>
      </c>
    </row>
    <row r="3677" ht="15.75" customHeight="1">
      <c r="A3677" s="1">
        <v>129.0</v>
      </c>
      <c r="B3677" s="1">
        <v>43.0</v>
      </c>
      <c r="C3677" s="1">
        <v>70.0</v>
      </c>
      <c r="D3677" s="1">
        <v>90.0</v>
      </c>
      <c r="F3677" s="1" t="str">
        <f>LOOKUP(A3677, NPCs!A:A, NPCs!C:C)</f>
        <v>Patrol Bear</v>
      </c>
      <c r="G3677" s="1" t="str">
        <f>LOOKUP(B3677, Maps!A:A, Maps!B:B)</f>
        <v>Bear Kingdom</v>
      </c>
    </row>
    <row r="3678" ht="15.75" customHeight="1">
      <c r="A3678" s="1">
        <v>129.0</v>
      </c>
      <c r="B3678" s="1">
        <v>43.0</v>
      </c>
      <c r="C3678" s="1">
        <v>75.0</v>
      </c>
      <c r="D3678" s="1">
        <v>90.0</v>
      </c>
      <c r="F3678" s="1" t="str">
        <f>LOOKUP(A3678, NPCs!A:A, NPCs!C:C)</f>
        <v>Patrol Bear</v>
      </c>
      <c r="G3678" s="1" t="str">
        <f>LOOKUP(B3678, Maps!A:A, Maps!B:B)</f>
        <v>Bear Kingdom</v>
      </c>
    </row>
    <row r="3679" ht="15.75" customHeight="1">
      <c r="A3679" s="1">
        <v>129.0</v>
      </c>
      <c r="B3679" s="1">
        <v>43.0</v>
      </c>
      <c r="C3679" s="1">
        <v>80.0</v>
      </c>
      <c r="D3679" s="1">
        <v>90.0</v>
      </c>
      <c r="F3679" s="1" t="str">
        <f>LOOKUP(A3679, NPCs!A:A, NPCs!C:C)</f>
        <v>Patrol Bear</v>
      </c>
      <c r="G3679" s="1" t="str">
        <f>LOOKUP(B3679, Maps!A:A, Maps!B:B)</f>
        <v>Bear Kingdom</v>
      </c>
    </row>
    <row r="3680" ht="15.75" customHeight="1">
      <c r="A3680" s="1">
        <v>129.0</v>
      </c>
      <c r="B3680" s="1">
        <v>43.0</v>
      </c>
      <c r="C3680" s="1">
        <v>85.0</v>
      </c>
      <c r="D3680" s="1">
        <v>90.0</v>
      </c>
      <c r="F3680" s="1" t="str">
        <f>LOOKUP(A3680, NPCs!A:A, NPCs!C:C)</f>
        <v>Patrol Bear</v>
      </c>
      <c r="G3680" s="1" t="str">
        <f>LOOKUP(B3680, Maps!A:A, Maps!B:B)</f>
        <v>Bear Kingdom</v>
      </c>
    </row>
    <row r="3681" ht="15.75" customHeight="1">
      <c r="A3681" s="1">
        <v>129.0</v>
      </c>
      <c r="B3681" s="1">
        <v>43.0</v>
      </c>
      <c r="C3681" s="1">
        <v>90.0</v>
      </c>
      <c r="D3681" s="1">
        <v>90.0</v>
      </c>
      <c r="F3681" s="1" t="str">
        <f>LOOKUP(A3681, NPCs!A:A, NPCs!C:C)</f>
        <v>Patrol Bear</v>
      </c>
      <c r="G3681" s="1" t="str">
        <f>LOOKUP(B3681, Maps!A:A, Maps!B:B)</f>
        <v>Bear Kingdom</v>
      </c>
    </row>
    <row r="3682" ht="15.75" customHeight="1">
      <c r="A3682" s="1">
        <v>129.0</v>
      </c>
      <c r="B3682" s="1">
        <v>43.0</v>
      </c>
      <c r="C3682" s="1">
        <v>95.0</v>
      </c>
      <c r="D3682" s="1">
        <v>90.0</v>
      </c>
      <c r="F3682" s="1" t="str">
        <f>LOOKUP(A3682, NPCs!A:A, NPCs!C:C)</f>
        <v>Patrol Bear</v>
      </c>
      <c r="G3682" s="1" t="str">
        <f>LOOKUP(B3682, Maps!A:A, Maps!B:B)</f>
        <v>Bear Kingdom</v>
      </c>
    </row>
    <row r="3683" ht="15.75" customHeight="1">
      <c r="A3683" s="1">
        <v>155.0</v>
      </c>
      <c r="B3683" s="1">
        <v>44.0</v>
      </c>
      <c r="C3683" s="1">
        <v>50.0</v>
      </c>
      <c r="D3683" s="1">
        <v>86.0</v>
      </c>
      <c r="F3683" s="1" t="str">
        <f>LOOKUP(A3683, NPCs!A:A, NPCs!C:C)</f>
        <v>The Patriarch</v>
      </c>
      <c r="G3683" s="1" t="str">
        <f>LOOKUP(B3683, Maps!A:A, Maps!B:B)</f>
        <v>Starving Pits</v>
      </c>
    </row>
    <row r="3684" ht="15.75" customHeight="1">
      <c r="A3684" s="1">
        <v>158.0</v>
      </c>
      <c r="B3684" s="1">
        <v>44.0</v>
      </c>
      <c r="C3684" s="1">
        <v>50.0</v>
      </c>
      <c r="D3684" s="1">
        <v>83.0</v>
      </c>
      <c r="F3684" s="1" t="str">
        <f>LOOKUP(A3684, NPCs!A:A, NPCs!C:C)</f>
        <v>Starved Bear</v>
      </c>
      <c r="G3684" s="1" t="str">
        <f>LOOKUP(B3684, Maps!A:A, Maps!B:B)</f>
        <v>Starving Pits</v>
      </c>
    </row>
    <row r="3685" ht="15.75" customHeight="1">
      <c r="A3685" s="1">
        <v>158.0</v>
      </c>
      <c r="B3685" s="1">
        <v>44.0</v>
      </c>
      <c r="C3685" s="1">
        <v>55.0</v>
      </c>
      <c r="D3685" s="1">
        <v>83.0</v>
      </c>
      <c r="F3685" s="1" t="str">
        <f>LOOKUP(A3685, NPCs!A:A, NPCs!C:C)</f>
        <v>Starved Bear</v>
      </c>
      <c r="G3685" s="1" t="str">
        <f>LOOKUP(B3685, Maps!A:A, Maps!B:B)</f>
        <v>Starving Pits</v>
      </c>
    </row>
    <row r="3686" ht="15.75" customHeight="1">
      <c r="A3686" s="1">
        <v>158.0</v>
      </c>
      <c r="B3686" s="1">
        <v>44.0</v>
      </c>
      <c r="C3686" s="1">
        <v>60.0</v>
      </c>
      <c r="D3686" s="1">
        <v>83.0</v>
      </c>
      <c r="F3686" s="1" t="str">
        <f>LOOKUP(A3686, NPCs!A:A, NPCs!C:C)</f>
        <v>Starved Bear</v>
      </c>
      <c r="G3686" s="1" t="str">
        <f>LOOKUP(B3686, Maps!A:A, Maps!B:B)</f>
        <v>Starving Pits</v>
      </c>
    </row>
    <row r="3687" ht="15.75" customHeight="1">
      <c r="A3687" s="1">
        <v>158.0</v>
      </c>
      <c r="B3687" s="1">
        <v>44.0</v>
      </c>
      <c r="C3687" s="1">
        <v>62.0</v>
      </c>
      <c r="D3687" s="1">
        <v>84.0</v>
      </c>
      <c r="F3687" s="1" t="str">
        <f>LOOKUP(A3687, NPCs!A:A, NPCs!C:C)</f>
        <v>Starved Bear</v>
      </c>
      <c r="G3687" s="1" t="str">
        <f>LOOKUP(B3687, Maps!A:A, Maps!B:B)</f>
        <v>Starving Pits</v>
      </c>
    </row>
    <row r="3688" ht="15.75" customHeight="1">
      <c r="A3688" s="1">
        <v>158.0</v>
      </c>
      <c r="B3688" s="1">
        <v>44.0</v>
      </c>
      <c r="C3688" s="1">
        <v>65.0</v>
      </c>
      <c r="D3688" s="1">
        <v>85.0</v>
      </c>
      <c r="F3688" s="1" t="str">
        <f>LOOKUP(A3688, NPCs!A:A, NPCs!C:C)</f>
        <v>Starved Bear</v>
      </c>
      <c r="G3688" s="1" t="str">
        <f>LOOKUP(B3688, Maps!A:A, Maps!B:B)</f>
        <v>Starving Pits</v>
      </c>
    </row>
    <row r="3689" ht="15.75" customHeight="1">
      <c r="A3689" s="1">
        <v>158.0</v>
      </c>
      <c r="B3689" s="1">
        <v>44.0</v>
      </c>
      <c r="C3689" s="1">
        <v>55.0</v>
      </c>
      <c r="D3689" s="1">
        <v>86.0</v>
      </c>
      <c r="F3689" s="1" t="str">
        <f>LOOKUP(A3689, NPCs!A:A, NPCs!C:C)</f>
        <v>Starved Bear</v>
      </c>
      <c r="G3689" s="1" t="str">
        <f>LOOKUP(B3689, Maps!A:A, Maps!B:B)</f>
        <v>Starving Pits</v>
      </c>
    </row>
    <row r="3690" ht="15.75" customHeight="1">
      <c r="A3690" s="1">
        <v>158.0</v>
      </c>
      <c r="B3690" s="1">
        <v>44.0</v>
      </c>
      <c r="C3690" s="1">
        <v>47.0</v>
      </c>
      <c r="D3690" s="1">
        <v>86.0</v>
      </c>
      <c r="F3690" s="1" t="str">
        <f>LOOKUP(A3690, NPCs!A:A, NPCs!C:C)</f>
        <v>Starved Bear</v>
      </c>
      <c r="G3690" s="1" t="str">
        <f>LOOKUP(B3690, Maps!A:A, Maps!B:B)</f>
        <v>Starving Pits</v>
      </c>
    </row>
    <row r="3691" ht="15.75" customHeight="1">
      <c r="A3691" s="1">
        <v>158.0</v>
      </c>
      <c r="B3691" s="1">
        <v>44.0</v>
      </c>
      <c r="C3691" s="1">
        <v>44.0</v>
      </c>
      <c r="D3691" s="1">
        <v>88.0</v>
      </c>
      <c r="F3691" s="1" t="str">
        <f>LOOKUP(A3691, NPCs!A:A, NPCs!C:C)</f>
        <v>Starved Bear</v>
      </c>
      <c r="G3691" s="1" t="str">
        <f>LOOKUP(B3691, Maps!A:A, Maps!B:B)</f>
        <v>Starving Pits</v>
      </c>
    </row>
    <row r="3692" ht="15.75" customHeight="1">
      <c r="A3692" s="1">
        <v>158.0</v>
      </c>
      <c r="B3692" s="1">
        <v>44.0</v>
      </c>
      <c r="C3692" s="1">
        <v>52.0</v>
      </c>
      <c r="D3692" s="1">
        <v>88.0</v>
      </c>
      <c r="F3692" s="1" t="str">
        <f>LOOKUP(A3692, NPCs!A:A, NPCs!C:C)</f>
        <v>Starved Bear</v>
      </c>
      <c r="G3692" s="1" t="str">
        <f>LOOKUP(B3692, Maps!A:A, Maps!B:B)</f>
        <v>Starving Pits</v>
      </c>
    </row>
    <row r="3693" ht="15.75" customHeight="1">
      <c r="A3693" s="1">
        <v>158.0</v>
      </c>
      <c r="B3693" s="1">
        <v>44.0</v>
      </c>
      <c r="C3693" s="1">
        <v>57.0</v>
      </c>
      <c r="D3693" s="1">
        <v>88.0</v>
      </c>
      <c r="F3693" s="1" t="str">
        <f>LOOKUP(A3693, NPCs!A:A, NPCs!C:C)</f>
        <v>Starved Bear</v>
      </c>
      <c r="G3693" s="1" t="str">
        <f>LOOKUP(B3693, Maps!A:A, Maps!B:B)</f>
        <v>Starving Pits</v>
      </c>
    </row>
    <row r="3694" ht="15.75" customHeight="1">
      <c r="A3694" s="1">
        <v>158.0</v>
      </c>
      <c r="B3694" s="1">
        <v>44.0</v>
      </c>
      <c r="C3694" s="1">
        <v>61.0</v>
      </c>
      <c r="D3694" s="1">
        <v>88.0</v>
      </c>
      <c r="F3694" s="1" t="str">
        <f>LOOKUP(A3694, NPCs!A:A, NPCs!C:C)</f>
        <v>Starved Bear</v>
      </c>
      <c r="G3694" s="1" t="str">
        <f>LOOKUP(B3694, Maps!A:A, Maps!B:B)</f>
        <v>Starving Pits</v>
      </c>
    </row>
    <row r="3695" ht="15.75" customHeight="1">
      <c r="A3695" s="1">
        <v>158.0</v>
      </c>
      <c r="B3695" s="1">
        <v>44.0</v>
      </c>
      <c r="C3695" s="1">
        <v>65.0</v>
      </c>
      <c r="D3695" s="1">
        <v>90.0</v>
      </c>
      <c r="F3695" s="1" t="str">
        <f>LOOKUP(A3695, NPCs!A:A, NPCs!C:C)</f>
        <v>Starved Bear</v>
      </c>
      <c r="G3695" s="1" t="str">
        <f>LOOKUP(B3695, Maps!A:A, Maps!B:B)</f>
        <v>Starving Pits</v>
      </c>
    </row>
    <row r="3696" ht="15.75" customHeight="1">
      <c r="A3696" s="1">
        <v>158.0</v>
      </c>
      <c r="B3696" s="1">
        <v>44.0</v>
      </c>
      <c r="C3696" s="1">
        <v>61.0</v>
      </c>
      <c r="D3696" s="1">
        <v>92.0</v>
      </c>
      <c r="F3696" s="1" t="str">
        <f>LOOKUP(A3696, NPCs!A:A, NPCs!C:C)</f>
        <v>Starved Bear</v>
      </c>
      <c r="G3696" s="1" t="str">
        <f>LOOKUP(B3696, Maps!A:A, Maps!B:B)</f>
        <v>Starving Pits</v>
      </c>
    </row>
    <row r="3697" ht="15.75" customHeight="1">
      <c r="A3697" s="1">
        <v>158.0</v>
      </c>
      <c r="B3697" s="1">
        <v>44.0</v>
      </c>
      <c r="C3697" s="1">
        <v>62.0</v>
      </c>
      <c r="D3697" s="1">
        <v>94.0</v>
      </c>
      <c r="F3697" s="1" t="str">
        <f>LOOKUP(A3697, NPCs!A:A, NPCs!C:C)</f>
        <v>Starved Bear</v>
      </c>
      <c r="G3697" s="1" t="str">
        <f>LOOKUP(B3697, Maps!A:A, Maps!B:B)</f>
        <v>Starving Pits</v>
      </c>
    </row>
    <row r="3698" ht="15.75" customHeight="1">
      <c r="A3698" s="1">
        <v>158.0</v>
      </c>
      <c r="B3698" s="1">
        <v>44.0</v>
      </c>
      <c r="C3698" s="1">
        <v>59.0</v>
      </c>
      <c r="D3698" s="1">
        <v>97.0</v>
      </c>
      <c r="F3698" s="1" t="str">
        <f>LOOKUP(A3698, NPCs!A:A, NPCs!C:C)</f>
        <v>Starved Bear</v>
      </c>
      <c r="G3698" s="1" t="str">
        <f>LOOKUP(B3698, Maps!A:A, Maps!B:B)</f>
        <v>Starving Pits</v>
      </c>
    </row>
    <row r="3699" ht="15.75" customHeight="1">
      <c r="A3699" s="1">
        <v>158.0</v>
      </c>
      <c r="B3699" s="1">
        <v>44.0</v>
      </c>
      <c r="C3699" s="1">
        <v>57.0</v>
      </c>
      <c r="D3699" s="1">
        <v>93.0</v>
      </c>
      <c r="F3699" s="1" t="str">
        <f>LOOKUP(A3699, NPCs!A:A, NPCs!C:C)</f>
        <v>Starved Bear</v>
      </c>
      <c r="G3699" s="1" t="str">
        <f>LOOKUP(B3699, Maps!A:A, Maps!B:B)</f>
        <v>Starving Pits</v>
      </c>
    </row>
    <row r="3700" ht="15.75" customHeight="1">
      <c r="A3700" s="1">
        <v>158.0</v>
      </c>
      <c r="B3700" s="1">
        <v>44.0</v>
      </c>
      <c r="C3700" s="1">
        <v>54.0</v>
      </c>
      <c r="D3700" s="1">
        <v>97.0</v>
      </c>
      <c r="F3700" s="1" t="str">
        <f>LOOKUP(A3700, NPCs!A:A, NPCs!C:C)</f>
        <v>Starved Bear</v>
      </c>
      <c r="G3700" s="1" t="str">
        <f>LOOKUP(B3700, Maps!A:A, Maps!B:B)</f>
        <v>Starving Pits</v>
      </c>
    </row>
    <row r="3701" ht="15.75" customHeight="1">
      <c r="A3701" s="1">
        <v>158.0</v>
      </c>
      <c r="B3701" s="1">
        <v>44.0</v>
      </c>
      <c r="C3701" s="1">
        <v>52.0</v>
      </c>
      <c r="D3701" s="1">
        <v>95.0</v>
      </c>
      <c r="F3701" s="1" t="str">
        <f>LOOKUP(A3701, NPCs!A:A, NPCs!C:C)</f>
        <v>Starved Bear</v>
      </c>
      <c r="G3701" s="1" t="str">
        <f>LOOKUP(B3701, Maps!A:A, Maps!B:B)</f>
        <v>Starving Pits</v>
      </c>
    </row>
    <row r="3702" ht="15.75" customHeight="1">
      <c r="A3702" s="1">
        <v>158.0</v>
      </c>
      <c r="B3702" s="1">
        <v>44.0</v>
      </c>
      <c r="C3702" s="1">
        <v>52.0</v>
      </c>
      <c r="D3702" s="1">
        <v>93.0</v>
      </c>
      <c r="F3702" s="1" t="str">
        <f>LOOKUP(A3702, NPCs!A:A, NPCs!C:C)</f>
        <v>Starved Bear</v>
      </c>
      <c r="G3702" s="1" t="str">
        <f>LOOKUP(B3702, Maps!A:A, Maps!B:B)</f>
        <v>Starving Pits</v>
      </c>
    </row>
    <row r="3703" ht="15.75" customHeight="1">
      <c r="A3703" s="1">
        <v>158.0</v>
      </c>
      <c r="B3703" s="1">
        <v>44.0</v>
      </c>
      <c r="C3703" s="1">
        <v>47.0</v>
      </c>
      <c r="D3703" s="1">
        <v>91.0</v>
      </c>
      <c r="F3703" s="1" t="str">
        <f>LOOKUP(A3703, NPCs!A:A, NPCs!C:C)</f>
        <v>Starved Bear</v>
      </c>
      <c r="G3703" s="1" t="str">
        <f>LOOKUP(B3703, Maps!A:A, Maps!B:B)</f>
        <v>Starving Pits</v>
      </c>
    </row>
    <row r="3704" ht="15.75" customHeight="1">
      <c r="A3704" s="1">
        <v>158.0</v>
      </c>
      <c r="B3704" s="1">
        <v>44.0</v>
      </c>
      <c r="C3704" s="1">
        <v>44.0</v>
      </c>
      <c r="D3704" s="1">
        <v>93.0</v>
      </c>
      <c r="F3704" s="1" t="str">
        <f>LOOKUP(A3704, NPCs!A:A, NPCs!C:C)</f>
        <v>Starved Bear</v>
      </c>
      <c r="G3704" s="1" t="str">
        <f>LOOKUP(B3704, Maps!A:A, Maps!B:B)</f>
        <v>Starving Pits</v>
      </c>
    </row>
    <row r="3705" ht="15.75" customHeight="1">
      <c r="A3705" s="1">
        <v>158.0</v>
      </c>
      <c r="B3705" s="1">
        <v>44.0</v>
      </c>
      <c r="C3705" s="1">
        <v>43.0</v>
      </c>
      <c r="D3705" s="1">
        <v>95.0</v>
      </c>
      <c r="F3705" s="1" t="str">
        <f>LOOKUP(A3705, NPCs!A:A, NPCs!C:C)</f>
        <v>Starved Bear</v>
      </c>
      <c r="G3705" s="1" t="str">
        <f>LOOKUP(B3705, Maps!A:A, Maps!B:B)</f>
        <v>Starving Pits</v>
      </c>
    </row>
    <row r="3706" ht="15.75" customHeight="1">
      <c r="A3706" s="1">
        <v>158.0</v>
      </c>
      <c r="B3706" s="1">
        <v>44.0</v>
      </c>
      <c r="C3706" s="1">
        <v>44.0</v>
      </c>
      <c r="D3706" s="1">
        <v>98.0</v>
      </c>
      <c r="F3706" s="1" t="str">
        <f>LOOKUP(A3706, NPCs!A:A, NPCs!C:C)</f>
        <v>Starved Bear</v>
      </c>
      <c r="G3706" s="1" t="str">
        <f>LOOKUP(B3706, Maps!A:A, Maps!B:B)</f>
        <v>Starving Pits</v>
      </c>
    </row>
    <row r="3707" ht="15.75" customHeight="1">
      <c r="A3707" s="1">
        <v>158.0</v>
      </c>
      <c r="B3707" s="1">
        <v>44.0</v>
      </c>
      <c r="C3707" s="1">
        <v>48.0</v>
      </c>
      <c r="D3707" s="1">
        <v>97.0</v>
      </c>
      <c r="F3707" s="1" t="str">
        <f>LOOKUP(A3707, NPCs!A:A, NPCs!C:C)</f>
        <v>Starved Bear</v>
      </c>
      <c r="G3707" s="1" t="str">
        <f>LOOKUP(B3707, Maps!A:A, Maps!B:B)</f>
        <v>Starving Pits</v>
      </c>
    </row>
    <row r="3708" ht="15.75" customHeight="1">
      <c r="A3708" s="1">
        <v>158.0</v>
      </c>
      <c r="B3708" s="1">
        <v>44.0</v>
      </c>
      <c r="C3708" s="1">
        <v>48.0</v>
      </c>
      <c r="D3708" s="1">
        <v>94.0</v>
      </c>
      <c r="F3708" s="1" t="str">
        <f>LOOKUP(A3708, NPCs!A:A, NPCs!C:C)</f>
        <v>Starved Bear</v>
      </c>
      <c r="G3708" s="1" t="str">
        <f>LOOKUP(B3708, Maps!A:A, Maps!B:B)</f>
        <v>Starving Pits</v>
      </c>
    </row>
    <row r="3709" ht="15.75" customHeight="1">
      <c r="A3709" s="1">
        <v>159.0</v>
      </c>
      <c r="B3709" s="1">
        <v>10.0</v>
      </c>
      <c r="C3709" s="1">
        <v>50.0</v>
      </c>
      <c r="D3709" s="1">
        <v>50.0</v>
      </c>
      <c r="F3709" s="1" t="str">
        <f>LOOKUP(A3709, NPCs!A:A, NPCs!C:C)</f>
        <v>Wandering Scribe</v>
      </c>
      <c r="G3709" s="1" t="str">
        <f>LOOKUP(B3709, Maps!A:A, Maps!B:B)</f>
        <v>Dead Forest</v>
      </c>
    </row>
    <row r="3710" ht="15.75" customHeight="1">
      <c r="A3710" s="1">
        <v>160.0</v>
      </c>
      <c r="B3710" s="1">
        <v>6.0</v>
      </c>
      <c r="C3710" s="1">
        <v>50.0</v>
      </c>
      <c r="D3710" s="1">
        <v>70.0</v>
      </c>
      <c r="F3710" s="1" t="str">
        <f>LOOKUP(A3710, NPCs!A:A, NPCs!C:C)</f>
        <v>Wandering Scribe</v>
      </c>
      <c r="G3710" s="1" t="str">
        <f>LOOKUP(B3710, Maps!A:A, Maps!B:B)</f>
        <v>Undead Hallway</v>
      </c>
    </row>
    <row r="3711" ht="15.75" customHeight="1">
      <c r="A3711" s="1">
        <v>161.0</v>
      </c>
      <c r="B3711" s="1">
        <v>24.0</v>
      </c>
      <c r="C3711" s="1">
        <v>46.0</v>
      </c>
      <c r="D3711" s="1">
        <v>34.0</v>
      </c>
      <c r="F3711" s="1" t="str">
        <f>LOOKUP(A3711, NPCs!A:A, NPCs!C:C)</f>
        <v>Ancient Royal</v>
      </c>
      <c r="G3711" s="1" t="str">
        <f>LOOKUP(B3711, Maps!A:A, Maps!B:B)</f>
        <v>The Ancients Dungeon</v>
      </c>
    </row>
    <row r="3712" ht="15.75" customHeight="1">
      <c r="A3712" s="1">
        <v>161.0</v>
      </c>
      <c r="B3712" s="1">
        <v>24.0</v>
      </c>
      <c r="C3712" s="1">
        <v>46.0</v>
      </c>
      <c r="D3712" s="1">
        <v>36.0</v>
      </c>
      <c r="F3712" s="1" t="str">
        <f>LOOKUP(A3712, NPCs!A:A, NPCs!C:C)</f>
        <v>Ancient Royal</v>
      </c>
      <c r="G3712" s="1" t="str">
        <f>LOOKUP(B3712, Maps!A:A, Maps!B:B)</f>
        <v>The Ancients Dungeon</v>
      </c>
    </row>
    <row r="3713" ht="15.75" customHeight="1">
      <c r="A3713" s="1">
        <v>161.0</v>
      </c>
      <c r="B3713" s="1">
        <v>24.0</v>
      </c>
      <c r="C3713" s="1">
        <v>49.0</v>
      </c>
      <c r="D3713" s="1">
        <v>36.0</v>
      </c>
      <c r="F3713" s="1" t="str">
        <f>LOOKUP(A3713, NPCs!A:A, NPCs!C:C)</f>
        <v>Ancient Royal</v>
      </c>
      <c r="G3713" s="1" t="str">
        <f>LOOKUP(B3713, Maps!A:A, Maps!B:B)</f>
        <v>The Ancients Dungeon</v>
      </c>
    </row>
    <row r="3714" ht="15.75" customHeight="1">
      <c r="A3714" s="1">
        <v>161.0</v>
      </c>
      <c r="B3714" s="1">
        <v>24.0</v>
      </c>
      <c r="C3714" s="1">
        <v>49.0</v>
      </c>
      <c r="D3714" s="1">
        <v>34.0</v>
      </c>
      <c r="F3714" s="1" t="str">
        <f>LOOKUP(A3714, NPCs!A:A, NPCs!C:C)</f>
        <v>Ancient Royal</v>
      </c>
      <c r="G3714" s="1" t="str">
        <f>LOOKUP(B3714, Maps!A:A, Maps!B:B)</f>
        <v>The Ancients Dungeon</v>
      </c>
    </row>
    <row r="3715" ht="15.75" customHeight="1">
      <c r="A3715" s="1">
        <v>161.0</v>
      </c>
      <c r="B3715" s="1">
        <v>24.0</v>
      </c>
      <c r="C3715" s="1">
        <v>52.0</v>
      </c>
      <c r="D3715" s="1">
        <v>34.0</v>
      </c>
      <c r="F3715" s="1" t="str">
        <f>LOOKUP(A3715, NPCs!A:A, NPCs!C:C)</f>
        <v>Ancient Royal</v>
      </c>
      <c r="G3715" s="1" t="str">
        <f>LOOKUP(B3715, Maps!A:A, Maps!B:B)</f>
        <v>The Ancients Dungeon</v>
      </c>
    </row>
    <row r="3716" ht="15.75" customHeight="1">
      <c r="A3716" s="1">
        <v>161.0</v>
      </c>
      <c r="B3716" s="1">
        <v>24.0</v>
      </c>
      <c r="C3716" s="1">
        <v>52.0</v>
      </c>
      <c r="D3716" s="1">
        <v>36.0</v>
      </c>
      <c r="F3716" s="1" t="str">
        <f>LOOKUP(A3716, NPCs!A:A, NPCs!C:C)</f>
        <v>Ancient Royal</v>
      </c>
      <c r="G3716" s="1" t="str">
        <f>LOOKUP(B3716, Maps!A:A, Maps!B:B)</f>
        <v>The Ancients Dungeon</v>
      </c>
    </row>
    <row r="3717" ht="15.75" customHeight="1">
      <c r="A3717" s="1">
        <v>161.0</v>
      </c>
      <c r="B3717" s="1">
        <v>24.0</v>
      </c>
      <c r="C3717" s="1">
        <v>55.0</v>
      </c>
      <c r="D3717" s="1">
        <v>36.0</v>
      </c>
      <c r="F3717" s="1" t="str">
        <f>LOOKUP(A3717, NPCs!A:A, NPCs!C:C)</f>
        <v>Ancient Royal</v>
      </c>
      <c r="G3717" s="1" t="str">
        <f>LOOKUP(B3717, Maps!A:A, Maps!B:B)</f>
        <v>The Ancients Dungeon</v>
      </c>
    </row>
    <row r="3718" ht="15.75" customHeight="1">
      <c r="A3718" s="1">
        <v>161.0</v>
      </c>
      <c r="B3718" s="1">
        <v>24.0</v>
      </c>
      <c r="C3718" s="1">
        <v>55.0</v>
      </c>
      <c r="D3718" s="1">
        <v>34.0</v>
      </c>
      <c r="F3718" s="1" t="str">
        <f>LOOKUP(A3718, NPCs!A:A, NPCs!C:C)</f>
        <v>Ancient Royal</v>
      </c>
      <c r="G3718" s="1" t="str">
        <f>LOOKUP(B3718, Maps!A:A, Maps!B:B)</f>
        <v>The Ancients Dungeon</v>
      </c>
    </row>
    <row r="3719" ht="15.75" customHeight="1">
      <c r="A3719" s="1">
        <v>161.0</v>
      </c>
      <c r="B3719" s="1">
        <v>24.0</v>
      </c>
      <c r="C3719" s="1">
        <v>55.0</v>
      </c>
      <c r="D3719" s="1">
        <v>29.0</v>
      </c>
      <c r="F3719" s="1" t="str">
        <f>LOOKUP(A3719, NPCs!A:A, NPCs!C:C)</f>
        <v>Ancient Royal</v>
      </c>
      <c r="G3719" s="1" t="str">
        <f>LOOKUP(B3719, Maps!A:A, Maps!B:B)</f>
        <v>The Ancients Dungeon</v>
      </c>
    </row>
    <row r="3720" ht="15.75" customHeight="1">
      <c r="A3720" s="1">
        <v>161.0</v>
      </c>
      <c r="B3720" s="1">
        <v>24.0</v>
      </c>
      <c r="C3720" s="1">
        <v>55.0</v>
      </c>
      <c r="D3720" s="1">
        <v>25.0</v>
      </c>
      <c r="F3720" s="1" t="str">
        <f>LOOKUP(A3720, NPCs!A:A, NPCs!C:C)</f>
        <v>Ancient Royal</v>
      </c>
      <c r="G3720" s="1" t="str">
        <f>LOOKUP(B3720, Maps!A:A, Maps!B:B)</f>
        <v>The Ancients Dungeon</v>
      </c>
    </row>
    <row r="3721" ht="15.75" customHeight="1">
      <c r="A3721" s="1">
        <v>161.0</v>
      </c>
      <c r="B3721" s="1">
        <v>24.0</v>
      </c>
      <c r="C3721" s="1">
        <v>46.0</v>
      </c>
      <c r="D3721" s="1">
        <v>29.0</v>
      </c>
      <c r="F3721" s="1" t="str">
        <f>LOOKUP(A3721, NPCs!A:A, NPCs!C:C)</f>
        <v>Ancient Royal</v>
      </c>
      <c r="G3721" s="1" t="str">
        <f>LOOKUP(B3721, Maps!A:A, Maps!B:B)</f>
        <v>The Ancients Dungeon</v>
      </c>
    </row>
    <row r="3722" ht="15.75" customHeight="1">
      <c r="A3722" s="1">
        <v>161.0</v>
      </c>
      <c r="B3722" s="1">
        <v>24.0</v>
      </c>
      <c r="C3722" s="1">
        <v>46.0</v>
      </c>
      <c r="D3722" s="1">
        <v>25.0</v>
      </c>
      <c r="F3722" s="1" t="str">
        <f>LOOKUP(A3722, NPCs!A:A, NPCs!C:C)</f>
        <v>Ancient Royal</v>
      </c>
      <c r="G3722" s="1" t="str">
        <f>LOOKUP(B3722, Maps!A:A, Maps!B:B)</f>
        <v>The Ancients Dungeon</v>
      </c>
    </row>
    <row r="3723" ht="15.75" customHeight="1">
      <c r="A3723" s="1">
        <v>161.0</v>
      </c>
      <c r="B3723" s="1">
        <v>24.0</v>
      </c>
      <c r="C3723" s="1">
        <v>46.0</v>
      </c>
      <c r="D3723" s="1">
        <v>21.0</v>
      </c>
      <c r="F3723" s="1" t="str">
        <f>LOOKUP(A3723, NPCs!A:A, NPCs!C:C)</f>
        <v>Ancient Royal</v>
      </c>
      <c r="G3723" s="1" t="str">
        <f>LOOKUP(B3723, Maps!A:A, Maps!B:B)</f>
        <v>The Ancients Dungeon</v>
      </c>
    </row>
    <row r="3724" ht="15.75" customHeight="1">
      <c r="A3724" s="1">
        <v>161.0</v>
      </c>
      <c r="B3724" s="1">
        <v>24.0</v>
      </c>
      <c r="C3724" s="1">
        <v>55.0</v>
      </c>
      <c r="D3724" s="1">
        <v>21.0</v>
      </c>
      <c r="F3724" s="1" t="str">
        <f>LOOKUP(A3724, NPCs!A:A, NPCs!C:C)</f>
        <v>Ancient Royal</v>
      </c>
      <c r="G3724" s="1" t="str">
        <f>LOOKUP(B3724, Maps!A:A, Maps!B:B)</f>
        <v>The Ancients Dungeon</v>
      </c>
    </row>
    <row r="3725" ht="15.75" customHeight="1">
      <c r="A3725" s="1">
        <v>161.0</v>
      </c>
      <c r="B3725" s="1">
        <v>24.0</v>
      </c>
      <c r="C3725" s="1">
        <v>55.0</v>
      </c>
      <c r="D3725" s="1">
        <v>16.0</v>
      </c>
      <c r="F3725" s="1" t="str">
        <f>LOOKUP(A3725, NPCs!A:A, NPCs!C:C)</f>
        <v>Ancient Royal</v>
      </c>
      <c r="G3725" s="1" t="str">
        <f>LOOKUP(B3725, Maps!A:A, Maps!B:B)</f>
        <v>The Ancients Dungeon</v>
      </c>
    </row>
    <row r="3726" ht="15.75" customHeight="1">
      <c r="A3726" s="1">
        <v>161.0</v>
      </c>
      <c r="B3726" s="1">
        <v>24.0</v>
      </c>
      <c r="C3726" s="1">
        <v>55.0</v>
      </c>
      <c r="D3726" s="1">
        <v>12.0</v>
      </c>
      <c r="F3726" s="1" t="str">
        <f>LOOKUP(A3726, NPCs!A:A, NPCs!C:C)</f>
        <v>Ancient Royal</v>
      </c>
      <c r="G3726" s="1" t="str">
        <f>LOOKUP(B3726, Maps!A:A, Maps!B:B)</f>
        <v>The Ancients Dungeon</v>
      </c>
    </row>
    <row r="3727" ht="15.75" customHeight="1">
      <c r="A3727" s="1">
        <v>161.0</v>
      </c>
      <c r="B3727" s="1">
        <v>24.0</v>
      </c>
      <c r="C3727" s="1">
        <v>51.0</v>
      </c>
      <c r="D3727" s="1">
        <v>14.0</v>
      </c>
      <c r="F3727" s="1" t="str">
        <f>LOOKUP(A3727, NPCs!A:A, NPCs!C:C)</f>
        <v>Ancient Royal</v>
      </c>
      <c r="G3727" s="1" t="str">
        <f>LOOKUP(B3727, Maps!A:A, Maps!B:B)</f>
        <v>The Ancients Dungeon</v>
      </c>
    </row>
    <row r="3728" ht="15.75" customHeight="1">
      <c r="A3728" s="1">
        <v>161.0</v>
      </c>
      <c r="B3728" s="1">
        <v>24.0</v>
      </c>
      <c r="C3728" s="1">
        <v>50.0</v>
      </c>
      <c r="D3728" s="1">
        <v>14.0</v>
      </c>
      <c r="F3728" s="1" t="str">
        <f>LOOKUP(A3728, NPCs!A:A, NPCs!C:C)</f>
        <v>Ancient Royal</v>
      </c>
      <c r="G3728" s="1" t="str">
        <f>LOOKUP(B3728, Maps!A:A, Maps!B:B)</f>
        <v>The Ancients Dungeon</v>
      </c>
    </row>
    <row r="3729" ht="15.75" customHeight="1">
      <c r="A3729" s="1">
        <v>161.0</v>
      </c>
      <c r="B3729" s="1">
        <v>24.0</v>
      </c>
      <c r="C3729" s="1">
        <v>49.0</v>
      </c>
      <c r="D3729" s="1">
        <v>14.0</v>
      </c>
      <c r="F3729" s="1" t="str">
        <f>LOOKUP(A3729, NPCs!A:A, NPCs!C:C)</f>
        <v>Ancient Royal</v>
      </c>
      <c r="G3729" s="1" t="str">
        <f>LOOKUP(B3729, Maps!A:A, Maps!B:B)</f>
        <v>The Ancients Dungeon</v>
      </c>
    </row>
    <row r="3730" ht="15.75" customHeight="1">
      <c r="A3730" s="1">
        <v>161.0</v>
      </c>
      <c r="B3730" s="1">
        <v>24.0</v>
      </c>
      <c r="C3730" s="1">
        <v>46.0</v>
      </c>
      <c r="D3730" s="1">
        <v>16.0</v>
      </c>
      <c r="F3730" s="1" t="str">
        <f>LOOKUP(A3730, NPCs!A:A, NPCs!C:C)</f>
        <v>Ancient Royal</v>
      </c>
      <c r="G3730" s="1" t="str">
        <f>LOOKUP(B3730, Maps!A:A, Maps!B:B)</f>
        <v>The Ancients Dungeon</v>
      </c>
    </row>
    <row r="3731" ht="15.75" customHeight="1">
      <c r="A3731" s="1">
        <v>161.0</v>
      </c>
      <c r="B3731" s="1">
        <v>24.0</v>
      </c>
      <c r="C3731" s="1">
        <v>46.0</v>
      </c>
      <c r="D3731" s="1">
        <v>12.0</v>
      </c>
      <c r="F3731" s="1" t="str">
        <f>LOOKUP(A3731, NPCs!A:A, NPCs!C:C)</f>
        <v>Ancient Royal</v>
      </c>
      <c r="G3731" s="1" t="str">
        <f>LOOKUP(B3731, Maps!A:A, Maps!B:B)</f>
        <v>The Ancients Dungeon</v>
      </c>
    </row>
    <row r="3732" ht="15.75" customHeight="1">
      <c r="A3732" s="1">
        <v>161.0</v>
      </c>
      <c r="B3732" s="1">
        <v>29.0</v>
      </c>
      <c r="C3732" s="1">
        <v>46.0</v>
      </c>
      <c r="D3732" s="1">
        <v>45.0</v>
      </c>
      <c r="F3732" s="1" t="str">
        <f>LOOKUP(A3732, NPCs!A:A, NPCs!C:C)</f>
        <v>Ancient Royal</v>
      </c>
      <c r="G3732" s="1" t="str">
        <f>LOOKUP(B3732, Maps!A:A, Maps!B:B)</f>
        <v>The Ancients Dungeon</v>
      </c>
    </row>
    <row r="3733" ht="15.75" customHeight="1">
      <c r="A3733" s="1">
        <v>161.0</v>
      </c>
      <c r="B3733" s="1">
        <v>29.0</v>
      </c>
      <c r="C3733" s="1">
        <v>47.0</v>
      </c>
      <c r="D3733" s="1">
        <v>43.0</v>
      </c>
      <c r="F3733" s="1" t="str">
        <f>LOOKUP(A3733, NPCs!A:A, NPCs!C:C)</f>
        <v>Ancient Royal</v>
      </c>
      <c r="G3733" s="1" t="str">
        <f>LOOKUP(B3733, Maps!A:A, Maps!B:B)</f>
        <v>The Ancients Dungeon</v>
      </c>
    </row>
    <row r="3734" ht="15.75" customHeight="1">
      <c r="A3734" s="1">
        <v>161.0</v>
      </c>
      <c r="B3734" s="1">
        <v>29.0</v>
      </c>
      <c r="C3734" s="1">
        <v>43.0</v>
      </c>
      <c r="D3734" s="1">
        <v>50.0</v>
      </c>
      <c r="F3734" s="1" t="str">
        <f>LOOKUP(A3734, NPCs!A:A, NPCs!C:C)</f>
        <v>Ancient Royal</v>
      </c>
      <c r="G3734" s="1" t="str">
        <f>LOOKUP(B3734, Maps!A:A, Maps!B:B)</f>
        <v>The Ancients Dungeon</v>
      </c>
    </row>
    <row r="3735" ht="15.75" customHeight="1">
      <c r="A3735" s="1">
        <v>161.0</v>
      </c>
      <c r="B3735" s="1">
        <v>29.0</v>
      </c>
      <c r="C3735" s="1">
        <v>47.0</v>
      </c>
      <c r="D3735" s="1">
        <v>50.0</v>
      </c>
      <c r="F3735" s="1" t="str">
        <f>LOOKUP(A3735, NPCs!A:A, NPCs!C:C)</f>
        <v>Ancient Royal</v>
      </c>
      <c r="G3735" s="1" t="str">
        <f>LOOKUP(B3735, Maps!A:A, Maps!B:B)</f>
        <v>The Ancients Dungeon</v>
      </c>
    </row>
    <row r="3736" ht="15.75" customHeight="1">
      <c r="A3736" s="1">
        <v>161.0</v>
      </c>
      <c r="B3736" s="1">
        <v>29.0</v>
      </c>
      <c r="C3736" s="1">
        <v>47.0</v>
      </c>
      <c r="D3736" s="1">
        <v>53.0</v>
      </c>
      <c r="F3736" s="1" t="str">
        <f>LOOKUP(A3736, NPCs!A:A, NPCs!C:C)</f>
        <v>Ancient Royal</v>
      </c>
      <c r="G3736" s="1" t="str">
        <f>LOOKUP(B3736, Maps!A:A, Maps!B:B)</f>
        <v>The Ancients Dungeon</v>
      </c>
    </row>
    <row r="3737" ht="15.75" customHeight="1">
      <c r="A3737" s="1">
        <v>161.0</v>
      </c>
      <c r="B3737" s="1">
        <v>29.0</v>
      </c>
      <c r="C3737" s="1">
        <v>42.0</v>
      </c>
      <c r="D3737" s="1">
        <v>53.0</v>
      </c>
      <c r="F3737" s="1" t="str">
        <f>LOOKUP(A3737, NPCs!A:A, NPCs!C:C)</f>
        <v>Ancient Royal</v>
      </c>
      <c r="G3737" s="1" t="str">
        <f>LOOKUP(B3737, Maps!A:A, Maps!B:B)</f>
        <v>The Ancients Dungeon</v>
      </c>
    </row>
    <row r="3738" ht="15.75" customHeight="1">
      <c r="A3738" s="1">
        <v>161.0</v>
      </c>
      <c r="B3738" s="1">
        <v>29.0</v>
      </c>
      <c r="C3738" s="1">
        <v>44.0</v>
      </c>
      <c r="D3738" s="1">
        <v>56.0</v>
      </c>
      <c r="F3738" s="1" t="str">
        <f>LOOKUP(A3738, NPCs!A:A, NPCs!C:C)</f>
        <v>Ancient Royal</v>
      </c>
      <c r="G3738" s="1" t="str">
        <f>LOOKUP(B3738, Maps!A:A, Maps!B:B)</f>
        <v>The Ancients Dungeon</v>
      </c>
    </row>
    <row r="3739" ht="15.75" customHeight="1">
      <c r="A3739" s="1">
        <v>161.0</v>
      </c>
      <c r="B3739" s="1">
        <v>29.0</v>
      </c>
      <c r="C3739" s="1">
        <v>52.0</v>
      </c>
      <c r="D3739" s="1">
        <v>46.0</v>
      </c>
      <c r="F3739" s="1" t="str">
        <f>LOOKUP(A3739, NPCs!A:A, NPCs!C:C)</f>
        <v>Ancient Royal</v>
      </c>
      <c r="G3739" s="1" t="str">
        <f>LOOKUP(B3739, Maps!A:A, Maps!B:B)</f>
        <v>The Ancients Dungeon</v>
      </c>
    </row>
    <row r="3740" ht="15.75" customHeight="1">
      <c r="A3740" s="1">
        <v>161.0</v>
      </c>
      <c r="B3740" s="1">
        <v>29.0</v>
      </c>
      <c r="C3740" s="1">
        <v>53.0</v>
      </c>
      <c r="D3740" s="1">
        <v>44.0</v>
      </c>
      <c r="F3740" s="1" t="str">
        <f>LOOKUP(A3740, NPCs!A:A, NPCs!C:C)</f>
        <v>Ancient Royal</v>
      </c>
      <c r="G3740" s="1" t="str">
        <f>LOOKUP(B3740, Maps!A:A, Maps!B:B)</f>
        <v>The Ancients Dungeon</v>
      </c>
    </row>
    <row r="3741" ht="15.75" customHeight="1">
      <c r="A3741" s="1">
        <v>161.0</v>
      </c>
      <c r="B3741" s="1">
        <v>29.0</v>
      </c>
      <c r="C3741" s="1">
        <v>56.0</v>
      </c>
      <c r="D3741" s="1">
        <v>43.0</v>
      </c>
      <c r="F3741" s="1" t="str">
        <f>LOOKUP(A3741, NPCs!A:A, NPCs!C:C)</f>
        <v>Ancient Royal</v>
      </c>
      <c r="G3741" s="1" t="str">
        <f>LOOKUP(B3741, Maps!A:A, Maps!B:B)</f>
        <v>The Ancients Dungeon</v>
      </c>
    </row>
    <row r="3742" ht="15.75" customHeight="1">
      <c r="A3742" s="1">
        <v>161.0</v>
      </c>
      <c r="B3742" s="1">
        <v>29.0</v>
      </c>
      <c r="C3742" s="1">
        <v>58.0</v>
      </c>
      <c r="D3742" s="1">
        <v>45.0</v>
      </c>
      <c r="F3742" s="1" t="str">
        <f>LOOKUP(A3742, NPCs!A:A, NPCs!C:C)</f>
        <v>Ancient Royal</v>
      </c>
      <c r="G3742" s="1" t="str">
        <f>LOOKUP(B3742, Maps!A:A, Maps!B:B)</f>
        <v>The Ancients Dungeon</v>
      </c>
    </row>
    <row r="3743" ht="15.75" customHeight="1">
      <c r="A3743" s="1">
        <v>161.0</v>
      </c>
      <c r="B3743" s="1">
        <v>29.0</v>
      </c>
      <c r="C3743" s="1">
        <v>56.0</v>
      </c>
      <c r="D3743" s="1">
        <v>46.0</v>
      </c>
      <c r="F3743" s="1" t="str">
        <f>LOOKUP(A3743, NPCs!A:A, NPCs!C:C)</f>
        <v>Ancient Royal</v>
      </c>
      <c r="G3743" s="1" t="str">
        <f>LOOKUP(B3743, Maps!A:A, Maps!B:B)</f>
        <v>The Ancients Dungeon</v>
      </c>
    </row>
    <row r="3744" ht="15.75" customHeight="1">
      <c r="A3744" s="1">
        <v>161.0</v>
      </c>
      <c r="B3744" s="1">
        <v>29.0</v>
      </c>
      <c r="C3744" s="1">
        <v>56.0</v>
      </c>
      <c r="D3744" s="1">
        <v>51.0</v>
      </c>
      <c r="F3744" s="1" t="str">
        <f>LOOKUP(A3744, NPCs!A:A, NPCs!C:C)</f>
        <v>Ancient Royal</v>
      </c>
      <c r="G3744" s="1" t="str">
        <f>LOOKUP(B3744, Maps!A:A, Maps!B:B)</f>
        <v>The Ancients Dungeon</v>
      </c>
    </row>
    <row r="3745" ht="15.75" customHeight="1">
      <c r="A3745" s="1">
        <v>161.0</v>
      </c>
      <c r="B3745" s="1">
        <v>29.0</v>
      </c>
      <c r="C3745" s="1">
        <v>52.0</v>
      </c>
      <c r="D3745" s="1">
        <v>51.0</v>
      </c>
      <c r="F3745" s="1" t="str">
        <f>LOOKUP(A3745, NPCs!A:A, NPCs!C:C)</f>
        <v>Ancient Royal</v>
      </c>
      <c r="G3745" s="1" t="str">
        <f>LOOKUP(B3745, Maps!A:A, Maps!B:B)</f>
        <v>The Ancients Dungeon</v>
      </c>
    </row>
    <row r="3746" ht="15.75" customHeight="1">
      <c r="A3746" s="1">
        <v>161.0</v>
      </c>
      <c r="B3746" s="1">
        <v>29.0</v>
      </c>
      <c r="C3746" s="1">
        <v>53.0</v>
      </c>
      <c r="D3746" s="1">
        <v>56.0</v>
      </c>
      <c r="F3746" s="1" t="str">
        <f>LOOKUP(A3746, NPCs!A:A, NPCs!C:C)</f>
        <v>Ancient Royal</v>
      </c>
      <c r="G3746" s="1" t="str">
        <f>LOOKUP(B3746, Maps!A:A, Maps!B:B)</f>
        <v>The Ancients Dungeon</v>
      </c>
    </row>
    <row r="3747" ht="15.75" customHeight="1">
      <c r="A3747" s="1">
        <v>161.0</v>
      </c>
      <c r="B3747" s="1">
        <v>29.0</v>
      </c>
      <c r="C3747" s="1">
        <v>57.0</v>
      </c>
      <c r="D3747" s="1">
        <v>56.0</v>
      </c>
      <c r="F3747" s="1" t="str">
        <f>LOOKUP(A3747, NPCs!A:A, NPCs!C:C)</f>
        <v>Ancient Royal</v>
      </c>
      <c r="G3747" s="1" t="str">
        <f>LOOKUP(B3747, Maps!A:A, Maps!B:B)</f>
        <v>The Ancients Dungeon</v>
      </c>
    </row>
    <row r="3748" ht="15.75" customHeight="1">
      <c r="A3748" s="1">
        <v>162.0</v>
      </c>
      <c r="B3748" s="1">
        <v>29.0</v>
      </c>
      <c r="C3748" s="1">
        <v>44.0</v>
      </c>
      <c r="D3748" s="1">
        <v>44.0</v>
      </c>
      <c r="F3748" s="1" t="str">
        <f>LOOKUP(A3748, NPCs!A:A, NPCs!C:C)</f>
        <v>King Terror</v>
      </c>
      <c r="G3748" s="1" t="str">
        <f>LOOKUP(B3748, Maps!A:A, Maps!B:B)</f>
        <v>The Ancients Dungeon</v>
      </c>
    </row>
    <row r="3749" ht="15.75" customHeight="1">
      <c r="A3749" s="1">
        <v>163.0</v>
      </c>
      <c r="B3749" s="1">
        <v>24.0</v>
      </c>
      <c r="C3749" s="1">
        <v>46.0</v>
      </c>
      <c r="D3749" s="1">
        <v>8.0</v>
      </c>
      <c r="F3749" s="1" t="str">
        <f>LOOKUP(A3749, NPCs!A:A, NPCs!C:C)</f>
        <v>Prince Punisher</v>
      </c>
      <c r="G3749" s="1" t="str">
        <f>LOOKUP(B3749, Maps!A:A, Maps!B:B)</f>
        <v>The Ancients Dungeon</v>
      </c>
    </row>
    <row r="3750" ht="15.75" customHeight="1">
      <c r="A3750" s="1">
        <v>164.0</v>
      </c>
      <c r="B3750" s="1">
        <v>24.0</v>
      </c>
      <c r="C3750" s="1">
        <v>55.0</v>
      </c>
      <c r="D3750" s="1">
        <v>8.0</v>
      </c>
      <c r="F3750" s="1" t="str">
        <f>LOOKUP(A3750, NPCs!A:A, NPCs!C:C)</f>
        <v>Queen Butcher</v>
      </c>
      <c r="G3750" s="1" t="str">
        <f>LOOKUP(B3750, Maps!A:A, Maps!B:B)</f>
        <v>The Ancients Dungeon</v>
      </c>
    </row>
    <row r="3751" ht="15.75" customHeight="1">
      <c r="A3751" s="1">
        <v>165.0</v>
      </c>
      <c r="B3751" s="1">
        <v>24.0</v>
      </c>
      <c r="C3751" s="1">
        <v>52.0</v>
      </c>
      <c r="D3751" s="1">
        <v>8.0</v>
      </c>
      <c r="F3751" s="1" t="str">
        <f>LOOKUP(A3751, NPCs!A:A, NPCs!C:C)</f>
        <v>Princess Slayer</v>
      </c>
      <c r="G3751" s="1" t="str">
        <f>LOOKUP(B3751, Maps!A:A, Maps!B:B)</f>
        <v>The Ancients Dungeon</v>
      </c>
    </row>
    <row r="3752" ht="15.75" customHeight="1">
      <c r="A3752" s="1">
        <v>170.0</v>
      </c>
      <c r="B3752" s="1">
        <v>1.0</v>
      </c>
      <c r="C3752" s="1">
        <v>46.0</v>
      </c>
      <c r="D3752" s="1">
        <v>50.0</v>
      </c>
      <c r="F3752" s="1" t="str">
        <f>LOOKUP(A3752, NPCs!A:A, NPCs!C:C)</f>
        <v>Phat Lewtz</v>
      </c>
      <c r="G3752" s="1" t="str">
        <f>LOOKUP(B3752, Maps!A:A, Maps!B:B)</f>
        <v>Minita</v>
      </c>
    </row>
    <row r="3753" ht="15.75" customHeight="1">
      <c r="A3753" s="1">
        <v>171.0</v>
      </c>
      <c r="B3753" s="1">
        <v>22.0</v>
      </c>
      <c r="C3753" s="1">
        <v>10.0</v>
      </c>
      <c r="D3753" s="1">
        <v>39.0</v>
      </c>
      <c r="F3753" s="1" t="str">
        <f>LOOKUP(A3753, NPCs!A:A, NPCs!C:C)</f>
        <v>Team 1 Guard</v>
      </c>
      <c r="G3753" s="1">
        <f>LOOKUP(B3753, Maps!A:A, Maps!B:B)</f>
        <v>22</v>
      </c>
    </row>
    <row r="3754" ht="15.75" customHeight="1">
      <c r="A3754" s="1">
        <v>171.0</v>
      </c>
      <c r="B3754" s="1">
        <v>22.0</v>
      </c>
      <c r="C3754" s="1">
        <v>10.0</v>
      </c>
      <c r="D3754" s="1">
        <v>42.0</v>
      </c>
      <c r="F3754" s="1" t="str">
        <f>LOOKUP(A3754, NPCs!A:A, NPCs!C:C)</f>
        <v>Team 1 Guard</v>
      </c>
      <c r="G3754" s="1">
        <f>LOOKUP(B3754, Maps!A:A, Maps!B:B)</f>
        <v>22</v>
      </c>
    </row>
    <row r="3755" ht="15.75" customHeight="1">
      <c r="A3755" s="1">
        <v>171.0</v>
      </c>
      <c r="B3755" s="1">
        <v>22.0</v>
      </c>
      <c r="C3755" s="1">
        <v>10.0</v>
      </c>
      <c r="D3755" s="1">
        <v>45.0</v>
      </c>
      <c r="F3755" s="1" t="str">
        <f>LOOKUP(A3755, NPCs!A:A, NPCs!C:C)</f>
        <v>Team 1 Guard</v>
      </c>
      <c r="G3755" s="1">
        <f>LOOKUP(B3755, Maps!A:A, Maps!B:B)</f>
        <v>22</v>
      </c>
    </row>
    <row r="3756" ht="15.75" customHeight="1">
      <c r="A3756" s="1">
        <v>171.0</v>
      </c>
      <c r="B3756" s="1">
        <v>22.0</v>
      </c>
      <c r="C3756" s="1">
        <v>10.0</v>
      </c>
      <c r="D3756" s="1">
        <v>48.0</v>
      </c>
      <c r="F3756" s="1" t="str">
        <f>LOOKUP(A3756, NPCs!A:A, NPCs!C:C)</f>
        <v>Team 1 Guard</v>
      </c>
      <c r="G3756" s="1">
        <f>LOOKUP(B3756, Maps!A:A, Maps!B:B)</f>
        <v>22</v>
      </c>
    </row>
    <row r="3757" ht="15.75" customHeight="1">
      <c r="A3757" s="1">
        <v>171.0</v>
      </c>
      <c r="B3757" s="1">
        <v>22.0</v>
      </c>
      <c r="C3757" s="1">
        <v>5.0</v>
      </c>
      <c r="D3757" s="1">
        <v>45.0</v>
      </c>
      <c r="F3757" s="1" t="str">
        <f>LOOKUP(A3757, NPCs!A:A, NPCs!C:C)</f>
        <v>Team 1 Guard</v>
      </c>
      <c r="G3757" s="1">
        <f>LOOKUP(B3757, Maps!A:A, Maps!B:B)</f>
        <v>22</v>
      </c>
    </row>
    <row r="3758" ht="15.75" customHeight="1">
      <c r="A3758" s="1">
        <v>171.0</v>
      </c>
      <c r="B3758" s="1">
        <v>22.0</v>
      </c>
      <c r="C3758" s="1">
        <v>4.0</v>
      </c>
      <c r="D3758" s="1">
        <v>44.0</v>
      </c>
      <c r="F3758" s="1" t="str">
        <f>LOOKUP(A3758, NPCs!A:A, NPCs!C:C)</f>
        <v>Team 1 Guard</v>
      </c>
      <c r="G3758" s="1">
        <f>LOOKUP(B3758, Maps!A:A, Maps!B:B)</f>
        <v>22</v>
      </c>
    </row>
    <row r="3759" ht="15.75" customHeight="1">
      <c r="A3759" s="1">
        <v>171.0</v>
      </c>
      <c r="B3759" s="1">
        <v>22.0</v>
      </c>
      <c r="C3759" s="1">
        <v>5.0</v>
      </c>
      <c r="D3759" s="1">
        <v>43.0</v>
      </c>
      <c r="F3759" s="1" t="str">
        <f>LOOKUP(A3759, NPCs!A:A, NPCs!C:C)</f>
        <v>Team 1 Guard</v>
      </c>
      <c r="G3759" s="1">
        <f>LOOKUP(B3759, Maps!A:A, Maps!B:B)</f>
        <v>22</v>
      </c>
    </row>
    <row r="3760" ht="15.75" customHeight="1">
      <c r="A3760" s="1">
        <v>171.0</v>
      </c>
      <c r="B3760" s="1">
        <v>22.0</v>
      </c>
      <c r="C3760" s="1">
        <v>6.0</v>
      </c>
      <c r="D3760" s="1">
        <v>44.0</v>
      </c>
      <c r="F3760" s="1" t="str">
        <f>LOOKUP(A3760, NPCs!A:A, NPCs!C:C)</f>
        <v>Team 1 Guard</v>
      </c>
      <c r="G3760" s="1">
        <f>LOOKUP(B3760, Maps!A:A, Maps!B:B)</f>
        <v>22</v>
      </c>
    </row>
    <row r="3761" ht="15.75" customHeight="1">
      <c r="A3761" s="1">
        <v>171.0</v>
      </c>
      <c r="B3761" s="1">
        <v>22.0</v>
      </c>
      <c r="C3761" s="1">
        <v>14.0</v>
      </c>
      <c r="D3761" s="1">
        <v>39.0</v>
      </c>
      <c r="F3761" s="1" t="str">
        <f>LOOKUP(A3761, NPCs!A:A, NPCs!C:C)</f>
        <v>Team 1 Guard</v>
      </c>
      <c r="G3761" s="1">
        <f>LOOKUP(B3761, Maps!A:A, Maps!B:B)</f>
        <v>22</v>
      </c>
    </row>
    <row r="3762" ht="15.75" customHeight="1">
      <c r="A3762" s="1">
        <v>171.0</v>
      </c>
      <c r="B3762" s="1">
        <v>22.0</v>
      </c>
      <c r="C3762" s="1">
        <v>14.0</v>
      </c>
      <c r="D3762" s="1">
        <v>42.0</v>
      </c>
      <c r="F3762" s="1" t="str">
        <f>LOOKUP(A3762, NPCs!A:A, NPCs!C:C)</f>
        <v>Team 1 Guard</v>
      </c>
      <c r="G3762" s="1">
        <f>LOOKUP(B3762, Maps!A:A, Maps!B:B)</f>
        <v>22</v>
      </c>
    </row>
    <row r="3763" ht="15.75" customHeight="1">
      <c r="A3763" s="1">
        <v>171.0</v>
      </c>
      <c r="B3763" s="1">
        <v>22.0</v>
      </c>
      <c r="C3763" s="1">
        <v>14.0</v>
      </c>
      <c r="D3763" s="1">
        <v>45.0</v>
      </c>
      <c r="F3763" s="1" t="str">
        <f>LOOKUP(A3763, NPCs!A:A, NPCs!C:C)</f>
        <v>Team 1 Guard</v>
      </c>
      <c r="G3763" s="1">
        <f>LOOKUP(B3763, Maps!A:A, Maps!B:B)</f>
        <v>22</v>
      </c>
    </row>
    <row r="3764" ht="15.75" customHeight="1">
      <c r="A3764" s="1">
        <v>171.0</v>
      </c>
      <c r="B3764" s="1">
        <v>22.0</v>
      </c>
      <c r="C3764" s="1">
        <v>14.0</v>
      </c>
      <c r="D3764" s="1">
        <v>48.0</v>
      </c>
      <c r="F3764" s="1" t="str">
        <f>LOOKUP(A3764, NPCs!A:A, NPCs!C:C)</f>
        <v>Team 1 Guard</v>
      </c>
      <c r="G3764" s="1">
        <f>LOOKUP(B3764, Maps!A:A, Maps!B:B)</f>
        <v>22</v>
      </c>
    </row>
    <row r="3765" ht="15.75" customHeight="1">
      <c r="A3765" s="1">
        <v>171.0</v>
      </c>
      <c r="B3765" s="1">
        <v>22.0</v>
      </c>
      <c r="C3765" s="1">
        <v>18.0</v>
      </c>
      <c r="D3765" s="1">
        <v>48.0</v>
      </c>
      <c r="F3765" s="1" t="str">
        <f>LOOKUP(A3765, NPCs!A:A, NPCs!C:C)</f>
        <v>Team 1 Guard</v>
      </c>
      <c r="G3765" s="1">
        <f>LOOKUP(B3765, Maps!A:A, Maps!B:B)</f>
        <v>22</v>
      </c>
    </row>
    <row r="3766" ht="15.75" customHeight="1">
      <c r="A3766" s="1">
        <v>171.0</v>
      </c>
      <c r="B3766" s="1">
        <v>22.0</v>
      </c>
      <c r="C3766" s="1">
        <v>18.0</v>
      </c>
      <c r="D3766" s="1">
        <v>45.0</v>
      </c>
      <c r="F3766" s="1" t="str">
        <f>LOOKUP(A3766, NPCs!A:A, NPCs!C:C)</f>
        <v>Team 1 Guard</v>
      </c>
      <c r="G3766" s="1">
        <f>LOOKUP(B3766, Maps!A:A, Maps!B:B)</f>
        <v>22</v>
      </c>
    </row>
    <row r="3767" ht="15.75" customHeight="1">
      <c r="A3767" s="1">
        <v>171.0</v>
      </c>
      <c r="B3767" s="1">
        <v>22.0</v>
      </c>
      <c r="C3767" s="1">
        <v>18.0</v>
      </c>
      <c r="D3767" s="1">
        <v>42.0</v>
      </c>
      <c r="F3767" s="1" t="str">
        <f>LOOKUP(A3767, NPCs!A:A, NPCs!C:C)</f>
        <v>Team 1 Guard</v>
      </c>
      <c r="G3767" s="1">
        <f>LOOKUP(B3767, Maps!A:A, Maps!B:B)</f>
        <v>22</v>
      </c>
    </row>
    <row r="3768" ht="15.75" customHeight="1">
      <c r="A3768" s="1">
        <v>171.0</v>
      </c>
      <c r="B3768" s="1">
        <v>22.0</v>
      </c>
      <c r="C3768" s="1">
        <v>18.0</v>
      </c>
      <c r="D3768" s="1">
        <v>39.0</v>
      </c>
      <c r="F3768" s="1" t="str">
        <f>LOOKUP(A3768, NPCs!A:A, NPCs!C:C)</f>
        <v>Team 1 Guard</v>
      </c>
      <c r="G3768" s="1">
        <f>LOOKUP(B3768, Maps!A:A, Maps!B:B)</f>
        <v>22</v>
      </c>
    </row>
    <row r="3769" ht="15.75" customHeight="1">
      <c r="A3769" s="1">
        <v>171.0</v>
      </c>
      <c r="B3769" s="1">
        <v>22.0</v>
      </c>
      <c r="C3769" s="1">
        <v>22.0</v>
      </c>
      <c r="D3769" s="1">
        <v>39.0</v>
      </c>
      <c r="F3769" s="1" t="str">
        <f>LOOKUP(A3769, NPCs!A:A, NPCs!C:C)</f>
        <v>Team 1 Guard</v>
      </c>
      <c r="G3769" s="1">
        <f>LOOKUP(B3769, Maps!A:A, Maps!B:B)</f>
        <v>22</v>
      </c>
    </row>
    <row r="3770" ht="15.75" customHeight="1">
      <c r="A3770" s="1">
        <v>171.0</v>
      </c>
      <c r="B3770" s="1">
        <v>22.0</v>
      </c>
      <c r="C3770" s="1">
        <v>22.0</v>
      </c>
      <c r="D3770" s="1">
        <v>42.0</v>
      </c>
      <c r="F3770" s="1" t="str">
        <f>LOOKUP(A3770, NPCs!A:A, NPCs!C:C)</f>
        <v>Team 1 Guard</v>
      </c>
      <c r="G3770" s="1">
        <f>LOOKUP(B3770, Maps!A:A, Maps!B:B)</f>
        <v>22</v>
      </c>
    </row>
    <row r="3771" ht="15.75" customHeight="1">
      <c r="A3771" s="1">
        <v>171.0</v>
      </c>
      <c r="B3771" s="1">
        <v>22.0</v>
      </c>
      <c r="C3771" s="1">
        <v>22.0</v>
      </c>
      <c r="D3771" s="1">
        <v>45.0</v>
      </c>
      <c r="F3771" s="1" t="str">
        <f>LOOKUP(A3771, NPCs!A:A, NPCs!C:C)</f>
        <v>Team 1 Guard</v>
      </c>
      <c r="G3771" s="1">
        <f>LOOKUP(B3771, Maps!A:A, Maps!B:B)</f>
        <v>22</v>
      </c>
    </row>
    <row r="3772" ht="15.75" customHeight="1">
      <c r="A3772" s="1">
        <v>171.0</v>
      </c>
      <c r="B3772" s="1">
        <v>22.0</v>
      </c>
      <c r="C3772" s="1">
        <v>22.0</v>
      </c>
      <c r="D3772" s="1">
        <v>48.0</v>
      </c>
      <c r="F3772" s="1" t="str">
        <f>LOOKUP(A3772, NPCs!A:A, NPCs!C:C)</f>
        <v>Team 1 Guard</v>
      </c>
      <c r="G3772" s="1">
        <f>LOOKUP(B3772, Maps!A:A, Maps!B:B)</f>
        <v>22</v>
      </c>
    </row>
    <row r="3773" ht="15.75" customHeight="1">
      <c r="A3773" s="1">
        <v>172.0</v>
      </c>
      <c r="B3773" s="1">
        <v>22.0</v>
      </c>
      <c r="C3773" s="1">
        <v>5.0</v>
      </c>
      <c r="D3773" s="1">
        <v>44.0</v>
      </c>
      <c r="F3773" s="1" t="str">
        <f>LOOKUP(A3773, NPCs!A:A, NPCs!C:C)</f>
        <v>Team 1 Boss</v>
      </c>
      <c r="G3773" s="1">
        <f>LOOKUP(B3773, Maps!A:A, Maps!B:B)</f>
        <v>22</v>
      </c>
    </row>
    <row r="3774" ht="15.75" customHeight="1">
      <c r="A3774" s="1">
        <v>173.0</v>
      </c>
      <c r="B3774" s="1">
        <v>22.0</v>
      </c>
      <c r="C3774" s="1">
        <v>28.0</v>
      </c>
      <c r="D3774" s="1">
        <v>39.0</v>
      </c>
      <c r="F3774" s="1" t="str">
        <f>LOOKUP(A3774, NPCs!A:A, NPCs!C:C)</f>
        <v>Team 2 Guard</v>
      </c>
      <c r="G3774" s="1">
        <f>LOOKUP(B3774, Maps!A:A, Maps!B:B)</f>
        <v>22</v>
      </c>
    </row>
    <row r="3775" ht="15.75" customHeight="1">
      <c r="A3775" s="1">
        <v>173.0</v>
      </c>
      <c r="B3775" s="1">
        <v>22.0</v>
      </c>
      <c r="C3775" s="1">
        <v>28.0</v>
      </c>
      <c r="D3775" s="1">
        <v>42.0</v>
      </c>
      <c r="F3775" s="1" t="str">
        <f>LOOKUP(A3775, NPCs!A:A, NPCs!C:C)</f>
        <v>Team 2 Guard</v>
      </c>
      <c r="G3775" s="1">
        <f>LOOKUP(B3775, Maps!A:A, Maps!B:B)</f>
        <v>22</v>
      </c>
    </row>
    <row r="3776" ht="15.75" customHeight="1">
      <c r="A3776" s="1">
        <v>173.0</v>
      </c>
      <c r="B3776" s="1">
        <v>22.0</v>
      </c>
      <c r="C3776" s="1">
        <v>28.0</v>
      </c>
      <c r="D3776" s="1">
        <v>45.0</v>
      </c>
      <c r="F3776" s="1" t="str">
        <f>LOOKUP(A3776, NPCs!A:A, NPCs!C:C)</f>
        <v>Team 2 Guard</v>
      </c>
      <c r="G3776" s="1">
        <f>LOOKUP(B3776, Maps!A:A, Maps!B:B)</f>
        <v>22</v>
      </c>
    </row>
    <row r="3777" ht="15.75" customHeight="1">
      <c r="A3777" s="1">
        <v>173.0</v>
      </c>
      <c r="B3777" s="1">
        <v>22.0</v>
      </c>
      <c r="C3777" s="1">
        <v>28.0</v>
      </c>
      <c r="D3777" s="1">
        <v>48.0</v>
      </c>
      <c r="F3777" s="1" t="str">
        <f>LOOKUP(A3777, NPCs!A:A, NPCs!C:C)</f>
        <v>Team 2 Guard</v>
      </c>
      <c r="G3777" s="1">
        <f>LOOKUP(B3777, Maps!A:A, Maps!B:B)</f>
        <v>22</v>
      </c>
    </row>
    <row r="3778" ht="15.75" customHeight="1">
      <c r="A3778" s="1">
        <v>173.0</v>
      </c>
      <c r="B3778" s="1">
        <v>22.0</v>
      </c>
      <c r="C3778" s="1">
        <v>32.0</v>
      </c>
      <c r="D3778" s="1">
        <v>39.0</v>
      </c>
      <c r="F3778" s="1" t="str">
        <f>LOOKUP(A3778, NPCs!A:A, NPCs!C:C)</f>
        <v>Team 2 Guard</v>
      </c>
      <c r="G3778" s="1">
        <f>LOOKUP(B3778, Maps!A:A, Maps!B:B)</f>
        <v>22</v>
      </c>
    </row>
    <row r="3779" ht="15.75" customHeight="1">
      <c r="A3779" s="1">
        <v>173.0</v>
      </c>
      <c r="B3779" s="1">
        <v>22.0</v>
      </c>
      <c r="C3779" s="1">
        <v>32.0</v>
      </c>
      <c r="D3779" s="1">
        <v>42.0</v>
      </c>
      <c r="F3779" s="1" t="str">
        <f>LOOKUP(A3779, NPCs!A:A, NPCs!C:C)</f>
        <v>Team 2 Guard</v>
      </c>
      <c r="G3779" s="1">
        <f>LOOKUP(B3779, Maps!A:A, Maps!B:B)</f>
        <v>22</v>
      </c>
    </row>
    <row r="3780" ht="15.75" customHeight="1">
      <c r="A3780" s="1">
        <v>173.0</v>
      </c>
      <c r="B3780" s="1">
        <v>22.0</v>
      </c>
      <c r="C3780" s="1">
        <v>32.0</v>
      </c>
      <c r="D3780" s="1">
        <v>45.0</v>
      </c>
      <c r="F3780" s="1" t="str">
        <f>LOOKUP(A3780, NPCs!A:A, NPCs!C:C)</f>
        <v>Team 2 Guard</v>
      </c>
      <c r="G3780" s="1">
        <f>LOOKUP(B3780, Maps!A:A, Maps!B:B)</f>
        <v>22</v>
      </c>
    </row>
    <row r="3781" ht="15.75" customHeight="1">
      <c r="A3781" s="1">
        <v>173.0</v>
      </c>
      <c r="B3781" s="1">
        <v>22.0</v>
      </c>
      <c r="C3781" s="1">
        <v>32.0</v>
      </c>
      <c r="D3781" s="1">
        <v>48.0</v>
      </c>
      <c r="F3781" s="1" t="str">
        <f>LOOKUP(A3781, NPCs!A:A, NPCs!C:C)</f>
        <v>Team 2 Guard</v>
      </c>
      <c r="G3781" s="1">
        <f>LOOKUP(B3781, Maps!A:A, Maps!B:B)</f>
        <v>22</v>
      </c>
    </row>
    <row r="3782" ht="15.75" customHeight="1">
      <c r="A3782" s="1">
        <v>173.0</v>
      </c>
      <c r="B3782" s="1">
        <v>22.0</v>
      </c>
      <c r="C3782" s="1">
        <v>36.0</v>
      </c>
      <c r="D3782" s="1">
        <v>39.0</v>
      </c>
      <c r="F3782" s="1" t="str">
        <f>LOOKUP(A3782, NPCs!A:A, NPCs!C:C)</f>
        <v>Team 2 Guard</v>
      </c>
      <c r="G3782" s="1">
        <f>LOOKUP(B3782, Maps!A:A, Maps!B:B)</f>
        <v>22</v>
      </c>
    </row>
    <row r="3783" ht="15.75" customHeight="1">
      <c r="A3783" s="1">
        <v>173.0</v>
      </c>
      <c r="B3783" s="1">
        <v>22.0</v>
      </c>
      <c r="C3783" s="1">
        <v>36.0</v>
      </c>
      <c r="D3783" s="1">
        <v>42.0</v>
      </c>
      <c r="F3783" s="1" t="str">
        <f>LOOKUP(A3783, NPCs!A:A, NPCs!C:C)</f>
        <v>Team 2 Guard</v>
      </c>
      <c r="G3783" s="1">
        <f>LOOKUP(B3783, Maps!A:A, Maps!B:B)</f>
        <v>22</v>
      </c>
    </row>
    <row r="3784" ht="15.75" customHeight="1">
      <c r="A3784" s="1">
        <v>173.0</v>
      </c>
      <c r="B3784" s="1">
        <v>22.0</v>
      </c>
      <c r="C3784" s="1">
        <v>36.0</v>
      </c>
      <c r="D3784" s="1">
        <v>45.0</v>
      </c>
      <c r="F3784" s="1" t="str">
        <f>LOOKUP(A3784, NPCs!A:A, NPCs!C:C)</f>
        <v>Team 2 Guard</v>
      </c>
      <c r="G3784" s="1">
        <f>LOOKUP(B3784, Maps!A:A, Maps!B:B)</f>
        <v>22</v>
      </c>
    </row>
    <row r="3785" ht="15.75" customHeight="1">
      <c r="A3785" s="1">
        <v>173.0</v>
      </c>
      <c r="B3785" s="1">
        <v>22.0</v>
      </c>
      <c r="C3785" s="1">
        <v>36.0</v>
      </c>
      <c r="D3785" s="1">
        <v>48.0</v>
      </c>
      <c r="F3785" s="1" t="str">
        <f>LOOKUP(A3785, NPCs!A:A, NPCs!C:C)</f>
        <v>Team 2 Guard</v>
      </c>
      <c r="G3785" s="1">
        <f>LOOKUP(B3785, Maps!A:A, Maps!B:B)</f>
        <v>22</v>
      </c>
    </row>
    <row r="3786" ht="15.75" customHeight="1">
      <c r="A3786" s="1">
        <v>173.0</v>
      </c>
      <c r="B3786" s="1">
        <v>22.0</v>
      </c>
      <c r="C3786" s="1">
        <v>40.0</v>
      </c>
      <c r="D3786" s="1">
        <v>39.0</v>
      </c>
      <c r="F3786" s="1" t="str">
        <f>LOOKUP(A3786, NPCs!A:A, NPCs!C:C)</f>
        <v>Team 2 Guard</v>
      </c>
      <c r="G3786" s="1">
        <f>LOOKUP(B3786, Maps!A:A, Maps!B:B)</f>
        <v>22</v>
      </c>
    </row>
    <row r="3787" ht="15.75" customHeight="1">
      <c r="A3787" s="1">
        <v>173.0</v>
      </c>
      <c r="B3787" s="1">
        <v>22.0</v>
      </c>
      <c r="C3787" s="1">
        <v>40.0</v>
      </c>
      <c r="D3787" s="1">
        <v>42.0</v>
      </c>
      <c r="F3787" s="1" t="str">
        <f>LOOKUP(A3787, NPCs!A:A, NPCs!C:C)</f>
        <v>Team 2 Guard</v>
      </c>
      <c r="G3787" s="1">
        <f>LOOKUP(B3787, Maps!A:A, Maps!B:B)</f>
        <v>22</v>
      </c>
    </row>
    <row r="3788" ht="15.75" customHeight="1">
      <c r="A3788" s="1">
        <v>173.0</v>
      </c>
      <c r="B3788" s="1">
        <v>22.0</v>
      </c>
      <c r="C3788" s="1">
        <v>40.0</v>
      </c>
      <c r="D3788" s="1">
        <v>45.0</v>
      </c>
      <c r="F3788" s="1" t="str">
        <f>LOOKUP(A3788, NPCs!A:A, NPCs!C:C)</f>
        <v>Team 2 Guard</v>
      </c>
      <c r="G3788" s="1">
        <f>LOOKUP(B3788, Maps!A:A, Maps!B:B)</f>
        <v>22</v>
      </c>
    </row>
    <row r="3789" ht="15.75" customHeight="1">
      <c r="A3789" s="1">
        <v>173.0</v>
      </c>
      <c r="B3789" s="1">
        <v>22.0</v>
      </c>
      <c r="C3789" s="1">
        <v>40.0</v>
      </c>
      <c r="D3789" s="1">
        <v>48.0</v>
      </c>
      <c r="F3789" s="1" t="str">
        <f>LOOKUP(A3789, NPCs!A:A, NPCs!C:C)</f>
        <v>Team 2 Guard</v>
      </c>
      <c r="G3789" s="1">
        <f>LOOKUP(B3789, Maps!A:A, Maps!B:B)</f>
        <v>22</v>
      </c>
    </row>
    <row r="3790" ht="15.75" customHeight="1">
      <c r="A3790" s="1">
        <v>173.0</v>
      </c>
      <c r="B3790" s="1">
        <v>22.0</v>
      </c>
      <c r="C3790" s="1">
        <v>45.0</v>
      </c>
      <c r="D3790" s="1">
        <v>45.0</v>
      </c>
      <c r="F3790" s="1" t="str">
        <f>LOOKUP(A3790, NPCs!A:A, NPCs!C:C)</f>
        <v>Team 2 Guard</v>
      </c>
      <c r="G3790" s="1">
        <f>LOOKUP(B3790, Maps!A:A, Maps!B:B)</f>
        <v>22</v>
      </c>
    </row>
    <row r="3791" ht="15.75" customHeight="1">
      <c r="A3791" s="1">
        <v>173.0</v>
      </c>
      <c r="B3791" s="1">
        <v>22.0</v>
      </c>
      <c r="C3791" s="1">
        <v>46.0</v>
      </c>
      <c r="D3791" s="1">
        <v>44.0</v>
      </c>
      <c r="F3791" s="1" t="str">
        <f>LOOKUP(A3791, NPCs!A:A, NPCs!C:C)</f>
        <v>Team 2 Guard</v>
      </c>
      <c r="G3791" s="1">
        <f>LOOKUP(B3791, Maps!A:A, Maps!B:B)</f>
        <v>22</v>
      </c>
    </row>
    <row r="3792" ht="15.75" customHeight="1">
      <c r="A3792" s="1">
        <v>173.0</v>
      </c>
      <c r="B3792" s="1">
        <v>22.0</v>
      </c>
      <c r="C3792" s="1">
        <v>45.0</v>
      </c>
      <c r="D3792" s="1">
        <v>43.0</v>
      </c>
      <c r="F3792" s="1" t="str">
        <f>LOOKUP(A3792, NPCs!A:A, NPCs!C:C)</f>
        <v>Team 2 Guard</v>
      </c>
      <c r="G3792" s="1">
        <f>LOOKUP(B3792, Maps!A:A, Maps!B:B)</f>
        <v>22</v>
      </c>
    </row>
    <row r="3793" ht="15.75" customHeight="1">
      <c r="A3793" s="1">
        <v>173.0</v>
      </c>
      <c r="B3793" s="1">
        <v>22.0</v>
      </c>
      <c r="C3793" s="1">
        <v>44.0</v>
      </c>
      <c r="D3793" s="1">
        <v>44.0</v>
      </c>
      <c r="F3793" s="1" t="str">
        <f>LOOKUP(A3793, NPCs!A:A, NPCs!C:C)</f>
        <v>Team 2 Guard</v>
      </c>
      <c r="G3793" s="1">
        <f>LOOKUP(B3793, Maps!A:A, Maps!B:B)</f>
        <v>22</v>
      </c>
    </row>
    <row r="3794" ht="15.75" customHeight="1">
      <c r="A3794" s="1">
        <v>174.0</v>
      </c>
      <c r="B3794" s="1">
        <v>22.0</v>
      </c>
      <c r="C3794" s="1">
        <v>45.0</v>
      </c>
      <c r="D3794" s="1">
        <v>44.0</v>
      </c>
      <c r="F3794" s="1" t="str">
        <f>LOOKUP(A3794, NPCs!A:A, NPCs!C:C)</f>
        <v>Team 2 Boss</v>
      </c>
      <c r="G3794" s="1">
        <f>LOOKUP(B3794, Maps!A:A, Maps!B:B)</f>
        <v>22</v>
      </c>
    </row>
    <row r="3795" ht="15.75" customHeight="1">
      <c r="A3795" s="1">
        <v>175.0</v>
      </c>
      <c r="B3795" s="1">
        <v>40.0</v>
      </c>
      <c r="C3795" s="1">
        <v>37.0</v>
      </c>
      <c r="D3795" s="1">
        <v>96.0</v>
      </c>
      <c r="F3795" s="1" t="str">
        <f>LOOKUP(A3795, NPCs!A:A, NPCs!C:C)</f>
        <v>Ancient Prisoner</v>
      </c>
      <c r="G3795" s="1" t="str">
        <f>LOOKUP(B3795, Maps!A:A, Maps!B:B)</f>
        <v>The Ancients Dungeon</v>
      </c>
    </row>
    <row r="3796" ht="15.75" customHeight="1">
      <c r="A3796" s="1">
        <v>175.0</v>
      </c>
      <c r="B3796" s="1">
        <v>40.0</v>
      </c>
      <c r="C3796" s="1">
        <v>37.0</v>
      </c>
      <c r="D3796" s="1">
        <v>99.0</v>
      </c>
      <c r="F3796" s="1" t="str">
        <f>LOOKUP(A3796, NPCs!A:A, NPCs!C:C)</f>
        <v>Ancient Prisoner</v>
      </c>
      <c r="G3796" s="1" t="str">
        <f>LOOKUP(B3796, Maps!A:A, Maps!B:B)</f>
        <v>The Ancients Dungeon</v>
      </c>
    </row>
    <row r="3797" ht="15.75" customHeight="1">
      <c r="A3797" s="1">
        <v>175.0</v>
      </c>
      <c r="B3797" s="1">
        <v>40.0</v>
      </c>
      <c r="C3797" s="1">
        <v>42.0</v>
      </c>
      <c r="D3797" s="1">
        <v>94.0</v>
      </c>
      <c r="F3797" s="1" t="str">
        <f>LOOKUP(A3797, NPCs!A:A, NPCs!C:C)</f>
        <v>Ancient Prisoner</v>
      </c>
      <c r="G3797" s="1" t="str">
        <f>LOOKUP(B3797, Maps!A:A, Maps!B:B)</f>
        <v>The Ancients Dungeon</v>
      </c>
    </row>
    <row r="3798" ht="15.75" customHeight="1">
      <c r="A3798" s="1">
        <v>175.0</v>
      </c>
      <c r="B3798" s="1">
        <v>40.0</v>
      </c>
      <c r="C3798" s="1">
        <v>42.0</v>
      </c>
      <c r="D3798" s="1">
        <v>97.0</v>
      </c>
      <c r="F3798" s="1" t="str">
        <f>LOOKUP(A3798, NPCs!A:A, NPCs!C:C)</f>
        <v>Ancient Prisoner</v>
      </c>
      <c r="G3798" s="1" t="str">
        <f>LOOKUP(B3798, Maps!A:A, Maps!B:B)</f>
        <v>The Ancients Dungeon</v>
      </c>
    </row>
    <row r="3799" ht="15.75" customHeight="1">
      <c r="A3799" s="1">
        <v>175.0</v>
      </c>
      <c r="B3799" s="1">
        <v>40.0</v>
      </c>
      <c r="C3799" s="1">
        <v>47.0</v>
      </c>
      <c r="D3799" s="1">
        <v>91.0</v>
      </c>
      <c r="F3799" s="1" t="str">
        <f>LOOKUP(A3799, NPCs!A:A, NPCs!C:C)</f>
        <v>Ancient Prisoner</v>
      </c>
      <c r="G3799" s="1" t="str">
        <f>LOOKUP(B3799, Maps!A:A, Maps!B:B)</f>
        <v>The Ancients Dungeon</v>
      </c>
    </row>
    <row r="3800" ht="15.75" customHeight="1">
      <c r="A3800" s="1">
        <v>175.0</v>
      </c>
      <c r="B3800" s="1">
        <v>40.0</v>
      </c>
      <c r="C3800" s="1">
        <v>47.0</v>
      </c>
      <c r="D3800" s="1">
        <v>96.0</v>
      </c>
      <c r="F3800" s="1" t="str">
        <f>LOOKUP(A3800, NPCs!A:A, NPCs!C:C)</f>
        <v>Ancient Prisoner</v>
      </c>
      <c r="G3800" s="1" t="str">
        <f>LOOKUP(B3800, Maps!A:A, Maps!B:B)</f>
        <v>The Ancients Dungeon</v>
      </c>
    </row>
    <row r="3801" ht="15.75" customHeight="1">
      <c r="A3801" s="1">
        <v>175.0</v>
      </c>
      <c r="B3801" s="1">
        <v>40.0</v>
      </c>
      <c r="C3801" s="1">
        <v>52.0</v>
      </c>
      <c r="D3801" s="1">
        <v>97.0</v>
      </c>
      <c r="F3801" s="1" t="str">
        <f>LOOKUP(A3801, NPCs!A:A, NPCs!C:C)</f>
        <v>Ancient Prisoner</v>
      </c>
      <c r="G3801" s="1" t="str">
        <f>LOOKUP(B3801, Maps!A:A, Maps!B:B)</f>
        <v>The Ancients Dungeon</v>
      </c>
    </row>
    <row r="3802" ht="15.75" customHeight="1">
      <c r="A3802" s="1">
        <v>175.0</v>
      </c>
      <c r="B3802" s="1">
        <v>40.0</v>
      </c>
      <c r="C3802" s="1">
        <v>52.0</v>
      </c>
      <c r="D3802" s="1">
        <v>92.0</v>
      </c>
      <c r="F3802" s="1" t="str">
        <f>LOOKUP(A3802, NPCs!A:A, NPCs!C:C)</f>
        <v>Ancient Prisoner</v>
      </c>
      <c r="G3802" s="1" t="str">
        <f>LOOKUP(B3802, Maps!A:A, Maps!B:B)</f>
        <v>The Ancients Dungeon</v>
      </c>
    </row>
    <row r="3803" ht="15.75" customHeight="1">
      <c r="A3803" s="1">
        <v>175.0</v>
      </c>
      <c r="B3803" s="1">
        <v>40.0</v>
      </c>
      <c r="C3803" s="1">
        <v>58.0</v>
      </c>
      <c r="D3803" s="1">
        <v>97.0</v>
      </c>
      <c r="F3803" s="1" t="str">
        <f>LOOKUP(A3803, NPCs!A:A, NPCs!C:C)</f>
        <v>Ancient Prisoner</v>
      </c>
      <c r="G3803" s="1" t="str">
        <f>LOOKUP(B3803, Maps!A:A, Maps!B:B)</f>
        <v>The Ancients Dungeon</v>
      </c>
    </row>
    <row r="3804" ht="15.75" customHeight="1">
      <c r="A3804" s="1">
        <v>175.0</v>
      </c>
      <c r="B3804" s="1">
        <v>40.0</v>
      </c>
      <c r="C3804" s="1">
        <v>58.0</v>
      </c>
      <c r="D3804" s="1">
        <v>95.0</v>
      </c>
      <c r="F3804" s="1" t="str">
        <f>LOOKUP(A3804, NPCs!A:A, NPCs!C:C)</f>
        <v>Ancient Prisoner</v>
      </c>
      <c r="G3804" s="1" t="str">
        <f>LOOKUP(B3804, Maps!A:A, Maps!B:B)</f>
        <v>The Ancients Dungeon</v>
      </c>
    </row>
    <row r="3805" ht="15.75" customHeight="1">
      <c r="A3805" s="1">
        <v>175.0</v>
      </c>
      <c r="B3805" s="1">
        <v>40.0</v>
      </c>
      <c r="C3805" s="1">
        <v>58.0</v>
      </c>
      <c r="D3805" s="1">
        <v>92.0</v>
      </c>
      <c r="F3805" s="1" t="str">
        <f>LOOKUP(A3805, NPCs!A:A, NPCs!C:C)</f>
        <v>Ancient Prisoner</v>
      </c>
      <c r="G3805" s="1" t="str">
        <f>LOOKUP(B3805, Maps!A:A, Maps!B:B)</f>
        <v>The Ancients Dungeon</v>
      </c>
    </row>
    <row r="3806" ht="15.75" customHeight="1">
      <c r="A3806" s="1">
        <v>175.0</v>
      </c>
      <c r="B3806" s="1">
        <v>40.0</v>
      </c>
      <c r="C3806" s="1">
        <v>65.0</v>
      </c>
      <c r="D3806" s="1">
        <v>95.0</v>
      </c>
      <c r="F3806" s="1" t="str">
        <f>LOOKUP(A3806, NPCs!A:A, NPCs!C:C)</f>
        <v>Ancient Prisoner</v>
      </c>
      <c r="G3806" s="1" t="str">
        <f>LOOKUP(B3806, Maps!A:A, Maps!B:B)</f>
        <v>The Ancients Dungeon</v>
      </c>
    </row>
    <row r="3807" ht="15.75" customHeight="1">
      <c r="A3807" s="1">
        <v>175.0</v>
      </c>
      <c r="B3807" s="1">
        <v>40.0</v>
      </c>
      <c r="C3807" s="1">
        <v>71.0</v>
      </c>
      <c r="D3807" s="1">
        <v>91.0</v>
      </c>
      <c r="F3807" s="1" t="str">
        <f>LOOKUP(A3807, NPCs!A:A, NPCs!C:C)</f>
        <v>Ancient Prisoner</v>
      </c>
      <c r="G3807" s="1" t="str">
        <f>LOOKUP(B3807, Maps!A:A, Maps!B:B)</f>
        <v>The Ancients Dungeon</v>
      </c>
    </row>
    <row r="3808" ht="15.75" customHeight="1">
      <c r="A3808" s="1">
        <v>175.0</v>
      </c>
      <c r="B3808" s="1">
        <v>40.0</v>
      </c>
      <c r="C3808" s="1">
        <v>77.0</v>
      </c>
      <c r="D3808" s="1">
        <v>91.0</v>
      </c>
      <c r="F3808" s="1" t="str">
        <f>LOOKUP(A3808, NPCs!A:A, NPCs!C:C)</f>
        <v>Ancient Prisoner</v>
      </c>
      <c r="G3808" s="1" t="str">
        <f>LOOKUP(B3808, Maps!A:A, Maps!B:B)</f>
        <v>The Ancients Dungeon</v>
      </c>
    </row>
    <row r="3809" ht="15.75" customHeight="1">
      <c r="A3809" s="1">
        <v>175.0</v>
      </c>
      <c r="B3809" s="1">
        <v>40.0</v>
      </c>
      <c r="C3809" s="1">
        <v>82.0</v>
      </c>
      <c r="D3809" s="1">
        <v>99.0</v>
      </c>
      <c r="F3809" s="1" t="str">
        <f>LOOKUP(A3809, NPCs!A:A, NPCs!C:C)</f>
        <v>Ancient Prisoner</v>
      </c>
      <c r="G3809" s="1" t="str">
        <f>LOOKUP(B3809, Maps!A:A, Maps!B:B)</f>
        <v>The Ancients Dungeon</v>
      </c>
    </row>
    <row r="3810" ht="15.75" customHeight="1">
      <c r="A3810" s="1">
        <v>175.0</v>
      </c>
      <c r="B3810" s="1">
        <v>40.0</v>
      </c>
      <c r="C3810" s="1">
        <v>77.0</v>
      </c>
      <c r="D3810" s="1">
        <v>99.0</v>
      </c>
      <c r="F3810" s="1" t="str">
        <f>LOOKUP(A3810, NPCs!A:A, NPCs!C:C)</f>
        <v>Ancient Prisoner</v>
      </c>
      <c r="G3810" s="1" t="str">
        <f>LOOKUP(B3810, Maps!A:A, Maps!B:B)</f>
        <v>The Ancients Dungeon</v>
      </c>
    </row>
    <row r="3811" ht="15.75" customHeight="1">
      <c r="A3811" s="1">
        <v>175.0</v>
      </c>
      <c r="B3811" s="1">
        <v>40.0</v>
      </c>
      <c r="C3811" s="1">
        <v>72.0</v>
      </c>
      <c r="D3811" s="1">
        <v>99.0</v>
      </c>
      <c r="F3811" s="1" t="str">
        <f>LOOKUP(A3811, NPCs!A:A, NPCs!C:C)</f>
        <v>Ancient Prisoner</v>
      </c>
      <c r="G3811" s="1" t="str">
        <f>LOOKUP(B3811, Maps!A:A, Maps!B:B)</f>
        <v>The Ancients Dungeon</v>
      </c>
    </row>
    <row r="3812" ht="15.75" customHeight="1">
      <c r="A3812" s="1">
        <v>175.0</v>
      </c>
      <c r="B3812" s="1">
        <v>40.0</v>
      </c>
      <c r="C3812" s="1">
        <v>84.0</v>
      </c>
      <c r="D3812" s="1">
        <v>94.0</v>
      </c>
      <c r="F3812" s="1" t="str">
        <f>LOOKUP(A3812, NPCs!A:A, NPCs!C:C)</f>
        <v>Ancient Prisoner</v>
      </c>
      <c r="G3812" s="1" t="str">
        <f>LOOKUP(B3812, Maps!A:A, Maps!B:B)</f>
        <v>The Ancients Dungeon</v>
      </c>
    </row>
    <row r="3813" ht="15.75" customHeight="1">
      <c r="A3813" s="1">
        <v>175.0</v>
      </c>
      <c r="B3813" s="1">
        <v>40.0</v>
      </c>
      <c r="C3813" s="1">
        <v>71.0</v>
      </c>
      <c r="D3813" s="1">
        <v>86.0</v>
      </c>
      <c r="F3813" s="1" t="str">
        <f>LOOKUP(A3813, NPCs!A:A, NPCs!C:C)</f>
        <v>Ancient Prisoner</v>
      </c>
      <c r="G3813" s="1" t="str">
        <f>LOOKUP(B3813, Maps!A:A, Maps!B:B)</f>
        <v>The Ancients Dungeon</v>
      </c>
    </row>
    <row r="3814" ht="15.75" customHeight="1">
      <c r="A3814" s="1">
        <v>175.0</v>
      </c>
      <c r="B3814" s="1">
        <v>40.0</v>
      </c>
      <c r="C3814" s="1">
        <v>77.0</v>
      </c>
      <c r="D3814" s="1">
        <v>86.0</v>
      </c>
      <c r="F3814" s="1" t="str">
        <f>LOOKUP(A3814, NPCs!A:A, NPCs!C:C)</f>
        <v>Ancient Prisoner</v>
      </c>
      <c r="G3814" s="1" t="str">
        <f>LOOKUP(B3814, Maps!A:A, Maps!B:B)</f>
        <v>The Ancients Dungeon</v>
      </c>
    </row>
    <row r="3815" ht="15.75" customHeight="1">
      <c r="A3815" s="1">
        <v>175.0</v>
      </c>
      <c r="B3815" s="1">
        <v>40.0</v>
      </c>
      <c r="C3815" s="1">
        <v>77.0</v>
      </c>
      <c r="D3815" s="1">
        <v>81.0</v>
      </c>
      <c r="F3815" s="1" t="str">
        <f>LOOKUP(A3815, NPCs!A:A, NPCs!C:C)</f>
        <v>Ancient Prisoner</v>
      </c>
      <c r="G3815" s="1" t="str">
        <f>LOOKUP(B3815, Maps!A:A, Maps!B:B)</f>
        <v>The Ancients Dungeon</v>
      </c>
    </row>
    <row r="3816" ht="15.75" customHeight="1">
      <c r="A3816" s="1">
        <v>175.0</v>
      </c>
      <c r="B3816" s="1">
        <v>40.0</v>
      </c>
      <c r="C3816" s="1">
        <v>71.0</v>
      </c>
      <c r="D3816" s="1">
        <v>81.0</v>
      </c>
      <c r="F3816" s="1" t="str">
        <f>LOOKUP(A3816, NPCs!A:A, NPCs!C:C)</f>
        <v>Ancient Prisoner</v>
      </c>
      <c r="G3816" s="1" t="str">
        <f>LOOKUP(B3816, Maps!A:A, Maps!B:B)</f>
        <v>The Ancients Dungeon</v>
      </c>
    </row>
    <row r="3817" ht="15.75" customHeight="1">
      <c r="A3817" s="1">
        <v>175.0</v>
      </c>
      <c r="B3817" s="1">
        <v>40.0</v>
      </c>
      <c r="C3817" s="1">
        <v>82.0</v>
      </c>
      <c r="D3817" s="1">
        <v>79.0</v>
      </c>
      <c r="F3817" s="1" t="str">
        <f>LOOKUP(A3817, NPCs!A:A, NPCs!C:C)</f>
        <v>Ancient Prisoner</v>
      </c>
      <c r="G3817" s="1" t="str">
        <f>LOOKUP(B3817, Maps!A:A, Maps!B:B)</f>
        <v>The Ancients Dungeon</v>
      </c>
    </row>
    <row r="3818" ht="15.75" customHeight="1">
      <c r="A3818" s="1">
        <v>175.0</v>
      </c>
      <c r="B3818" s="1">
        <v>40.0</v>
      </c>
      <c r="C3818" s="1">
        <v>82.0</v>
      </c>
      <c r="D3818" s="1">
        <v>74.0</v>
      </c>
      <c r="F3818" s="1" t="str">
        <f>LOOKUP(A3818, NPCs!A:A, NPCs!C:C)</f>
        <v>Ancient Prisoner</v>
      </c>
      <c r="G3818" s="1" t="str">
        <f>LOOKUP(B3818, Maps!A:A, Maps!B:B)</f>
        <v>The Ancients Dungeon</v>
      </c>
    </row>
    <row r="3819" ht="15.75" customHeight="1">
      <c r="A3819" s="1">
        <v>175.0</v>
      </c>
      <c r="B3819" s="1">
        <v>40.0</v>
      </c>
      <c r="C3819" s="1">
        <v>77.0</v>
      </c>
      <c r="D3819" s="1">
        <v>73.0</v>
      </c>
      <c r="F3819" s="1" t="str">
        <f>LOOKUP(A3819, NPCs!A:A, NPCs!C:C)</f>
        <v>Ancient Prisoner</v>
      </c>
      <c r="G3819" s="1" t="str">
        <f>LOOKUP(B3819, Maps!A:A, Maps!B:B)</f>
        <v>The Ancients Dungeon</v>
      </c>
    </row>
    <row r="3820" ht="15.75" customHeight="1">
      <c r="A3820" s="1">
        <v>175.0</v>
      </c>
      <c r="B3820" s="1">
        <v>40.0</v>
      </c>
      <c r="C3820" s="1">
        <v>73.0</v>
      </c>
      <c r="D3820" s="1">
        <v>73.0</v>
      </c>
      <c r="F3820" s="1" t="str">
        <f>LOOKUP(A3820, NPCs!A:A, NPCs!C:C)</f>
        <v>Ancient Prisoner</v>
      </c>
      <c r="G3820" s="1" t="str">
        <f>LOOKUP(B3820, Maps!A:A, Maps!B:B)</f>
        <v>The Ancients Dungeon</v>
      </c>
    </row>
    <row r="3821" ht="15.75" customHeight="1">
      <c r="A3821" s="1">
        <v>175.0</v>
      </c>
      <c r="B3821" s="1">
        <v>40.0</v>
      </c>
      <c r="C3821" s="1">
        <v>67.0</v>
      </c>
      <c r="D3821" s="1">
        <v>72.0</v>
      </c>
      <c r="F3821" s="1" t="str">
        <f>LOOKUP(A3821, NPCs!A:A, NPCs!C:C)</f>
        <v>Ancient Prisoner</v>
      </c>
      <c r="G3821" s="1" t="str">
        <f>LOOKUP(B3821, Maps!A:A, Maps!B:B)</f>
        <v>The Ancients Dungeon</v>
      </c>
    </row>
    <row r="3822" ht="15.75" customHeight="1">
      <c r="A3822" s="1">
        <v>175.0</v>
      </c>
      <c r="B3822" s="1">
        <v>40.0</v>
      </c>
      <c r="C3822" s="1">
        <v>65.0</v>
      </c>
      <c r="D3822" s="1">
        <v>72.0</v>
      </c>
      <c r="F3822" s="1" t="str">
        <f>LOOKUP(A3822, NPCs!A:A, NPCs!C:C)</f>
        <v>Ancient Prisoner</v>
      </c>
      <c r="G3822" s="1" t="str">
        <f>LOOKUP(B3822, Maps!A:A, Maps!B:B)</f>
        <v>The Ancients Dungeon</v>
      </c>
    </row>
    <row r="3823" ht="15.75" customHeight="1">
      <c r="A3823" s="1">
        <v>175.0</v>
      </c>
      <c r="B3823" s="1">
        <v>40.0</v>
      </c>
      <c r="C3823" s="1">
        <v>58.0</v>
      </c>
      <c r="D3823" s="1">
        <v>77.0</v>
      </c>
      <c r="F3823" s="1" t="str">
        <f>LOOKUP(A3823, NPCs!A:A, NPCs!C:C)</f>
        <v>Ancient Prisoner</v>
      </c>
      <c r="G3823" s="1" t="str">
        <f>LOOKUP(B3823, Maps!A:A, Maps!B:B)</f>
        <v>The Ancients Dungeon</v>
      </c>
    </row>
    <row r="3824" ht="15.75" customHeight="1">
      <c r="A3824" s="1">
        <v>175.0</v>
      </c>
      <c r="B3824" s="1">
        <v>40.0</v>
      </c>
      <c r="C3824" s="1">
        <v>65.0</v>
      </c>
      <c r="D3824" s="1">
        <v>79.0</v>
      </c>
      <c r="F3824" s="1" t="str">
        <f>LOOKUP(A3824, NPCs!A:A, NPCs!C:C)</f>
        <v>Ancient Prisoner</v>
      </c>
      <c r="G3824" s="1" t="str">
        <f>LOOKUP(B3824, Maps!A:A, Maps!B:B)</f>
        <v>The Ancients Dungeon</v>
      </c>
    </row>
    <row r="3825" ht="15.75" customHeight="1">
      <c r="A3825" s="1">
        <v>175.0</v>
      </c>
      <c r="B3825" s="1">
        <v>40.0</v>
      </c>
      <c r="C3825" s="1">
        <v>45.0</v>
      </c>
      <c r="D3825" s="1">
        <v>81.0</v>
      </c>
      <c r="F3825" s="1" t="str">
        <f>LOOKUP(A3825, NPCs!A:A, NPCs!C:C)</f>
        <v>Ancient Prisoner</v>
      </c>
      <c r="G3825" s="1" t="str">
        <f>LOOKUP(B3825, Maps!A:A, Maps!B:B)</f>
        <v>The Ancients Dungeon</v>
      </c>
    </row>
    <row r="3826" ht="15.75" customHeight="1">
      <c r="A3826" s="1">
        <v>175.0</v>
      </c>
      <c r="B3826" s="1">
        <v>40.0</v>
      </c>
      <c r="C3826" s="1">
        <v>45.0</v>
      </c>
      <c r="D3826" s="1">
        <v>72.0</v>
      </c>
      <c r="F3826" s="1" t="str">
        <f>LOOKUP(A3826, NPCs!A:A, NPCs!C:C)</f>
        <v>Ancient Prisoner</v>
      </c>
      <c r="G3826" s="1" t="str">
        <f>LOOKUP(B3826, Maps!A:A, Maps!B:B)</f>
        <v>The Ancients Dungeon</v>
      </c>
    </row>
    <row r="3827" ht="15.75" customHeight="1">
      <c r="A3827" s="1">
        <v>175.0</v>
      </c>
      <c r="B3827" s="1">
        <v>40.0</v>
      </c>
      <c r="C3827" s="1">
        <v>38.0</v>
      </c>
      <c r="D3827" s="1">
        <v>72.0</v>
      </c>
      <c r="F3827" s="1" t="str">
        <f>LOOKUP(A3827, NPCs!A:A, NPCs!C:C)</f>
        <v>Ancient Prisoner</v>
      </c>
      <c r="G3827" s="1" t="str">
        <f>LOOKUP(B3827, Maps!A:A, Maps!B:B)</f>
        <v>The Ancients Dungeon</v>
      </c>
    </row>
    <row r="3828" ht="15.75" customHeight="1">
      <c r="A3828" s="1">
        <v>175.0</v>
      </c>
      <c r="B3828" s="1">
        <v>40.0</v>
      </c>
      <c r="C3828" s="1">
        <v>38.0</v>
      </c>
      <c r="D3828" s="1">
        <v>81.0</v>
      </c>
      <c r="F3828" s="1" t="str">
        <f>LOOKUP(A3828, NPCs!A:A, NPCs!C:C)</f>
        <v>Ancient Prisoner</v>
      </c>
      <c r="G3828" s="1" t="str">
        <f>LOOKUP(B3828, Maps!A:A, Maps!B:B)</f>
        <v>The Ancients Dungeon</v>
      </c>
    </row>
    <row r="3829" ht="15.75" customHeight="1">
      <c r="A3829" s="1">
        <v>175.0</v>
      </c>
      <c r="B3829" s="1">
        <v>40.0</v>
      </c>
      <c r="C3829" s="1">
        <v>28.0</v>
      </c>
      <c r="D3829" s="1">
        <v>74.0</v>
      </c>
      <c r="F3829" s="1" t="str">
        <f>LOOKUP(A3829, NPCs!A:A, NPCs!C:C)</f>
        <v>Ancient Prisoner</v>
      </c>
      <c r="G3829" s="1" t="str">
        <f>LOOKUP(B3829, Maps!A:A, Maps!B:B)</f>
        <v>The Ancients Dungeon</v>
      </c>
    </row>
    <row r="3830" ht="15.75" customHeight="1">
      <c r="A3830" s="1">
        <v>175.0</v>
      </c>
      <c r="B3830" s="1">
        <v>40.0</v>
      </c>
      <c r="C3830" s="1">
        <v>28.0</v>
      </c>
      <c r="D3830" s="1">
        <v>78.0</v>
      </c>
      <c r="F3830" s="1" t="str">
        <f>LOOKUP(A3830, NPCs!A:A, NPCs!C:C)</f>
        <v>Ancient Prisoner</v>
      </c>
      <c r="G3830" s="1" t="str">
        <f>LOOKUP(B3830, Maps!A:A, Maps!B:B)</f>
        <v>The Ancients Dungeon</v>
      </c>
    </row>
    <row r="3831" ht="15.75" customHeight="1">
      <c r="A3831" s="1">
        <v>175.0</v>
      </c>
      <c r="B3831" s="1">
        <v>40.0</v>
      </c>
      <c r="C3831" s="1">
        <v>33.0</v>
      </c>
      <c r="D3831" s="1">
        <v>74.0</v>
      </c>
      <c r="F3831" s="1" t="str">
        <f>LOOKUP(A3831, NPCs!A:A, NPCs!C:C)</f>
        <v>Ancient Prisoner</v>
      </c>
      <c r="G3831" s="1" t="str">
        <f>LOOKUP(B3831, Maps!A:A, Maps!B:B)</f>
        <v>The Ancients Dungeon</v>
      </c>
    </row>
    <row r="3832" ht="15.75" customHeight="1">
      <c r="A3832" s="1">
        <v>175.0</v>
      </c>
      <c r="B3832" s="1">
        <v>40.0</v>
      </c>
      <c r="C3832" s="1">
        <v>33.0</v>
      </c>
      <c r="D3832" s="1">
        <v>78.0</v>
      </c>
      <c r="F3832" s="1" t="str">
        <f>LOOKUP(A3832, NPCs!A:A, NPCs!C:C)</f>
        <v>Ancient Prisoner</v>
      </c>
      <c r="G3832" s="1" t="str">
        <f>LOOKUP(B3832, Maps!A:A, Maps!B:B)</f>
        <v>The Ancients Dungeon</v>
      </c>
    </row>
    <row r="3833" ht="15.75" customHeight="1">
      <c r="A3833" s="1">
        <v>175.0</v>
      </c>
      <c r="B3833" s="1">
        <v>40.0</v>
      </c>
      <c r="C3833" s="1">
        <v>20.0</v>
      </c>
      <c r="D3833" s="1">
        <v>81.0</v>
      </c>
      <c r="F3833" s="1" t="str">
        <f>LOOKUP(A3833, NPCs!A:A, NPCs!C:C)</f>
        <v>Ancient Prisoner</v>
      </c>
      <c r="G3833" s="1" t="str">
        <f>LOOKUP(B3833, Maps!A:A, Maps!B:B)</f>
        <v>The Ancients Dungeon</v>
      </c>
    </row>
    <row r="3834" ht="15.75" customHeight="1">
      <c r="A3834" s="1">
        <v>175.0</v>
      </c>
      <c r="B3834" s="1">
        <v>40.0</v>
      </c>
      <c r="C3834" s="1">
        <v>16.0</v>
      </c>
      <c r="D3834" s="1">
        <v>76.0</v>
      </c>
      <c r="F3834" s="1" t="str">
        <f>LOOKUP(A3834, NPCs!A:A, NPCs!C:C)</f>
        <v>Ancient Prisoner</v>
      </c>
      <c r="G3834" s="1" t="str">
        <f>LOOKUP(B3834, Maps!A:A, Maps!B:B)</f>
        <v>The Ancients Dungeon</v>
      </c>
    </row>
    <row r="3835" ht="15.75" customHeight="1">
      <c r="A3835" s="1">
        <v>175.0</v>
      </c>
      <c r="B3835" s="1">
        <v>40.0</v>
      </c>
      <c r="C3835" s="1">
        <v>21.0</v>
      </c>
      <c r="D3835" s="1">
        <v>72.0</v>
      </c>
      <c r="F3835" s="1" t="str">
        <f>LOOKUP(A3835, NPCs!A:A, NPCs!C:C)</f>
        <v>Ancient Prisoner</v>
      </c>
      <c r="G3835" s="1" t="str">
        <f>LOOKUP(B3835, Maps!A:A, Maps!B:B)</f>
        <v>The Ancients Dungeon</v>
      </c>
    </row>
    <row r="3836" ht="15.75" customHeight="1">
      <c r="A3836" s="1">
        <v>175.0</v>
      </c>
      <c r="B3836" s="1">
        <v>40.0</v>
      </c>
      <c r="C3836" s="1">
        <v>21.0</v>
      </c>
      <c r="D3836" s="1">
        <v>67.0</v>
      </c>
      <c r="F3836" s="1" t="str">
        <f>LOOKUP(A3836, NPCs!A:A, NPCs!C:C)</f>
        <v>Ancient Prisoner</v>
      </c>
      <c r="G3836" s="1" t="str">
        <f>LOOKUP(B3836, Maps!A:A, Maps!B:B)</f>
        <v>The Ancients Dungeon</v>
      </c>
    </row>
    <row r="3837" ht="15.75" customHeight="1">
      <c r="A3837" s="1">
        <v>175.0</v>
      </c>
      <c r="B3837" s="1">
        <v>40.0</v>
      </c>
      <c r="C3837" s="1">
        <v>16.0</v>
      </c>
      <c r="D3837" s="1">
        <v>67.0</v>
      </c>
      <c r="F3837" s="1" t="str">
        <f>LOOKUP(A3837, NPCs!A:A, NPCs!C:C)</f>
        <v>Ancient Prisoner</v>
      </c>
      <c r="G3837" s="1" t="str">
        <f>LOOKUP(B3837, Maps!A:A, Maps!B:B)</f>
        <v>The Ancients Dungeon</v>
      </c>
    </row>
    <row r="3838" ht="15.75" customHeight="1">
      <c r="A3838" s="1">
        <v>175.0</v>
      </c>
      <c r="B3838" s="1">
        <v>40.0</v>
      </c>
      <c r="C3838" s="1">
        <v>16.0</v>
      </c>
      <c r="D3838" s="1">
        <v>62.0</v>
      </c>
      <c r="F3838" s="1" t="str">
        <f>LOOKUP(A3838, NPCs!A:A, NPCs!C:C)</f>
        <v>Ancient Prisoner</v>
      </c>
      <c r="G3838" s="1" t="str">
        <f>LOOKUP(B3838, Maps!A:A, Maps!B:B)</f>
        <v>The Ancients Dungeon</v>
      </c>
    </row>
    <row r="3839" ht="15.75" customHeight="1">
      <c r="A3839" s="1">
        <v>175.0</v>
      </c>
      <c r="B3839" s="1">
        <v>40.0</v>
      </c>
      <c r="C3839" s="1">
        <v>21.0</v>
      </c>
      <c r="D3839" s="1">
        <v>62.0</v>
      </c>
      <c r="F3839" s="1" t="str">
        <f>LOOKUP(A3839, NPCs!A:A, NPCs!C:C)</f>
        <v>Ancient Prisoner</v>
      </c>
      <c r="G3839" s="1" t="str">
        <f>LOOKUP(B3839, Maps!A:A, Maps!B:B)</f>
        <v>The Ancients Dungeon</v>
      </c>
    </row>
    <row r="3840" ht="15.75" customHeight="1">
      <c r="A3840" s="1">
        <v>175.0</v>
      </c>
      <c r="B3840" s="1">
        <v>40.0</v>
      </c>
      <c r="C3840" s="1">
        <v>26.0</v>
      </c>
      <c r="D3840" s="1">
        <v>62.0</v>
      </c>
      <c r="F3840" s="1" t="str">
        <f>LOOKUP(A3840, NPCs!A:A, NPCs!C:C)</f>
        <v>Ancient Prisoner</v>
      </c>
      <c r="G3840" s="1" t="str">
        <f>LOOKUP(B3840, Maps!A:A, Maps!B:B)</f>
        <v>The Ancients Dungeon</v>
      </c>
    </row>
    <row r="3841" ht="15.75" customHeight="1">
      <c r="A3841" s="1">
        <v>175.0</v>
      </c>
      <c r="B3841" s="1">
        <v>40.0</v>
      </c>
      <c r="C3841" s="1">
        <v>20.0</v>
      </c>
      <c r="D3841" s="1">
        <v>57.0</v>
      </c>
      <c r="F3841" s="1" t="str">
        <f>LOOKUP(A3841, NPCs!A:A, NPCs!C:C)</f>
        <v>Ancient Prisoner</v>
      </c>
      <c r="G3841" s="1" t="str">
        <f>LOOKUP(B3841, Maps!A:A, Maps!B:B)</f>
        <v>The Ancients Dungeon</v>
      </c>
    </row>
    <row r="3842" ht="15.75" customHeight="1">
      <c r="A3842" s="1">
        <v>175.0</v>
      </c>
      <c r="B3842" s="1">
        <v>40.0</v>
      </c>
      <c r="C3842" s="1">
        <v>23.0</v>
      </c>
      <c r="D3842" s="1">
        <v>56.0</v>
      </c>
      <c r="F3842" s="1" t="str">
        <f>LOOKUP(A3842, NPCs!A:A, NPCs!C:C)</f>
        <v>Ancient Prisoner</v>
      </c>
      <c r="G3842" s="1" t="str">
        <f>LOOKUP(B3842, Maps!A:A, Maps!B:B)</f>
        <v>The Ancients Dungeon</v>
      </c>
    </row>
    <row r="3843" ht="15.75" customHeight="1">
      <c r="A3843" s="1">
        <v>175.0</v>
      </c>
      <c r="B3843" s="1">
        <v>40.0</v>
      </c>
      <c r="C3843" s="1">
        <v>25.0</v>
      </c>
      <c r="D3843" s="1">
        <v>57.0</v>
      </c>
      <c r="F3843" s="1" t="str">
        <f>LOOKUP(A3843, NPCs!A:A, NPCs!C:C)</f>
        <v>Ancient Prisoner</v>
      </c>
      <c r="G3843" s="1" t="str">
        <f>LOOKUP(B3843, Maps!A:A, Maps!B:B)</f>
        <v>The Ancients Dungeon</v>
      </c>
    </row>
    <row r="3844" ht="15.75" customHeight="1">
      <c r="A3844" s="1">
        <v>175.0</v>
      </c>
      <c r="B3844" s="1">
        <v>40.0</v>
      </c>
      <c r="C3844" s="1">
        <v>33.0</v>
      </c>
      <c r="D3844" s="1">
        <v>64.0</v>
      </c>
      <c r="F3844" s="1" t="str">
        <f>LOOKUP(A3844, NPCs!A:A, NPCs!C:C)</f>
        <v>Ancient Prisoner</v>
      </c>
      <c r="G3844" s="1" t="str">
        <f>LOOKUP(B3844, Maps!A:A, Maps!B:B)</f>
        <v>The Ancients Dungeon</v>
      </c>
    </row>
    <row r="3845" ht="15.75" customHeight="1">
      <c r="A3845" s="1">
        <v>175.0</v>
      </c>
      <c r="B3845" s="1">
        <v>40.0</v>
      </c>
      <c r="C3845" s="1">
        <v>33.0</v>
      </c>
      <c r="D3845" s="1">
        <v>61.0</v>
      </c>
      <c r="F3845" s="1" t="str">
        <f>LOOKUP(A3845, NPCs!A:A, NPCs!C:C)</f>
        <v>Ancient Prisoner</v>
      </c>
      <c r="G3845" s="1" t="str">
        <f>LOOKUP(B3845, Maps!A:A, Maps!B:B)</f>
        <v>The Ancients Dungeon</v>
      </c>
    </row>
    <row r="3846" ht="15.75" customHeight="1">
      <c r="A3846" s="1">
        <v>175.0</v>
      </c>
      <c r="B3846" s="1">
        <v>40.0</v>
      </c>
      <c r="C3846" s="1">
        <v>33.0</v>
      </c>
      <c r="D3846" s="1">
        <v>58.0</v>
      </c>
      <c r="F3846" s="1" t="str">
        <f>LOOKUP(A3846, NPCs!A:A, NPCs!C:C)</f>
        <v>Ancient Prisoner</v>
      </c>
      <c r="G3846" s="1" t="str">
        <f>LOOKUP(B3846, Maps!A:A, Maps!B:B)</f>
        <v>The Ancients Dungeon</v>
      </c>
    </row>
    <row r="3847" ht="15.75" customHeight="1">
      <c r="A3847" s="1">
        <v>175.0</v>
      </c>
      <c r="B3847" s="1">
        <v>40.0</v>
      </c>
      <c r="C3847" s="1">
        <v>42.0</v>
      </c>
      <c r="D3847" s="1">
        <v>64.0</v>
      </c>
      <c r="F3847" s="1" t="str">
        <f>LOOKUP(A3847, NPCs!A:A, NPCs!C:C)</f>
        <v>Ancient Prisoner</v>
      </c>
      <c r="G3847" s="1" t="str">
        <f>LOOKUP(B3847, Maps!A:A, Maps!B:B)</f>
        <v>The Ancients Dungeon</v>
      </c>
    </row>
    <row r="3848" ht="15.75" customHeight="1">
      <c r="A3848" s="1">
        <v>175.0</v>
      </c>
      <c r="B3848" s="1">
        <v>40.0</v>
      </c>
      <c r="C3848" s="1">
        <v>40.0</v>
      </c>
      <c r="D3848" s="1">
        <v>62.0</v>
      </c>
      <c r="F3848" s="1" t="str">
        <f>LOOKUP(A3848, NPCs!A:A, NPCs!C:C)</f>
        <v>Ancient Prisoner</v>
      </c>
      <c r="G3848" s="1" t="str">
        <f>LOOKUP(B3848, Maps!A:A, Maps!B:B)</f>
        <v>The Ancients Dungeon</v>
      </c>
    </row>
    <row r="3849" ht="15.75" customHeight="1">
      <c r="A3849" s="1">
        <v>175.0</v>
      </c>
      <c r="B3849" s="1">
        <v>40.0</v>
      </c>
      <c r="C3849" s="1">
        <v>42.0</v>
      </c>
      <c r="D3849" s="1">
        <v>59.0</v>
      </c>
      <c r="F3849" s="1" t="str">
        <f>LOOKUP(A3849, NPCs!A:A, NPCs!C:C)</f>
        <v>Ancient Prisoner</v>
      </c>
      <c r="G3849" s="1" t="str">
        <f>LOOKUP(B3849, Maps!A:A, Maps!B:B)</f>
        <v>The Ancients Dungeon</v>
      </c>
    </row>
    <row r="3850" ht="15.75" customHeight="1">
      <c r="A3850" s="1">
        <v>175.0</v>
      </c>
      <c r="B3850" s="1">
        <v>40.0</v>
      </c>
      <c r="C3850" s="1">
        <v>40.0</v>
      </c>
      <c r="D3850" s="1">
        <v>56.0</v>
      </c>
      <c r="F3850" s="1" t="str">
        <f>LOOKUP(A3850, NPCs!A:A, NPCs!C:C)</f>
        <v>Ancient Prisoner</v>
      </c>
      <c r="G3850" s="1" t="str">
        <f>LOOKUP(B3850, Maps!A:A, Maps!B:B)</f>
        <v>The Ancients Dungeon</v>
      </c>
    </row>
    <row r="3851" ht="15.75" customHeight="1">
      <c r="A3851" s="1">
        <v>175.0</v>
      </c>
      <c r="B3851" s="1">
        <v>40.0</v>
      </c>
      <c r="C3851" s="1">
        <v>45.0</v>
      </c>
      <c r="D3851" s="1">
        <v>54.0</v>
      </c>
      <c r="F3851" s="1" t="str">
        <f>LOOKUP(A3851, NPCs!A:A, NPCs!C:C)</f>
        <v>Ancient Prisoner</v>
      </c>
      <c r="G3851" s="1" t="str">
        <f>LOOKUP(B3851, Maps!A:A, Maps!B:B)</f>
        <v>The Ancients Dungeon</v>
      </c>
    </row>
    <row r="3852" ht="15.75" customHeight="1">
      <c r="A3852" s="1">
        <v>175.0</v>
      </c>
      <c r="B3852" s="1">
        <v>40.0</v>
      </c>
      <c r="C3852" s="1">
        <v>47.0</v>
      </c>
      <c r="D3852" s="1">
        <v>54.0</v>
      </c>
      <c r="F3852" s="1" t="str">
        <f>LOOKUP(A3852, NPCs!A:A, NPCs!C:C)</f>
        <v>Ancient Prisoner</v>
      </c>
      <c r="G3852" s="1" t="str">
        <f>LOOKUP(B3852, Maps!A:A, Maps!B:B)</f>
        <v>The Ancients Dungeon</v>
      </c>
    </row>
    <row r="3853" ht="15.75" customHeight="1">
      <c r="A3853" s="1">
        <v>175.0</v>
      </c>
      <c r="B3853" s="1">
        <v>40.0</v>
      </c>
      <c r="C3853" s="1">
        <v>49.0</v>
      </c>
      <c r="D3853" s="1">
        <v>54.0</v>
      </c>
      <c r="F3853" s="1" t="str">
        <f>LOOKUP(A3853, NPCs!A:A, NPCs!C:C)</f>
        <v>Ancient Prisoner</v>
      </c>
      <c r="G3853" s="1" t="str">
        <f>LOOKUP(B3853, Maps!A:A, Maps!B:B)</f>
        <v>The Ancients Dungeon</v>
      </c>
    </row>
    <row r="3854" ht="15.75" customHeight="1">
      <c r="A3854" s="1">
        <v>175.0</v>
      </c>
      <c r="B3854" s="1">
        <v>40.0</v>
      </c>
      <c r="C3854" s="1">
        <v>51.0</v>
      </c>
      <c r="D3854" s="1">
        <v>54.0</v>
      </c>
      <c r="F3854" s="1" t="str">
        <f>LOOKUP(A3854, NPCs!A:A, NPCs!C:C)</f>
        <v>Ancient Prisoner</v>
      </c>
      <c r="G3854" s="1" t="str">
        <f>LOOKUP(B3854, Maps!A:A, Maps!B:B)</f>
        <v>The Ancients Dungeon</v>
      </c>
    </row>
    <row r="3855" ht="15.75" customHeight="1">
      <c r="A3855" s="1">
        <v>175.0</v>
      </c>
      <c r="B3855" s="1">
        <v>40.0</v>
      </c>
      <c r="C3855" s="1">
        <v>56.0</v>
      </c>
      <c r="D3855" s="1">
        <v>54.0</v>
      </c>
      <c r="F3855" s="1" t="str">
        <f>LOOKUP(A3855, NPCs!A:A, NPCs!C:C)</f>
        <v>Ancient Prisoner</v>
      </c>
      <c r="G3855" s="1" t="str">
        <f>LOOKUP(B3855, Maps!A:A, Maps!B:B)</f>
        <v>The Ancients Dungeon</v>
      </c>
    </row>
    <row r="3856" ht="15.75" customHeight="1">
      <c r="A3856" s="1">
        <v>175.0</v>
      </c>
      <c r="B3856" s="1">
        <v>40.0</v>
      </c>
      <c r="C3856" s="1">
        <v>61.0</v>
      </c>
      <c r="D3856" s="1">
        <v>55.0</v>
      </c>
      <c r="F3856" s="1" t="str">
        <f>LOOKUP(A3856, NPCs!A:A, NPCs!C:C)</f>
        <v>Ancient Prisoner</v>
      </c>
      <c r="G3856" s="1" t="str">
        <f>LOOKUP(B3856, Maps!A:A, Maps!B:B)</f>
        <v>The Ancients Dungeon</v>
      </c>
    </row>
    <row r="3857" ht="15.75" customHeight="1">
      <c r="A3857" s="1">
        <v>175.0</v>
      </c>
      <c r="B3857" s="1">
        <v>40.0</v>
      </c>
      <c r="C3857" s="1">
        <v>58.0</v>
      </c>
      <c r="D3857" s="1">
        <v>60.0</v>
      </c>
      <c r="F3857" s="1" t="str">
        <f>LOOKUP(A3857, NPCs!A:A, NPCs!C:C)</f>
        <v>Ancient Prisoner</v>
      </c>
      <c r="G3857" s="1" t="str">
        <f>LOOKUP(B3857, Maps!A:A, Maps!B:B)</f>
        <v>The Ancients Dungeon</v>
      </c>
    </row>
    <row r="3858" ht="15.75" customHeight="1">
      <c r="A3858" s="1">
        <v>175.0</v>
      </c>
      <c r="B3858" s="1">
        <v>40.0</v>
      </c>
      <c r="C3858" s="1">
        <v>63.0</v>
      </c>
      <c r="D3858" s="1">
        <v>64.0</v>
      </c>
      <c r="F3858" s="1" t="str">
        <f>LOOKUP(A3858, NPCs!A:A, NPCs!C:C)</f>
        <v>Ancient Prisoner</v>
      </c>
      <c r="G3858" s="1" t="str">
        <f>LOOKUP(B3858, Maps!A:A, Maps!B:B)</f>
        <v>The Ancients Dungeon</v>
      </c>
    </row>
    <row r="3859" ht="15.75" customHeight="1">
      <c r="A3859" s="1">
        <v>175.0</v>
      </c>
      <c r="B3859" s="1">
        <v>40.0</v>
      </c>
      <c r="C3859" s="1">
        <v>66.0</v>
      </c>
      <c r="D3859" s="1">
        <v>59.0</v>
      </c>
      <c r="F3859" s="1" t="str">
        <f>LOOKUP(A3859, NPCs!A:A, NPCs!C:C)</f>
        <v>Ancient Prisoner</v>
      </c>
      <c r="G3859" s="1" t="str">
        <f>LOOKUP(B3859, Maps!A:A, Maps!B:B)</f>
        <v>The Ancients Dungeon</v>
      </c>
    </row>
    <row r="3860" ht="15.75" customHeight="1">
      <c r="A3860" s="1">
        <v>175.0</v>
      </c>
      <c r="B3860" s="1">
        <v>40.0</v>
      </c>
      <c r="C3860" s="1">
        <v>68.0</v>
      </c>
      <c r="D3860" s="1">
        <v>54.0</v>
      </c>
      <c r="F3860" s="1" t="str">
        <f>LOOKUP(A3860, NPCs!A:A, NPCs!C:C)</f>
        <v>Ancient Prisoner</v>
      </c>
      <c r="G3860" s="1" t="str">
        <f>LOOKUP(B3860, Maps!A:A, Maps!B:B)</f>
        <v>The Ancients Dungeon</v>
      </c>
    </row>
    <row r="3861" ht="15.75" customHeight="1">
      <c r="A3861" s="1">
        <v>175.0</v>
      </c>
      <c r="B3861" s="1">
        <v>40.0</v>
      </c>
      <c r="C3861" s="1">
        <v>71.0</v>
      </c>
      <c r="D3861" s="1">
        <v>59.0</v>
      </c>
      <c r="F3861" s="1" t="str">
        <f>LOOKUP(A3861, NPCs!A:A, NPCs!C:C)</f>
        <v>Ancient Prisoner</v>
      </c>
      <c r="G3861" s="1" t="str">
        <f>LOOKUP(B3861, Maps!A:A, Maps!B:B)</f>
        <v>The Ancients Dungeon</v>
      </c>
    </row>
    <row r="3862" ht="15.75" customHeight="1">
      <c r="A3862" s="1">
        <v>175.0</v>
      </c>
      <c r="B3862" s="1">
        <v>40.0</v>
      </c>
      <c r="C3862" s="1">
        <v>68.0</v>
      </c>
      <c r="D3862" s="1">
        <v>64.0</v>
      </c>
      <c r="F3862" s="1" t="str">
        <f>LOOKUP(A3862, NPCs!A:A, NPCs!C:C)</f>
        <v>Ancient Prisoner</v>
      </c>
      <c r="G3862" s="1" t="str">
        <f>LOOKUP(B3862, Maps!A:A, Maps!B:B)</f>
        <v>The Ancients Dungeon</v>
      </c>
    </row>
    <row r="3863" ht="15.75" customHeight="1">
      <c r="A3863" s="1">
        <v>175.0</v>
      </c>
      <c r="B3863" s="1">
        <v>40.0</v>
      </c>
      <c r="C3863" s="1">
        <v>79.0</v>
      </c>
      <c r="D3863" s="1">
        <v>64.0</v>
      </c>
      <c r="F3863" s="1" t="str">
        <f>LOOKUP(A3863, NPCs!A:A, NPCs!C:C)</f>
        <v>Ancient Prisoner</v>
      </c>
      <c r="G3863" s="1" t="str">
        <f>LOOKUP(B3863, Maps!A:A, Maps!B:B)</f>
        <v>The Ancients Dungeon</v>
      </c>
    </row>
    <row r="3864" ht="15.75" customHeight="1">
      <c r="A3864" s="1">
        <v>175.0</v>
      </c>
      <c r="B3864" s="1">
        <v>40.0</v>
      </c>
      <c r="C3864" s="1">
        <v>82.0</v>
      </c>
      <c r="D3864" s="1">
        <v>60.0</v>
      </c>
      <c r="F3864" s="1" t="str">
        <f>LOOKUP(A3864, NPCs!A:A, NPCs!C:C)</f>
        <v>Ancient Prisoner</v>
      </c>
      <c r="G3864" s="1" t="str">
        <f>LOOKUP(B3864, Maps!A:A, Maps!B:B)</f>
        <v>The Ancients Dungeon</v>
      </c>
    </row>
    <row r="3865" ht="15.75" customHeight="1">
      <c r="A3865" s="1">
        <v>175.0</v>
      </c>
      <c r="B3865" s="1">
        <v>40.0</v>
      </c>
      <c r="C3865" s="1">
        <v>79.0</v>
      </c>
      <c r="D3865" s="1">
        <v>55.0</v>
      </c>
      <c r="F3865" s="1" t="str">
        <f>LOOKUP(A3865, NPCs!A:A, NPCs!C:C)</f>
        <v>Ancient Prisoner</v>
      </c>
      <c r="G3865" s="1" t="str">
        <f>LOOKUP(B3865, Maps!A:A, Maps!B:B)</f>
        <v>The Ancients Dungeon</v>
      </c>
    </row>
    <row r="3866" ht="15.75" customHeight="1">
      <c r="A3866" s="1">
        <v>175.0</v>
      </c>
      <c r="B3866" s="1">
        <v>40.0</v>
      </c>
      <c r="C3866" s="1">
        <v>76.0</v>
      </c>
      <c r="D3866" s="1">
        <v>60.0</v>
      </c>
      <c r="F3866" s="1" t="str">
        <f>LOOKUP(A3866, NPCs!A:A, NPCs!C:C)</f>
        <v>Ancient Prisoner</v>
      </c>
      <c r="G3866" s="1" t="str">
        <f>LOOKUP(B3866, Maps!A:A, Maps!B:B)</f>
        <v>The Ancients Dungeon</v>
      </c>
    </row>
    <row r="3867" ht="15.75" customHeight="1">
      <c r="A3867" s="1">
        <v>175.0</v>
      </c>
      <c r="B3867" s="1">
        <v>40.0</v>
      </c>
      <c r="C3867" s="1">
        <v>53.0</v>
      </c>
      <c r="D3867" s="1">
        <v>48.0</v>
      </c>
      <c r="F3867" s="1" t="str">
        <f>LOOKUP(A3867, NPCs!A:A, NPCs!C:C)</f>
        <v>Ancient Prisoner</v>
      </c>
      <c r="G3867" s="1" t="str">
        <f>LOOKUP(B3867, Maps!A:A, Maps!B:B)</f>
        <v>The Ancients Dungeon</v>
      </c>
    </row>
    <row r="3868" ht="15.75" customHeight="1">
      <c r="A3868" s="1">
        <v>175.0</v>
      </c>
      <c r="B3868" s="1">
        <v>40.0</v>
      </c>
      <c r="C3868" s="1">
        <v>47.0</v>
      </c>
      <c r="D3868" s="1">
        <v>48.0</v>
      </c>
      <c r="F3868" s="1" t="str">
        <f>LOOKUP(A3868, NPCs!A:A, NPCs!C:C)</f>
        <v>Ancient Prisoner</v>
      </c>
      <c r="G3868" s="1" t="str">
        <f>LOOKUP(B3868, Maps!A:A, Maps!B:B)</f>
        <v>The Ancients Dungeon</v>
      </c>
    </row>
    <row r="3869" ht="15.75" customHeight="1">
      <c r="A3869" s="1">
        <v>175.0</v>
      </c>
      <c r="B3869" s="1">
        <v>40.0</v>
      </c>
      <c r="C3869" s="1">
        <v>47.0</v>
      </c>
      <c r="D3869" s="1">
        <v>42.0</v>
      </c>
      <c r="F3869" s="1" t="str">
        <f>LOOKUP(A3869, NPCs!A:A, NPCs!C:C)</f>
        <v>Ancient Prisoner</v>
      </c>
      <c r="G3869" s="1" t="str">
        <f>LOOKUP(B3869, Maps!A:A, Maps!B:B)</f>
        <v>The Ancients Dungeon</v>
      </c>
    </row>
    <row r="3870" ht="15.75" customHeight="1">
      <c r="A3870" s="1">
        <v>175.0</v>
      </c>
      <c r="B3870" s="1">
        <v>40.0</v>
      </c>
      <c r="C3870" s="1">
        <v>53.0</v>
      </c>
      <c r="D3870" s="1">
        <v>42.0</v>
      </c>
      <c r="F3870" s="1" t="str">
        <f>LOOKUP(A3870, NPCs!A:A, NPCs!C:C)</f>
        <v>Ancient Prisoner</v>
      </c>
      <c r="G3870" s="1" t="str">
        <f>LOOKUP(B3870, Maps!A:A, Maps!B:B)</f>
        <v>The Ancients Dungeon</v>
      </c>
    </row>
    <row r="3871" ht="15.75" customHeight="1">
      <c r="A3871" s="1">
        <v>175.0</v>
      </c>
      <c r="B3871" s="1">
        <v>40.0</v>
      </c>
      <c r="C3871" s="1">
        <v>53.0</v>
      </c>
      <c r="D3871" s="1">
        <v>45.0</v>
      </c>
      <c r="F3871" s="1" t="str">
        <f>LOOKUP(A3871, NPCs!A:A, NPCs!C:C)</f>
        <v>Ancient Prisoner</v>
      </c>
      <c r="G3871" s="1" t="str">
        <f>LOOKUP(B3871, Maps!A:A, Maps!B:B)</f>
        <v>The Ancients Dungeon</v>
      </c>
    </row>
    <row r="3872" ht="15.75" customHeight="1">
      <c r="A3872" s="1">
        <v>175.0</v>
      </c>
      <c r="B3872" s="1">
        <v>40.0</v>
      </c>
      <c r="C3872" s="1">
        <v>47.0</v>
      </c>
      <c r="D3872" s="1">
        <v>45.0</v>
      </c>
      <c r="F3872" s="1" t="str">
        <f>LOOKUP(A3872, NPCs!A:A, NPCs!C:C)</f>
        <v>Ancient Prisoner</v>
      </c>
      <c r="G3872" s="1" t="str">
        <f>LOOKUP(B3872, Maps!A:A, Maps!B:B)</f>
        <v>The Ancients Dungeon</v>
      </c>
    </row>
    <row r="3873" ht="15.75" customHeight="1">
      <c r="A3873" s="1">
        <v>175.0</v>
      </c>
      <c r="B3873" s="1">
        <v>40.0</v>
      </c>
      <c r="C3873" s="1">
        <v>49.0</v>
      </c>
      <c r="D3873" s="1">
        <v>35.0</v>
      </c>
      <c r="F3873" s="1" t="str">
        <f>LOOKUP(A3873, NPCs!A:A, NPCs!C:C)</f>
        <v>Ancient Prisoner</v>
      </c>
      <c r="G3873" s="1" t="str">
        <f>LOOKUP(B3873, Maps!A:A, Maps!B:B)</f>
        <v>The Ancients Dungeon</v>
      </c>
    </row>
    <row r="3874" ht="15.75" customHeight="1">
      <c r="A3874" s="1">
        <v>175.0</v>
      </c>
      <c r="B3874" s="1">
        <v>40.0</v>
      </c>
      <c r="C3874" s="1">
        <v>50.0</v>
      </c>
      <c r="D3874" s="1">
        <v>35.0</v>
      </c>
      <c r="F3874" s="1" t="str">
        <f>LOOKUP(A3874, NPCs!A:A, NPCs!C:C)</f>
        <v>Ancient Prisoner</v>
      </c>
      <c r="G3874" s="1" t="str">
        <f>LOOKUP(B3874, Maps!A:A, Maps!B:B)</f>
        <v>The Ancients Dungeon</v>
      </c>
    </row>
    <row r="3875" ht="15.75" customHeight="1">
      <c r="A3875" s="1">
        <v>175.0</v>
      </c>
      <c r="B3875" s="1">
        <v>40.0</v>
      </c>
      <c r="C3875" s="1">
        <v>51.0</v>
      </c>
      <c r="D3875" s="1">
        <v>35.0</v>
      </c>
      <c r="F3875" s="1" t="str">
        <f>LOOKUP(A3875, NPCs!A:A, NPCs!C:C)</f>
        <v>Ancient Prisoner</v>
      </c>
      <c r="G3875" s="1" t="str">
        <f>LOOKUP(B3875, Maps!A:A, Maps!B:B)</f>
        <v>The Ancients Dungeon</v>
      </c>
    </row>
    <row r="3876" ht="15.75" customHeight="1">
      <c r="A3876" s="1">
        <v>175.0</v>
      </c>
      <c r="B3876" s="1">
        <v>40.0</v>
      </c>
      <c r="C3876" s="1">
        <v>49.0</v>
      </c>
      <c r="D3876" s="1">
        <v>30.0</v>
      </c>
      <c r="F3876" s="1" t="str">
        <f>LOOKUP(A3876, NPCs!A:A, NPCs!C:C)</f>
        <v>Ancient Prisoner</v>
      </c>
      <c r="G3876" s="1" t="str">
        <f>LOOKUP(B3876, Maps!A:A, Maps!B:B)</f>
        <v>The Ancients Dungeon</v>
      </c>
    </row>
    <row r="3877" ht="15.75" customHeight="1">
      <c r="A3877" s="1">
        <v>175.0</v>
      </c>
      <c r="B3877" s="1">
        <v>40.0</v>
      </c>
      <c r="C3877" s="1">
        <v>50.0</v>
      </c>
      <c r="D3877" s="1">
        <v>30.0</v>
      </c>
      <c r="F3877" s="1" t="str">
        <f>LOOKUP(A3877, NPCs!A:A, NPCs!C:C)</f>
        <v>Ancient Prisoner</v>
      </c>
      <c r="G3877" s="1" t="str">
        <f>LOOKUP(B3877, Maps!A:A, Maps!B:B)</f>
        <v>The Ancients Dungeon</v>
      </c>
    </row>
    <row r="3878" ht="15.75" customHeight="1">
      <c r="A3878" s="1">
        <v>175.0</v>
      </c>
      <c r="B3878" s="1">
        <v>40.0</v>
      </c>
      <c r="C3878" s="1">
        <v>51.0</v>
      </c>
      <c r="D3878" s="1">
        <v>30.0</v>
      </c>
      <c r="F3878" s="1" t="str">
        <f>LOOKUP(A3878, NPCs!A:A, NPCs!C:C)</f>
        <v>Ancient Prisoner</v>
      </c>
      <c r="G3878" s="1" t="str">
        <f>LOOKUP(B3878, Maps!A:A, Maps!B:B)</f>
        <v>The Ancients Dungeon</v>
      </c>
    </row>
    <row r="3879" ht="15.75" customHeight="1">
      <c r="A3879" s="1">
        <v>175.0</v>
      </c>
      <c r="B3879" s="1">
        <v>40.0</v>
      </c>
      <c r="C3879" s="1">
        <v>51.0</v>
      </c>
      <c r="D3879" s="1">
        <v>25.0</v>
      </c>
      <c r="F3879" s="1" t="str">
        <f>LOOKUP(A3879, NPCs!A:A, NPCs!C:C)</f>
        <v>Ancient Prisoner</v>
      </c>
      <c r="G3879" s="1" t="str">
        <f>LOOKUP(B3879, Maps!A:A, Maps!B:B)</f>
        <v>The Ancients Dungeon</v>
      </c>
    </row>
    <row r="3880" ht="15.75" customHeight="1">
      <c r="A3880" s="1">
        <v>175.0</v>
      </c>
      <c r="B3880" s="1">
        <v>40.0</v>
      </c>
      <c r="C3880" s="1">
        <v>50.0</v>
      </c>
      <c r="D3880" s="1">
        <v>25.0</v>
      </c>
      <c r="F3880" s="1" t="str">
        <f>LOOKUP(A3880, NPCs!A:A, NPCs!C:C)</f>
        <v>Ancient Prisoner</v>
      </c>
      <c r="G3880" s="1" t="str">
        <f>LOOKUP(B3880, Maps!A:A, Maps!B:B)</f>
        <v>The Ancients Dungeon</v>
      </c>
    </row>
    <row r="3881" ht="15.75" customHeight="1">
      <c r="A3881" s="1">
        <v>175.0</v>
      </c>
      <c r="B3881" s="1">
        <v>40.0</v>
      </c>
      <c r="C3881" s="1">
        <v>49.0</v>
      </c>
      <c r="D3881" s="1">
        <v>25.0</v>
      </c>
      <c r="F3881" s="1" t="str">
        <f>LOOKUP(A3881, NPCs!A:A, NPCs!C:C)</f>
        <v>Ancient Prisoner</v>
      </c>
      <c r="G3881" s="1" t="str">
        <f>LOOKUP(B3881, Maps!A:A, Maps!B:B)</f>
        <v>The Ancients Dungeon</v>
      </c>
    </row>
    <row r="3882" ht="15.75" customHeight="1">
      <c r="A3882" s="1">
        <v>175.0</v>
      </c>
      <c r="B3882" s="1">
        <v>40.0</v>
      </c>
      <c r="C3882" s="1">
        <v>49.0</v>
      </c>
      <c r="D3882" s="1">
        <v>20.0</v>
      </c>
      <c r="F3882" s="1" t="str">
        <f>LOOKUP(A3882, NPCs!A:A, NPCs!C:C)</f>
        <v>Ancient Prisoner</v>
      </c>
      <c r="G3882" s="1" t="str">
        <f>LOOKUP(B3882, Maps!A:A, Maps!B:B)</f>
        <v>The Ancients Dungeon</v>
      </c>
    </row>
    <row r="3883" ht="15.75" customHeight="1">
      <c r="A3883" s="1">
        <v>175.0</v>
      </c>
      <c r="B3883" s="1">
        <v>40.0</v>
      </c>
      <c r="C3883" s="1">
        <v>50.0</v>
      </c>
      <c r="D3883" s="1">
        <v>20.0</v>
      </c>
      <c r="F3883" s="1" t="str">
        <f>LOOKUP(A3883, NPCs!A:A, NPCs!C:C)</f>
        <v>Ancient Prisoner</v>
      </c>
      <c r="G3883" s="1" t="str">
        <f>LOOKUP(B3883, Maps!A:A, Maps!B:B)</f>
        <v>The Ancients Dungeon</v>
      </c>
    </row>
    <row r="3884" ht="15.75" customHeight="1">
      <c r="A3884" s="1">
        <v>175.0</v>
      </c>
      <c r="B3884" s="1">
        <v>40.0</v>
      </c>
      <c r="C3884" s="1">
        <v>51.0</v>
      </c>
      <c r="D3884" s="1">
        <v>20.0</v>
      </c>
      <c r="F3884" s="1" t="str">
        <f>LOOKUP(A3884, NPCs!A:A, NPCs!C:C)</f>
        <v>Ancient Prisoner</v>
      </c>
      <c r="G3884" s="1" t="str">
        <f>LOOKUP(B3884, Maps!A:A, Maps!B:B)</f>
        <v>The Ancients Dungeon</v>
      </c>
    </row>
    <row r="3885" ht="15.75" customHeight="1">
      <c r="A3885" s="1">
        <v>175.0</v>
      </c>
      <c r="B3885" s="1">
        <v>40.0</v>
      </c>
      <c r="C3885" s="1">
        <v>59.0</v>
      </c>
      <c r="D3885" s="1">
        <v>37.0</v>
      </c>
      <c r="F3885" s="1" t="str">
        <f>LOOKUP(A3885, NPCs!A:A, NPCs!C:C)</f>
        <v>Ancient Prisoner</v>
      </c>
      <c r="G3885" s="1" t="str">
        <f>LOOKUP(B3885, Maps!A:A, Maps!B:B)</f>
        <v>The Ancients Dungeon</v>
      </c>
    </row>
    <row r="3886" ht="15.75" customHeight="1">
      <c r="A3886" s="1">
        <v>175.0</v>
      </c>
      <c r="B3886" s="1">
        <v>40.0</v>
      </c>
      <c r="C3886" s="1">
        <v>66.0</v>
      </c>
      <c r="D3886" s="1">
        <v>36.0</v>
      </c>
      <c r="F3886" s="1" t="str">
        <f>LOOKUP(A3886, NPCs!A:A, NPCs!C:C)</f>
        <v>Ancient Prisoner</v>
      </c>
      <c r="G3886" s="1" t="str">
        <f>LOOKUP(B3886, Maps!A:A, Maps!B:B)</f>
        <v>The Ancients Dungeon</v>
      </c>
    </row>
    <row r="3887" ht="15.75" customHeight="1">
      <c r="A3887" s="1">
        <v>175.0</v>
      </c>
      <c r="B3887" s="1">
        <v>40.0</v>
      </c>
      <c r="C3887" s="1">
        <v>73.0</v>
      </c>
      <c r="D3887" s="1">
        <v>37.0</v>
      </c>
      <c r="F3887" s="1" t="str">
        <f>LOOKUP(A3887, NPCs!A:A, NPCs!C:C)</f>
        <v>Ancient Prisoner</v>
      </c>
      <c r="G3887" s="1" t="str">
        <f>LOOKUP(B3887, Maps!A:A, Maps!B:B)</f>
        <v>The Ancients Dungeon</v>
      </c>
    </row>
    <row r="3888" ht="15.75" customHeight="1">
      <c r="A3888" s="1">
        <v>175.0</v>
      </c>
      <c r="B3888" s="1">
        <v>40.0</v>
      </c>
      <c r="C3888" s="1">
        <v>79.0</v>
      </c>
      <c r="D3888" s="1">
        <v>37.0</v>
      </c>
      <c r="F3888" s="1" t="str">
        <f>LOOKUP(A3888, NPCs!A:A, NPCs!C:C)</f>
        <v>Ancient Prisoner</v>
      </c>
      <c r="G3888" s="1" t="str">
        <f>LOOKUP(B3888, Maps!A:A, Maps!B:B)</f>
        <v>The Ancients Dungeon</v>
      </c>
    </row>
    <row r="3889" ht="15.75" customHeight="1">
      <c r="A3889" s="1">
        <v>175.0</v>
      </c>
      <c r="B3889" s="1">
        <v>40.0</v>
      </c>
      <c r="C3889" s="1">
        <v>87.0</v>
      </c>
      <c r="D3889" s="1">
        <v>38.0</v>
      </c>
      <c r="F3889" s="1" t="str">
        <f>LOOKUP(A3889, NPCs!A:A, NPCs!C:C)</f>
        <v>Ancient Prisoner</v>
      </c>
      <c r="G3889" s="1" t="str">
        <f>LOOKUP(B3889, Maps!A:A, Maps!B:B)</f>
        <v>The Ancients Dungeon</v>
      </c>
    </row>
    <row r="3890" ht="15.75" customHeight="1">
      <c r="A3890" s="1">
        <v>175.0</v>
      </c>
      <c r="B3890" s="1">
        <v>40.0</v>
      </c>
      <c r="C3890" s="1">
        <v>85.0</v>
      </c>
      <c r="D3890" s="1">
        <v>35.0</v>
      </c>
      <c r="F3890" s="1" t="str">
        <f>LOOKUP(A3890, NPCs!A:A, NPCs!C:C)</f>
        <v>Ancient Prisoner</v>
      </c>
      <c r="G3890" s="1" t="str">
        <f>LOOKUP(B3890, Maps!A:A, Maps!B:B)</f>
        <v>The Ancients Dungeon</v>
      </c>
    </row>
    <row r="3891" ht="15.75" customHeight="1">
      <c r="A3891" s="1">
        <v>175.0</v>
      </c>
      <c r="B3891" s="1">
        <v>40.0</v>
      </c>
      <c r="C3891" s="1">
        <v>82.0</v>
      </c>
      <c r="D3891" s="1">
        <v>32.0</v>
      </c>
      <c r="F3891" s="1" t="str">
        <f>LOOKUP(A3891, NPCs!A:A, NPCs!C:C)</f>
        <v>Ancient Prisoner</v>
      </c>
      <c r="G3891" s="1" t="str">
        <f>LOOKUP(B3891, Maps!A:A, Maps!B:B)</f>
        <v>The Ancients Dungeon</v>
      </c>
    </row>
    <row r="3892" ht="15.75" customHeight="1">
      <c r="A3892" s="1">
        <v>175.0</v>
      </c>
      <c r="B3892" s="1">
        <v>40.0</v>
      </c>
      <c r="C3892" s="1">
        <v>92.0</v>
      </c>
      <c r="D3892" s="1">
        <v>37.0</v>
      </c>
      <c r="F3892" s="1" t="str">
        <f>LOOKUP(A3892, NPCs!A:A, NPCs!C:C)</f>
        <v>Ancient Prisoner</v>
      </c>
      <c r="G3892" s="1" t="str">
        <f>LOOKUP(B3892, Maps!A:A, Maps!B:B)</f>
        <v>The Ancients Dungeon</v>
      </c>
    </row>
    <row r="3893" ht="15.75" customHeight="1">
      <c r="A3893" s="1">
        <v>175.0</v>
      </c>
      <c r="B3893" s="1">
        <v>40.0</v>
      </c>
      <c r="C3893" s="1">
        <v>92.0</v>
      </c>
      <c r="D3893" s="1">
        <v>32.0</v>
      </c>
      <c r="F3893" s="1" t="str">
        <f>LOOKUP(A3893, NPCs!A:A, NPCs!C:C)</f>
        <v>Ancient Prisoner</v>
      </c>
      <c r="G3893" s="1" t="str">
        <f>LOOKUP(B3893, Maps!A:A, Maps!B:B)</f>
        <v>The Ancients Dungeon</v>
      </c>
    </row>
    <row r="3894" ht="15.75" customHeight="1">
      <c r="A3894" s="1">
        <v>175.0</v>
      </c>
      <c r="B3894" s="1">
        <v>40.0</v>
      </c>
      <c r="C3894" s="1">
        <v>87.0</v>
      </c>
      <c r="D3894" s="1">
        <v>30.0</v>
      </c>
      <c r="F3894" s="1" t="str">
        <f>LOOKUP(A3894, NPCs!A:A, NPCs!C:C)</f>
        <v>Ancient Prisoner</v>
      </c>
      <c r="G3894" s="1" t="str">
        <f>LOOKUP(B3894, Maps!A:A, Maps!B:B)</f>
        <v>The Ancients Dungeon</v>
      </c>
    </row>
    <row r="3895" ht="15.75" customHeight="1">
      <c r="A3895" s="1">
        <v>175.0</v>
      </c>
      <c r="B3895" s="1">
        <v>40.0</v>
      </c>
      <c r="C3895" s="1">
        <v>82.0</v>
      </c>
      <c r="D3895" s="1">
        <v>27.0</v>
      </c>
      <c r="F3895" s="1" t="str">
        <f>LOOKUP(A3895, NPCs!A:A, NPCs!C:C)</f>
        <v>Ancient Prisoner</v>
      </c>
      <c r="G3895" s="1" t="str">
        <f>LOOKUP(B3895, Maps!A:A, Maps!B:B)</f>
        <v>The Ancients Dungeon</v>
      </c>
    </row>
    <row r="3896" ht="15.75" customHeight="1">
      <c r="A3896" s="1">
        <v>175.0</v>
      </c>
      <c r="B3896" s="1">
        <v>40.0</v>
      </c>
      <c r="C3896" s="1">
        <v>98.0</v>
      </c>
      <c r="D3896" s="1">
        <v>35.0</v>
      </c>
      <c r="F3896" s="1" t="str">
        <f>LOOKUP(A3896, NPCs!A:A, NPCs!C:C)</f>
        <v>Ancient Prisoner</v>
      </c>
      <c r="G3896" s="1" t="str">
        <f>LOOKUP(B3896, Maps!A:A, Maps!B:B)</f>
        <v>The Ancients Dungeon</v>
      </c>
    </row>
    <row r="3897" ht="15.75" customHeight="1">
      <c r="A3897" s="1">
        <v>175.0</v>
      </c>
      <c r="B3897" s="1">
        <v>40.0</v>
      </c>
      <c r="C3897" s="1">
        <v>98.0</v>
      </c>
      <c r="D3897" s="1">
        <v>32.0</v>
      </c>
      <c r="F3897" s="1" t="str">
        <f>LOOKUP(A3897, NPCs!A:A, NPCs!C:C)</f>
        <v>Ancient Prisoner</v>
      </c>
      <c r="G3897" s="1" t="str">
        <f>LOOKUP(B3897, Maps!A:A, Maps!B:B)</f>
        <v>The Ancients Dungeon</v>
      </c>
    </row>
    <row r="3898" ht="15.75" customHeight="1">
      <c r="A3898" s="1">
        <v>175.0</v>
      </c>
      <c r="B3898" s="1">
        <v>40.0</v>
      </c>
      <c r="C3898" s="1">
        <v>97.0</v>
      </c>
      <c r="D3898" s="1">
        <v>27.0</v>
      </c>
      <c r="F3898" s="1" t="str">
        <f>LOOKUP(A3898, NPCs!A:A, NPCs!C:C)</f>
        <v>Ancient Prisoner</v>
      </c>
      <c r="G3898" s="1" t="str">
        <f>LOOKUP(B3898, Maps!A:A, Maps!B:B)</f>
        <v>The Ancients Dungeon</v>
      </c>
    </row>
    <row r="3899" ht="15.75" customHeight="1">
      <c r="A3899" s="1">
        <v>175.0</v>
      </c>
      <c r="B3899" s="1">
        <v>40.0</v>
      </c>
      <c r="C3899" s="1">
        <v>92.0</v>
      </c>
      <c r="D3899" s="1">
        <v>27.0</v>
      </c>
      <c r="F3899" s="1" t="str">
        <f>LOOKUP(A3899, NPCs!A:A, NPCs!C:C)</f>
        <v>Ancient Prisoner</v>
      </c>
      <c r="G3899" s="1" t="str">
        <f>LOOKUP(B3899, Maps!A:A, Maps!B:B)</f>
        <v>The Ancients Dungeon</v>
      </c>
    </row>
    <row r="3900" ht="15.75" customHeight="1">
      <c r="A3900" s="1">
        <v>175.0</v>
      </c>
      <c r="B3900" s="1">
        <v>40.0</v>
      </c>
      <c r="C3900" s="1">
        <v>99.0</v>
      </c>
      <c r="D3900" s="1">
        <v>21.0</v>
      </c>
      <c r="F3900" s="1" t="str">
        <f>LOOKUP(A3900, NPCs!A:A, NPCs!C:C)</f>
        <v>Ancient Prisoner</v>
      </c>
      <c r="G3900" s="1" t="str">
        <f>LOOKUP(B3900, Maps!A:A, Maps!B:B)</f>
        <v>The Ancients Dungeon</v>
      </c>
    </row>
    <row r="3901" ht="15.75" customHeight="1">
      <c r="A3901" s="1">
        <v>175.0</v>
      </c>
      <c r="B3901" s="1">
        <v>40.0</v>
      </c>
      <c r="C3901" s="1">
        <v>97.0</v>
      </c>
      <c r="D3901" s="1">
        <v>21.0</v>
      </c>
      <c r="F3901" s="1" t="str">
        <f>LOOKUP(A3901, NPCs!A:A, NPCs!C:C)</f>
        <v>Ancient Prisoner</v>
      </c>
      <c r="G3901" s="1" t="str">
        <f>LOOKUP(B3901, Maps!A:A, Maps!B:B)</f>
        <v>The Ancients Dungeon</v>
      </c>
    </row>
    <row r="3902" ht="15.75" customHeight="1">
      <c r="A3902" s="1">
        <v>175.0</v>
      </c>
      <c r="B3902" s="1">
        <v>40.0</v>
      </c>
      <c r="C3902" s="1">
        <v>92.0</v>
      </c>
      <c r="D3902" s="1">
        <v>21.0</v>
      </c>
      <c r="F3902" s="1" t="str">
        <f>LOOKUP(A3902, NPCs!A:A, NPCs!C:C)</f>
        <v>Ancient Prisoner</v>
      </c>
      <c r="G3902" s="1" t="str">
        <f>LOOKUP(B3902, Maps!A:A, Maps!B:B)</f>
        <v>The Ancients Dungeon</v>
      </c>
    </row>
    <row r="3903" ht="15.75" customHeight="1">
      <c r="A3903" s="1">
        <v>175.0</v>
      </c>
      <c r="B3903" s="1">
        <v>40.0</v>
      </c>
      <c r="C3903" s="1">
        <v>90.0</v>
      </c>
      <c r="D3903" s="1">
        <v>21.0</v>
      </c>
      <c r="F3903" s="1" t="str">
        <f>LOOKUP(A3903, NPCs!A:A, NPCs!C:C)</f>
        <v>Ancient Prisoner</v>
      </c>
      <c r="G3903" s="1" t="str">
        <f>LOOKUP(B3903, Maps!A:A, Maps!B:B)</f>
        <v>The Ancients Dungeon</v>
      </c>
    </row>
    <row r="3904" ht="15.75" customHeight="1">
      <c r="A3904" s="1">
        <v>175.0</v>
      </c>
      <c r="B3904" s="1">
        <v>40.0</v>
      </c>
      <c r="C3904" s="1">
        <v>85.0</v>
      </c>
      <c r="D3904" s="1">
        <v>21.0</v>
      </c>
      <c r="F3904" s="1" t="str">
        <f>LOOKUP(A3904, NPCs!A:A, NPCs!C:C)</f>
        <v>Ancient Prisoner</v>
      </c>
      <c r="G3904" s="1" t="str">
        <f>LOOKUP(B3904, Maps!A:A, Maps!B:B)</f>
        <v>The Ancients Dungeon</v>
      </c>
    </row>
    <row r="3905" ht="15.75" customHeight="1">
      <c r="A3905" s="1">
        <v>175.0</v>
      </c>
      <c r="B3905" s="1">
        <v>40.0</v>
      </c>
      <c r="C3905" s="1">
        <v>83.0</v>
      </c>
      <c r="D3905" s="1">
        <v>21.0</v>
      </c>
      <c r="F3905" s="1" t="str">
        <f>LOOKUP(A3905, NPCs!A:A, NPCs!C:C)</f>
        <v>Ancient Prisoner</v>
      </c>
      <c r="G3905" s="1" t="str">
        <f>LOOKUP(B3905, Maps!A:A, Maps!B:B)</f>
        <v>The Ancients Dungeon</v>
      </c>
    </row>
    <row r="3906" ht="15.75" customHeight="1">
      <c r="A3906" s="1">
        <v>175.0</v>
      </c>
      <c r="B3906" s="1">
        <v>40.0</v>
      </c>
      <c r="C3906" s="1">
        <v>78.0</v>
      </c>
      <c r="D3906" s="1">
        <v>19.0</v>
      </c>
      <c r="F3906" s="1" t="str">
        <f>LOOKUP(A3906, NPCs!A:A, NPCs!C:C)</f>
        <v>Ancient Prisoner</v>
      </c>
      <c r="G3906" s="1" t="str">
        <f>LOOKUP(B3906, Maps!A:A, Maps!B:B)</f>
        <v>The Ancients Dungeon</v>
      </c>
    </row>
    <row r="3907" ht="15.75" customHeight="1">
      <c r="A3907" s="1">
        <v>175.0</v>
      </c>
      <c r="B3907" s="1">
        <v>40.0</v>
      </c>
      <c r="C3907" s="1">
        <v>81.0</v>
      </c>
      <c r="D3907" s="1">
        <v>16.0</v>
      </c>
      <c r="F3907" s="1" t="str">
        <f>LOOKUP(A3907, NPCs!A:A, NPCs!C:C)</f>
        <v>Ancient Prisoner</v>
      </c>
      <c r="G3907" s="1" t="str">
        <f>LOOKUP(B3907, Maps!A:A, Maps!B:B)</f>
        <v>The Ancients Dungeon</v>
      </c>
    </row>
    <row r="3908" ht="15.75" customHeight="1">
      <c r="A3908" s="1">
        <v>175.0</v>
      </c>
      <c r="B3908" s="1">
        <v>40.0</v>
      </c>
      <c r="C3908" s="1">
        <v>83.0</v>
      </c>
      <c r="D3908" s="1">
        <v>14.0</v>
      </c>
      <c r="F3908" s="1" t="str">
        <f>LOOKUP(A3908, NPCs!A:A, NPCs!C:C)</f>
        <v>Ancient Prisoner</v>
      </c>
      <c r="G3908" s="1" t="str">
        <f>LOOKUP(B3908, Maps!A:A, Maps!B:B)</f>
        <v>The Ancients Dungeon</v>
      </c>
    </row>
    <row r="3909" ht="15.75" customHeight="1">
      <c r="A3909" s="1">
        <v>175.0</v>
      </c>
      <c r="B3909" s="1">
        <v>40.0</v>
      </c>
      <c r="C3909" s="1">
        <v>85.0</v>
      </c>
      <c r="D3909" s="1">
        <v>11.0</v>
      </c>
      <c r="F3909" s="1" t="str">
        <f>LOOKUP(A3909, NPCs!A:A, NPCs!C:C)</f>
        <v>Ancient Prisoner</v>
      </c>
      <c r="G3909" s="1" t="str">
        <f>LOOKUP(B3909, Maps!A:A, Maps!B:B)</f>
        <v>The Ancients Dungeon</v>
      </c>
    </row>
    <row r="3910" ht="15.75" customHeight="1">
      <c r="A3910" s="1">
        <v>175.0</v>
      </c>
      <c r="B3910" s="1">
        <v>40.0</v>
      </c>
      <c r="C3910" s="1">
        <v>90.0</v>
      </c>
      <c r="D3910" s="1">
        <v>10.0</v>
      </c>
      <c r="F3910" s="1" t="str">
        <f>LOOKUP(A3910, NPCs!A:A, NPCs!C:C)</f>
        <v>Ancient Prisoner</v>
      </c>
      <c r="G3910" s="1" t="str">
        <f>LOOKUP(B3910, Maps!A:A, Maps!B:B)</f>
        <v>The Ancients Dungeon</v>
      </c>
    </row>
    <row r="3911" ht="15.75" customHeight="1">
      <c r="A3911" s="1">
        <v>175.0</v>
      </c>
      <c r="B3911" s="1">
        <v>40.0</v>
      </c>
      <c r="C3911" s="1">
        <v>90.0</v>
      </c>
      <c r="D3911" s="1">
        <v>8.0</v>
      </c>
      <c r="F3911" s="1" t="str">
        <f>LOOKUP(A3911, NPCs!A:A, NPCs!C:C)</f>
        <v>Ancient Prisoner</v>
      </c>
      <c r="G3911" s="1" t="str">
        <f>LOOKUP(B3911, Maps!A:A, Maps!B:B)</f>
        <v>The Ancients Dungeon</v>
      </c>
    </row>
    <row r="3912" ht="15.75" customHeight="1">
      <c r="A3912" s="1">
        <v>175.0</v>
      </c>
      <c r="B3912" s="1">
        <v>40.0</v>
      </c>
      <c r="C3912" s="1">
        <v>91.0</v>
      </c>
      <c r="D3912" s="1">
        <v>14.0</v>
      </c>
      <c r="F3912" s="1" t="str">
        <f>LOOKUP(A3912, NPCs!A:A, NPCs!C:C)</f>
        <v>Ancient Prisoner</v>
      </c>
      <c r="G3912" s="1" t="str">
        <f>LOOKUP(B3912, Maps!A:A, Maps!B:B)</f>
        <v>The Ancients Dungeon</v>
      </c>
    </row>
    <row r="3913" ht="15.75" customHeight="1">
      <c r="A3913" s="1">
        <v>175.0</v>
      </c>
      <c r="B3913" s="1">
        <v>40.0</v>
      </c>
      <c r="C3913" s="1">
        <v>92.0</v>
      </c>
      <c r="D3913" s="1">
        <v>16.0</v>
      </c>
      <c r="F3913" s="1" t="str">
        <f>LOOKUP(A3913, NPCs!A:A, NPCs!C:C)</f>
        <v>Ancient Prisoner</v>
      </c>
      <c r="G3913" s="1" t="str">
        <f>LOOKUP(B3913, Maps!A:A, Maps!B:B)</f>
        <v>The Ancients Dungeon</v>
      </c>
    </row>
    <row r="3914" ht="15.75" customHeight="1">
      <c r="A3914" s="1">
        <v>175.0</v>
      </c>
      <c r="B3914" s="1">
        <v>40.0</v>
      </c>
      <c r="C3914" s="1">
        <v>72.0</v>
      </c>
      <c r="D3914" s="1">
        <v>19.0</v>
      </c>
      <c r="F3914" s="1" t="str">
        <f>LOOKUP(A3914, NPCs!A:A, NPCs!C:C)</f>
        <v>Ancient Prisoner</v>
      </c>
      <c r="G3914" s="1" t="str">
        <f>LOOKUP(B3914, Maps!A:A, Maps!B:B)</f>
        <v>The Ancients Dungeon</v>
      </c>
    </row>
    <row r="3915" ht="15.75" customHeight="1">
      <c r="A3915" s="1">
        <v>175.0</v>
      </c>
      <c r="B3915" s="1">
        <v>40.0</v>
      </c>
      <c r="C3915" s="1">
        <v>74.0</v>
      </c>
      <c r="D3915" s="1">
        <v>14.0</v>
      </c>
      <c r="F3915" s="1" t="str">
        <f>LOOKUP(A3915, NPCs!A:A, NPCs!C:C)</f>
        <v>Ancient Prisoner</v>
      </c>
      <c r="G3915" s="1" t="str">
        <f>LOOKUP(B3915, Maps!A:A, Maps!B:B)</f>
        <v>The Ancients Dungeon</v>
      </c>
    </row>
    <row r="3916" ht="15.75" customHeight="1">
      <c r="A3916" s="1">
        <v>175.0</v>
      </c>
      <c r="B3916" s="1">
        <v>40.0</v>
      </c>
      <c r="C3916" s="1">
        <v>77.0</v>
      </c>
      <c r="D3916" s="1">
        <v>9.0</v>
      </c>
      <c r="F3916" s="1" t="str">
        <f>LOOKUP(A3916, NPCs!A:A, NPCs!C:C)</f>
        <v>Ancient Prisoner</v>
      </c>
      <c r="G3916" s="1" t="str">
        <f>LOOKUP(B3916, Maps!A:A, Maps!B:B)</f>
        <v>The Ancients Dungeon</v>
      </c>
    </row>
    <row r="3917" ht="15.75" customHeight="1">
      <c r="A3917" s="1">
        <v>175.0</v>
      </c>
      <c r="B3917" s="1">
        <v>40.0</v>
      </c>
      <c r="C3917" s="1">
        <v>82.0</v>
      </c>
      <c r="D3917" s="1">
        <v>5.0</v>
      </c>
      <c r="F3917" s="1" t="str">
        <f>LOOKUP(A3917, NPCs!A:A, NPCs!C:C)</f>
        <v>Ancient Prisoner</v>
      </c>
      <c r="G3917" s="1" t="str">
        <f>LOOKUP(B3917, Maps!A:A, Maps!B:B)</f>
        <v>The Ancients Dungeon</v>
      </c>
    </row>
    <row r="3918" ht="15.75" customHeight="1">
      <c r="A3918" s="1">
        <v>175.0</v>
      </c>
      <c r="B3918" s="1">
        <v>40.0</v>
      </c>
      <c r="C3918" s="1">
        <v>39.0</v>
      </c>
      <c r="D3918" s="1">
        <v>37.0</v>
      </c>
      <c r="F3918" s="1" t="str">
        <f>LOOKUP(A3918, NPCs!A:A, NPCs!C:C)</f>
        <v>Ancient Prisoner</v>
      </c>
      <c r="G3918" s="1" t="str">
        <f>LOOKUP(B3918, Maps!A:A, Maps!B:B)</f>
        <v>The Ancients Dungeon</v>
      </c>
    </row>
    <row r="3919" ht="15.75" customHeight="1">
      <c r="A3919" s="1">
        <v>175.0</v>
      </c>
      <c r="B3919" s="1">
        <v>40.0</v>
      </c>
      <c r="C3919" s="1">
        <v>33.0</v>
      </c>
      <c r="D3919" s="1">
        <v>37.0</v>
      </c>
      <c r="F3919" s="1" t="str">
        <f>LOOKUP(A3919, NPCs!A:A, NPCs!C:C)</f>
        <v>Ancient Prisoner</v>
      </c>
      <c r="G3919" s="1" t="str">
        <f>LOOKUP(B3919, Maps!A:A, Maps!B:B)</f>
        <v>The Ancients Dungeon</v>
      </c>
    </row>
    <row r="3920" ht="15.75" customHeight="1">
      <c r="A3920" s="1">
        <v>175.0</v>
      </c>
      <c r="B3920" s="1">
        <v>40.0</v>
      </c>
      <c r="C3920" s="1">
        <v>25.0</v>
      </c>
      <c r="D3920" s="1">
        <v>37.0</v>
      </c>
      <c r="F3920" s="1" t="str">
        <f>LOOKUP(A3920, NPCs!A:A, NPCs!C:C)</f>
        <v>Ancient Prisoner</v>
      </c>
      <c r="G3920" s="1" t="str">
        <f>LOOKUP(B3920, Maps!A:A, Maps!B:B)</f>
        <v>The Ancients Dungeon</v>
      </c>
    </row>
    <row r="3921" ht="15.75" customHeight="1">
      <c r="A3921" s="1">
        <v>175.0</v>
      </c>
      <c r="B3921" s="1">
        <v>40.0</v>
      </c>
      <c r="C3921" s="1">
        <v>18.0</v>
      </c>
      <c r="D3921" s="1">
        <v>35.0</v>
      </c>
      <c r="F3921" s="1" t="str">
        <f>LOOKUP(A3921, NPCs!A:A, NPCs!C:C)</f>
        <v>Ancient Prisoner</v>
      </c>
      <c r="G3921" s="1" t="str">
        <f>LOOKUP(B3921, Maps!A:A, Maps!B:B)</f>
        <v>The Ancients Dungeon</v>
      </c>
    </row>
    <row r="3922" ht="15.75" customHeight="1">
      <c r="A3922" s="1">
        <v>175.0</v>
      </c>
      <c r="B3922" s="1">
        <v>40.0</v>
      </c>
      <c r="C3922" s="1">
        <v>17.0</v>
      </c>
      <c r="D3922" s="1">
        <v>38.0</v>
      </c>
      <c r="F3922" s="1" t="str">
        <f>LOOKUP(A3922, NPCs!A:A, NPCs!C:C)</f>
        <v>Ancient Prisoner</v>
      </c>
      <c r="G3922" s="1" t="str">
        <f>LOOKUP(B3922, Maps!A:A, Maps!B:B)</f>
        <v>The Ancients Dungeon</v>
      </c>
    </row>
    <row r="3923" ht="15.75" customHeight="1">
      <c r="A3923" s="1">
        <v>175.0</v>
      </c>
      <c r="B3923" s="1">
        <v>40.0</v>
      </c>
      <c r="C3923" s="1">
        <v>15.0</v>
      </c>
      <c r="D3923" s="1">
        <v>30.0</v>
      </c>
      <c r="F3923" s="1" t="str">
        <f>LOOKUP(A3923, NPCs!A:A, NPCs!C:C)</f>
        <v>Ancient Prisoner</v>
      </c>
      <c r="G3923" s="1" t="str">
        <f>LOOKUP(B3923, Maps!A:A, Maps!B:B)</f>
        <v>The Ancients Dungeon</v>
      </c>
    </row>
    <row r="3924" ht="15.75" customHeight="1">
      <c r="A3924" s="1">
        <v>175.0</v>
      </c>
      <c r="B3924" s="1">
        <v>40.0</v>
      </c>
      <c r="C3924" s="1">
        <v>13.0</v>
      </c>
      <c r="D3924" s="1">
        <v>30.0</v>
      </c>
      <c r="F3924" s="1" t="str">
        <f>LOOKUP(A3924, NPCs!A:A, NPCs!C:C)</f>
        <v>Ancient Prisoner</v>
      </c>
      <c r="G3924" s="1" t="str">
        <f>LOOKUP(B3924, Maps!A:A, Maps!B:B)</f>
        <v>The Ancients Dungeon</v>
      </c>
    </row>
    <row r="3925" ht="15.75" customHeight="1">
      <c r="A3925" s="1">
        <v>175.0</v>
      </c>
      <c r="B3925" s="1">
        <v>40.0</v>
      </c>
      <c r="C3925" s="1">
        <v>12.0</v>
      </c>
      <c r="D3925" s="1">
        <v>38.0</v>
      </c>
      <c r="F3925" s="1" t="str">
        <f>LOOKUP(A3925, NPCs!A:A, NPCs!C:C)</f>
        <v>Ancient Prisoner</v>
      </c>
      <c r="G3925" s="1" t="str">
        <f>LOOKUP(B3925, Maps!A:A, Maps!B:B)</f>
        <v>The Ancients Dungeon</v>
      </c>
    </row>
    <row r="3926" ht="15.75" customHeight="1">
      <c r="A3926" s="1">
        <v>175.0</v>
      </c>
      <c r="B3926" s="1">
        <v>40.0</v>
      </c>
      <c r="C3926" s="1">
        <v>10.0</v>
      </c>
      <c r="D3926" s="1">
        <v>43.0</v>
      </c>
      <c r="F3926" s="1" t="str">
        <f>LOOKUP(A3926, NPCs!A:A, NPCs!C:C)</f>
        <v>Ancient Prisoner</v>
      </c>
      <c r="G3926" s="1" t="str">
        <f>LOOKUP(B3926, Maps!A:A, Maps!B:B)</f>
        <v>The Ancients Dungeon</v>
      </c>
    </row>
    <row r="3927" ht="15.75" customHeight="1">
      <c r="A3927" s="1">
        <v>175.0</v>
      </c>
      <c r="B3927" s="1">
        <v>40.0</v>
      </c>
      <c r="C3927" s="1">
        <v>6.0</v>
      </c>
      <c r="D3927" s="1">
        <v>43.0</v>
      </c>
      <c r="F3927" s="1" t="str">
        <f>LOOKUP(A3927, NPCs!A:A, NPCs!C:C)</f>
        <v>Ancient Prisoner</v>
      </c>
      <c r="G3927" s="1" t="str">
        <f>LOOKUP(B3927, Maps!A:A, Maps!B:B)</f>
        <v>The Ancients Dungeon</v>
      </c>
    </row>
    <row r="3928" ht="15.75" customHeight="1">
      <c r="A3928" s="1">
        <v>175.0</v>
      </c>
      <c r="B3928" s="1">
        <v>40.0</v>
      </c>
      <c r="C3928" s="1">
        <v>3.0</v>
      </c>
      <c r="D3928" s="1">
        <v>42.0</v>
      </c>
      <c r="F3928" s="1" t="str">
        <f>LOOKUP(A3928, NPCs!A:A, NPCs!C:C)</f>
        <v>Ancient Prisoner</v>
      </c>
      <c r="G3928" s="1" t="str">
        <f>LOOKUP(B3928, Maps!A:A, Maps!B:B)</f>
        <v>The Ancients Dungeon</v>
      </c>
    </row>
    <row r="3929" ht="15.75" customHeight="1">
      <c r="A3929" s="1">
        <v>175.0</v>
      </c>
      <c r="B3929" s="1">
        <v>40.0</v>
      </c>
      <c r="C3929" s="1">
        <v>2.0</v>
      </c>
      <c r="D3929" s="1">
        <v>37.0</v>
      </c>
      <c r="F3929" s="1" t="str">
        <f>LOOKUP(A3929, NPCs!A:A, NPCs!C:C)</f>
        <v>Ancient Prisoner</v>
      </c>
      <c r="G3929" s="1" t="str">
        <f>LOOKUP(B3929, Maps!A:A, Maps!B:B)</f>
        <v>The Ancients Dungeon</v>
      </c>
    </row>
    <row r="3930" ht="15.75" customHeight="1">
      <c r="A3930" s="1">
        <v>175.0</v>
      </c>
      <c r="B3930" s="1">
        <v>40.0</v>
      </c>
      <c r="C3930" s="1">
        <v>2.0</v>
      </c>
      <c r="D3930" s="1">
        <v>34.0</v>
      </c>
      <c r="F3930" s="1" t="str">
        <f>LOOKUP(A3930, NPCs!A:A, NPCs!C:C)</f>
        <v>Ancient Prisoner</v>
      </c>
      <c r="G3930" s="1" t="str">
        <f>LOOKUP(B3930, Maps!A:A, Maps!B:B)</f>
        <v>The Ancients Dungeon</v>
      </c>
    </row>
    <row r="3931" ht="15.75" customHeight="1">
      <c r="A3931" s="1">
        <v>175.0</v>
      </c>
      <c r="B3931" s="1">
        <v>40.0</v>
      </c>
      <c r="C3931" s="1">
        <v>7.0</v>
      </c>
      <c r="D3931" s="1">
        <v>37.0</v>
      </c>
      <c r="F3931" s="1" t="str">
        <f>LOOKUP(A3931, NPCs!A:A, NPCs!C:C)</f>
        <v>Ancient Prisoner</v>
      </c>
      <c r="G3931" s="1" t="str">
        <f>LOOKUP(B3931, Maps!A:A, Maps!B:B)</f>
        <v>The Ancients Dungeon</v>
      </c>
    </row>
    <row r="3932" ht="15.75" customHeight="1">
      <c r="A3932" s="1">
        <v>175.0</v>
      </c>
      <c r="B3932" s="1">
        <v>40.0</v>
      </c>
      <c r="C3932" s="1">
        <v>7.0</v>
      </c>
      <c r="D3932" s="1">
        <v>32.0</v>
      </c>
      <c r="F3932" s="1" t="str">
        <f>LOOKUP(A3932, NPCs!A:A, NPCs!C:C)</f>
        <v>Ancient Prisoner</v>
      </c>
      <c r="G3932" s="1" t="str">
        <f>LOOKUP(B3932, Maps!A:A, Maps!B:B)</f>
        <v>The Ancients Dungeon</v>
      </c>
    </row>
    <row r="3933" ht="15.75" customHeight="1">
      <c r="A3933" s="1">
        <v>175.0</v>
      </c>
      <c r="B3933" s="1">
        <v>40.0</v>
      </c>
      <c r="C3933" s="1">
        <v>2.0</v>
      </c>
      <c r="D3933" s="1">
        <v>28.0</v>
      </c>
      <c r="F3933" s="1" t="str">
        <f>LOOKUP(A3933, NPCs!A:A, NPCs!C:C)</f>
        <v>Ancient Prisoner</v>
      </c>
      <c r="G3933" s="1" t="str">
        <f>LOOKUP(B3933, Maps!A:A, Maps!B:B)</f>
        <v>The Ancients Dungeon</v>
      </c>
    </row>
    <row r="3934" ht="15.75" customHeight="1">
      <c r="A3934" s="1">
        <v>175.0</v>
      </c>
      <c r="B3934" s="1">
        <v>40.0</v>
      </c>
      <c r="C3934" s="1">
        <v>3.0</v>
      </c>
      <c r="D3934" s="1">
        <v>25.0</v>
      </c>
      <c r="F3934" s="1" t="str">
        <f>LOOKUP(A3934, NPCs!A:A, NPCs!C:C)</f>
        <v>Ancient Prisoner</v>
      </c>
      <c r="G3934" s="1" t="str">
        <f>LOOKUP(B3934, Maps!A:A, Maps!B:B)</f>
        <v>The Ancients Dungeon</v>
      </c>
    </row>
    <row r="3935" ht="15.75" customHeight="1">
      <c r="A3935" s="1">
        <v>175.0</v>
      </c>
      <c r="B3935" s="1">
        <v>40.0</v>
      </c>
      <c r="C3935" s="1">
        <v>11.0</v>
      </c>
      <c r="D3935" s="1">
        <v>25.0</v>
      </c>
      <c r="F3935" s="1" t="str">
        <f>LOOKUP(A3935, NPCs!A:A, NPCs!C:C)</f>
        <v>Ancient Prisoner</v>
      </c>
      <c r="G3935" s="1" t="str">
        <f>LOOKUP(B3935, Maps!A:A, Maps!B:B)</f>
        <v>The Ancients Dungeon</v>
      </c>
    </row>
    <row r="3936" ht="15.75" customHeight="1">
      <c r="A3936" s="1">
        <v>175.0</v>
      </c>
      <c r="B3936" s="1">
        <v>40.0</v>
      </c>
      <c r="C3936" s="1">
        <v>11.0</v>
      </c>
      <c r="D3936" s="1">
        <v>23.0</v>
      </c>
      <c r="F3936" s="1" t="str">
        <f>LOOKUP(A3936, NPCs!A:A, NPCs!C:C)</f>
        <v>Ancient Prisoner</v>
      </c>
      <c r="G3936" s="1" t="str">
        <f>LOOKUP(B3936, Maps!A:A, Maps!B:B)</f>
        <v>The Ancients Dungeon</v>
      </c>
    </row>
    <row r="3937" ht="15.75" customHeight="1">
      <c r="A3937" s="1">
        <v>175.0</v>
      </c>
      <c r="B3937" s="1">
        <v>40.0</v>
      </c>
      <c r="C3937" s="1">
        <v>11.0</v>
      </c>
      <c r="D3937" s="1">
        <v>21.0</v>
      </c>
      <c r="F3937" s="1" t="str">
        <f>LOOKUP(A3937, NPCs!A:A, NPCs!C:C)</f>
        <v>Ancient Prisoner</v>
      </c>
      <c r="G3937" s="1" t="str">
        <f>LOOKUP(B3937, Maps!A:A, Maps!B:B)</f>
        <v>The Ancients Dungeon</v>
      </c>
    </row>
    <row r="3938" ht="15.75" customHeight="1">
      <c r="A3938" s="1">
        <v>175.0</v>
      </c>
      <c r="B3938" s="1">
        <v>40.0</v>
      </c>
      <c r="C3938" s="1">
        <v>6.0</v>
      </c>
      <c r="D3938" s="1">
        <v>20.0</v>
      </c>
      <c r="F3938" s="1" t="str">
        <f>LOOKUP(A3938, NPCs!A:A, NPCs!C:C)</f>
        <v>Ancient Prisoner</v>
      </c>
      <c r="G3938" s="1" t="str">
        <f>LOOKUP(B3938, Maps!A:A, Maps!B:B)</f>
        <v>The Ancients Dungeon</v>
      </c>
    </row>
    <row r="3939" ht="15.75" customHeight="1">
      <c r="A3939" s="1">
        <v>175.0</v>
      </c>
      <c r="B3939" s="1">
        <v>40.0</v>
      </c>
      <c r="C3939" s="1">
        <v>11.0</v>
      </c>
      <c r="D3939" s="1">
        <v>16.0</v>
      </c>
      <c r="F3939" s="1" t="str">
        <f>LOOKUP(A3939, NPCs!A:A, NPCs!C:C)</f>
        <v>Ancient Prisoner</v>
      </c>
      <c r="G3939" s="1" t="str">
        <f>LOOKUP(B3939, Maps!A:A, Maps!B:B)</f>
        <v>The Ancients Dungeon</v>
      </c>
    </row>
    <row r="3940" ht="15.75" customHeight="1">
      <c r="A3940" s="1">
        <v>175.0</v>
      </c>
      <c r="B3940" s="1">
        <v>40.0</v>
      </c>
      <c r="C3940" s="1">
        <v>4.0</v>
      </c>
      <c r="D3940" s="1">
        <v>15.0</v>
      </c>
      <c r="F3940" s="1" t="str">
        <f>LOOKUP(A3940, NPCs!A:A, NPCs!C:C)</f>
        <v>Ancient Prisoner</v>
      </c>
      <c r="G3940" s="1" t="str">
        <f>LOOKUP(B3940, Maps!A:A, Maps!B:B)</f>
        <v>The Ancients Dungeon</v>
      </c>
    </row>
    <row r="3941" ht="15.75" customHeight="1">
      <c r="A3941" s="1">
        <v>175.0</v>
      </c>
      <c r="B3941" s="1">
        <v>40.0</v>
      </c>
      <c r="C3941" s="1">
        <v>3.0</v>
      </c>
      <c r="D3941" s="1">
        <v>10.0</v>
      </c>
      <c r="F3941" s="1" t="str">
        <f>LOOKUP(A3941, NPCs!A:A, NPCs!C:C)</f>
        <v>Ancient Prisoner</v>
      </c>
      <c r="G3941" s="1" t="str">
        <f>LOOKUP(B3941, Maps!A:A, Maps!B:B)</f>
        <v>The Ancients Dungeon</v>
      </c>
    </row>
    <row r="3942" ht="15.75" customHeight="1">
      <c r="A3942" s="1">
        <v>175.0</v>
      </c>
      <c r="B3942" s="1">
        <v>40.0</v>
      </c>
      <c r="C3942" s="1">
        <v>4.0</v>
      </c>
      <c r="D3942" s="1">
        <v>5.0</v>
      </c>
      <c r="F3942" s="1" t="str">
        <f>LOOKUP(A3942, NPCs!A:A, NPCs!C:C)</f>
        <v>Ancient Prisoner</v>
      </c>
      <c r="G3942" s="1" t="str">
        <f>LOOKUP(B3942, Maps!A:A, Maps!B:B)</f>
        <v>The Ancients Dungeon</v>
      </c>
    </row>
    <row r="3943" ht="15.75" customHeight="1">
      <c r="A3943" s="1">
        <v>175.0</v>
      </c>
      <c r="B3943" s="1">
        <v>40.0</v>
      </c>
      <c r="C3943" s="1">
        <v>8.0</v>
      </c>
      <c r="D3943" s="1">
        <v>8.0</v>
      </c>
      <c r="F3943" s="1" t="str">
        <f>LOOKUP(A3943, NPCs!A:A, NPCs!C:C)</f>
        <v>Ancient Prisoner</v>
      </c>
      <c r="G3943" s="1" t="str">
        <f>LOOKUP(B3943, Maps!A:A, Maps!B:B)</f>
        <v>The Ancients Dungeon</v>
      </c>
    </row>
    <row r="3944" ht="15.75" customHeight="1">
      <c r="A3944" s="1">
        <v>175.0</v>
      </c>
      <c r="B3944" s="1">
        <v>40.0</v>
      </c>
      <c r="C3944" s="1">
        <v>14.0</v>
      </c>
      <c r="D3944" s="1">
        <v>5.0</v>
      </c>
      <c r="F3944" s="1" t="str">
        <f>LOOKUP(A3944, NPCs!A:A, NPCs!C:C)</f>
        <v>Ancient Prisoner</v>
      </c>
      <c r="G3944" s="1" t="str">
        <f>LOOKUP(B3944, Maps!A:A, Maps!B:B)</f>
        <v>The Ancients Dungeon</v>
      </c>
    </row>
    <row r="3945" ht="15.75" customHeight="1">
      <c r="A3945" s="1">
        <v>175.0</v>
      </c>
      <c r="B3945" s="1">
        <v>40.0</v>
      </c>
      <c r="C3945" s="1">
        <v>14.0</v>
      </c>
      <c r="D3945" s="1">
        <v>8.0</v>
      </c>
      <c r="F3945" s="1" t="str">
        <f>LOOKUP(A3945, NPCs!A:A, NPCs!C:C)</f>
        <v>Ancient Prisoner</v>
      </c>
      <c r="G3945" s="1" t="str">
        <f>LOOKUP(B3945, Maps!A:A, Maps!B:B)</f>
        <v>The Ancients Dungeon</v>
      </c>
    </row>
    <row r="3946" ht="15.75" customHeight="1">
      <c r="A3946" s="1">
        <v>175.0</v>
      </c>
      <c r="B3946" s="1">
        <v>40.0</v>
      </c>
      <c r="C3946" s="1">
        <v>14.0</v>
      </c>
      <c r="D3946" s="1">
        <v>10.0</v>
      </c>
      <c r="F3946" s="1" t="str">
        <f>LOOKUP(A3946, NPCs!A:A, NPCs!C:C)</f>
        <v>Ancient Prisoner</v>
      </c>
      <c r="G3946" s="1" t="str">
        <f>LOOKUP(B3946, Maps!A:A, Maps!B:B)</f>
        <v>The Ancients Dungeon</v>
      </c>
    </row>
    <row r="3947" ht="15.75" customHeight="1">
      <c r="A3947" s="1">
        <v>175.0</v>
      </c>
      <c r="B3947" s="1">
        <v>40.0</v>
      </c>
      <c r="C3947" s="1">
        <v>16.0</v>
      </c>
      <c r="D3947" s="1">
        <v>12.0</v>
      </c>
      <c r="F3947" s="1" t="str">
        <f>LOOKUP(A3947, NPCs!A:A, NPCs!C:C)</f>
        <v>Ancient Prisoner</v>
      </c>
      <c r="G3947" s="1" t="str">
        <f>LOOKUP(B3947, Maps!A:A, Maps!B:B)</f>
        <v>The Ancients Dungeon</v>
      </c>
    </row>
    <row r="3948" ht="15.75" customHeight="1">
      <c r="A3948" s="1">
        <v>175.0</v>
      </c>
      <c r="B3948" s="1">
        <v>40.0</v>
      </c>
      <c r="C3948" s="1">
        <v>21.0</v>
      </c>
      <c r="D3948" s="1">
        <v>5.0</v>
      </c>
      <c r="F3948" s="1" t="str">
        <f>LOOKUP(A3948, NPCs!A:A, NPCs!C:C)</f>
        <v>Ancient Prisoner</v>
      </c>
      <c r="G3948" s="1" t="str">
        <f>LOOKUP(B3948, Maps!A:A, Maps!B:B)</f>
        <v>The Ancients Dungeon</v>
      </c>
    </row>
    <row r="3949" ht="15.75" customHeight="1">
      <c r="A3949" s="1">
        <v>175.0</v>
      </c>
      <c r="B3949" s="1">
        <v>40.0</v>
      </c>
      <c r="C3949" s="1">
        <v>21.0</v>
      </c>
      <c r="D3949" s="1">
        <v>8.0</v>
      </c>
      <c r="F3949" s="1" t="str">
        <f>LOOKUP(A3949, NPCs!A:A, NPCs!C:C)</f>
        <v>Ancient Prisoner</v>
      </c>
      <c r="G3949" s="1" t="str">
        <f>LOOKUP(B3949, Maps!A:A, Maps!B:B)</f>
        <v>The Ancients Dungeon</v>
      </c>
    </row>
    <row r="3950" ht="15.75" customHeight="1">
      <c r="A3950" s="1">
        <v>175.0</v>
      </c>
      <c r="B3950" s="1">
        <v>40.0</v>
      </c>
      <c r="C3950" s="1">
        <v>21.0</v>
      </c>
      <c r="D3950" s="1">
        <v>12.0</v>
      </c>
      <c r="F3950" s="1" t="str">
        <f>LOOKUP(A3950, NPCs!A:A, NPCs!C:C)</f>
        <v>Ancient Prisoner</v>
      </c>
      <c r="G3950" s="1" t="str">
        <f>LOOKUP(B3950, Maps!A:A, Maps!B:B)</f>
        <v>The Ancients Dungeon</v>
      </c>
    </row>
    <row r="3951" ht="15.75" customHeight="1">
      <c r="A3951" s="1">
        <v>175.0</v>
      </c>
      <c r="B3951" s="1">
        <v>40.0</v>
      </c>
      <c r="C3951" s="1">
        <v>28.0</v>
      </c>
      <c r="D3951" s="1">
        <v>9.0</v>
      </c>
      <c r="F3951" s="1" t="str">
        <f>LOOKUP(A3951, NPCs!A:A, NPCs!C:C)</f>
        <v>Ancient Prisoner</v>
      </c>
      <c r="G3951" s="1" t="str">
        <f>LOOKUP(B3951, Maps!A:A, Maps!B:B)</f>
        <v>The Ancients Dungeon</v>
      </c>
    </row>
    <row r="3952" ht="15.75" customHeight="1">
      <c r="A3952" s="1">
        <v>175.0</v>
      </c>
      <c r="B3952" s="1">
        <v>40.0</v>
      </c>
      <c r="C3952" s="1">
        <v>30.0</v>
      </c>
      <c r="D3952" s="1">
        <v>6.0</v>
      </c>
      <c r="F3952" s="1" t="str">
        <f>LOOKUP(A3952, NPCs!A:A, NPCs!C:C)</f>
        <v>Ancient Prisoner</v>
      </c>
      <c r="G3952" s="1" t="str">
        <f>LOOKUP(B3952, Maps!A:A, Maps!B:B)</f>
        <v>The Ancients Dungeon</v>
      </c>
    </row>
    <row r="3953" ht="15.75" customHeight="1">
      <c r="A3953" s="1">
        <v>175.0</v>
      </c>
      <c r="B3953" s="1">
        <v>40.0</v>
      </c>
      <c r="C3953" s="1">
        <v>26.0</v>
      </c>
      <c r="D3953" s="1">
        <v>12.0</v>
      </c>
      <c r="F3953" s="1" t="str">
        <f>LOOKUP(A3953, NPCs!A:A, NPCs!C:C)</f>
        <v>Ancient Prisoner</v>
      </c>
      <c r="G3953" s="1" t="str">
        <f>LOOKUP(B3953, Maps!A:A, Maps!B:B)</f>
        <v>The Ancients Dungeon</v>
      </c>
    </row>
    <row r="3954" ht="15.75" customHeight="1">
      <c r="A3954" s="1">
        <v>176.0</v>
      </c>
      <c r="B3954" s="1">
        <v>40.0</v>
      </c>
      <c r="C3954" s="1">
        <v>74.0</v>
      </c>
      <c r="D3954" s="1">
        <v>95.0</v>
      </c>
      <c r="F3954" s="1" t="str">
        <f>LOOKUP(A3954, NPCs!A:A, NPCs!C:C)</f>
        <v>Ancient Prison Superior</v>
      </c>
      <c r="G3954" s="1" t="str">
        <f>LOOKUP(B3954, Maps!A:A, Maps!B:B)</f>
        <v>The Ancients Dungeon</v>
      </c>
    </row>
    <row r="3955" ht="15.75" customHeight="1">
      <c r="A3955" s="1">
        <v>176.0</v>
      </c>
      <c r="B3955" s="1">
        <v>40.0</v>
      </c>
      <c r="C3955" s="1">
        <v>62.0</v>
      </c>
      <c r="D3955" s="1">
        <v>76.0</v>
      </c>
      <c r="F3955" s="1" t="str">
        <f>LOOKUP(A3955, NPCs!A:A, NPCs!C:C)</f>
        <v>Ancient Prison Superior</v>
      </c>
      <c r="G3955" s="1" t="str">
        <f>LOOKUP(B3955, Maps!A:A, Maps!B:B)</f>
        <v>The Ancients Dungeon</v>
      </c>
    </row>
    <row r="3956" ht="15.75" customHeight="1">
      <c r="A3956" s="1">
        <v>176.0</v>
      </c>
      <c r="B3956" s="1">
        <v>40.0</v>
      </c>
      <c r="C3956" s="1">
        <v>41.0</v>
      </c>
      <c r="D3956" s="1">
        <v>76.0</v>
      </c>
      <c r="F3956" s="1" t="str">
        <f>LOOKUP(A3956, NPCs!A:A, NPCs!C:C)</f>
        <v>Ancient Prison Superior</v>
      </c>
      <c r="G3956" s="1" t="str">
        <f>LOOKUP(B3956, Maps!A:A, Maps!B:B)</f>
        <v>The Ancients Dungeon</v>
      </c>
    </row>
    <row r="3957" ht="15.75" customHeight="1">
      <c r="A3957" s="1">
        <v>176.0</v>
      </c>
      <c r="B3957" s="1">
        <v>40.0</v>
      </c>
      <c r="C3957" s="1">
        <v>27.0</v>
      </c>
      <c r="D3957" s="1">
        <v>59.0</v>
      </c>
      <c r="F3957" s="1" t="str">
        <f>LOOKUP(A3957, NPCs!A:A, NPCs!C:C)</f>
        <v>Ancient Prison Superior</v>
      </c>
      <c r="G3957" s="1" t="str">
        <f>LOOKUP(B3957, Maps!A:A, Maps!B:B)</f>
        <v>The Ancients Dungeon</v>
      </c>
    </row>
    <row r="3958" ht="15.75" customHeight="1">
      <c r="A3958" s="1">
        <v>176.0</v>
      </c>
      <c r="B3958" s="1">
        <v>40.0</v>
      </c>
      <c r="C3958" s="1">
        <v>74.0</v>
      </c>
      <c r="D3958" s="1">
        <v>59.0</v>
      </c>
      <c r="F3958" s="1" t="str">
        <f>LOOKUP(A3958, NPCs!A:A, NPCs!C:C)</f>
        <v>Ancient Prison Superior</v>
      </c>
      <c r="G3958" s="1" t="str">
        <f>LOOKUP(B3958, Maps!A:A, Maps!B:B)</f>
        <v>The Ancients Dungeon</v>
      </c>
    </row>
    <row r="3959" ht="15.75" customHeight="1">
      <c r="A3959" s="1">
        <v>176.0</v>
      </c>
      <c r="B3959" s="1">
        <v>40.0</v>
      </c>
      <c r="C3959" s="1">
        <v>50.0</v>
      </c>
      <c r="D3959" s="1">
        <v>5.0</v>
      </c>
      <c r="F3959" s="1" t="str">
        <f>LOOKUP(A3959, NPCs!A:A, NPCs!C:C)</f>
        <v>Ancient Prison Superior</v>
      </c>
      <c r="G3959" s="1" t="str">
        <f>LOOKUP(B3959, Maps!A:A, Maps!B:B)</f>
        <v>The Ancients Dungeon</v>
      </c>
    </row>
    <row r="3960" ht="15.75" customHeight="1">
      <c r="A3960" s="1">
        <v>176.0</v>
      </c>
      <c r="B3960" s="1">
        <v>40.0</v>
      </c>
      <c r="C3960" s="1">
        <v>91.0</v>
      </c>
      <c r="D3960" s="1">
        <v>33.0</v>
      </c>
      <c r="F3960" s="1" t="str">
        <f>LOOKUP(A3960, NPCs!A:A, NPCs!C:C)</f>
        <v>Ancient Prison Superior</v>
      </c>
      <c r="G3960" s="1" t="str">
        <f>LOOKUP(B3960, Maps!A:A, Maps!B:B)</f>
        <v>The Ancients Dungeon</v>
      </c>
    </row>
    <row r="3961" ht="15.75" customHeight="1">
      <c r="A3961" s="1">
        <v>176.0</v>
      </c>
      <c r="B3961" s="1">
        <v>40.0</v>
      </c>
      <c r="C3961" s="1">
        <v>79.0</v>
      </c>
      <c r="D3961" s="1">
        <v>5.0</v>
      </c>
      <c r="F3961" s="1" t="str">
        <f>LOOKUP(A3961, NPCs!A:A, NPCs!C:C)</f>
        <v>Ancient Prison Superior</v>
      </c>
      <c r="G3961" s="1" t="str">
        <f>LOOKUP(B3961, Maps!A:A, Maps!B:B)</f>
        <v>The Ancients Dungeon</v>
      </c>
    </row>
    <row r="3962" ht="15.75" customHeight="1">
      <c r="A3962" s="1">
        <v>176.0</v>
      </c>
      <c r="B3962" s="1">
        <v>40.0</v>
      </c>
      <c r="C3962" s="1">
        <v>4.0</v>
      </c>
      <c r="D3962" s="1">
        <v>39.0</v>
      </c>
      <c r="F3962" s="1" t="str">
        <f>LOOKUP(A3962, NPCs!A:A, NPCs!C:C)</f>
        <v>Ancient Prison Superior</v>
      </c>
      <c r="G3962" s="1" t="str">
        <f>LOOKUP(B3962, Maps!A:A, Maps!B:B)</f>
        <v>The Ancients Dungeon</v>
      </c>
    </row>
    <row r="3963" ht="15.75" customHeight="1">
      <c r="A3963" s="1">
        <v>176.0</v>
      </c>
      <c r="B3963" s="1">
        <v>40.0</v>
      </c>
      <c r="C3963" s="1">
        <v>10.0</v>
      </c>
      <c r="D3963" s="1">
        <v>9.0</v>
      </c>
      <c r="F3963" s="1" t="str">
        <f>LOOKUP(A3963, NPCs!A:A, NPCs!C:C)</f>
        <v>Ancient Prison Superior</v>
      </c>
      <c r="G3963" s="1" t="str">
        <f>LOOKUP(B3963, Maps!A:A, Maps!B:B)</f>
        <v>The Ancients Dungeon</v>
      </c>
    </row>
    <row r="3964" ht="15.75" customHeight="1">
      <c r="A3964" s="1">
        <v>177.0</v>
      </c>
      <c r="B3964" s="1">
        <v>40.0</v>
      </c>
      <c r="C3964" s="1">
        <v>70.0</v>
      </c>
      <c r="D3964" s="1">
        <v>7.0</v>
      </c>
      <c r="F3964" s="1" t="str">
        <f>LOOKUP(A3964, NPCs!A:A, NPCs!C:C)</f>
        <v>Henry</v>
      </c>
      <c r="G3964" s="1" t="str">
        <f>LOOKUP(B3964, Maps!A:A, Maps!B:B)</f>
        <v>The Ancients Dungeon</v>
      </c>
    </row>
    <row r="3965" ht="15.75" customHeight="1">
      <c r="A3965" s="1">
        <v>178.0</v>
      </c>
      <c r="B3965" s="1">
        <v>40.0</v>
      </c>
      <c r="C3965" s="1">
        <v>50.0</v>
      </c>
      <c r="D3965" s="1">
        <v>14.0</v>
      </c>
      <c r="F3965" s="1" t="str">
        <f>LOOKUP(A3965, NPCs!A:A, NPCs!C:C)</f>
        <v>Gordon</v>
      </c>
      <c r="G3965" s="1" t="str">
        <f>LOOKUP(B3965, Maps!A:A, Maps!B:B)</f>
        <v>The Ancients Dungeon</v>
      </c>
    </row>
    <row r="3966" ht="15.75" customHeight="1">
      <c r="A3966" s="1">
        <v>179.0</v>
      </c>
      <c r="B3966" s="1">
        <v>40.0</v>
      </c>
      <c r="C3966" s="1">
        <v>28.0</v>
      </c>
      <c r="D3966" s="1">
        <v>19.0</v>
      </c>
      <c r="F3966" s="1" t="str">
        <f>LOOKUP(A3966, NPCs!A:A, NPCs!C:C)</f>
        <v>Rueben</v>
      </c>
      <c r="G3966" s="1" t="str">
        <f>LOOKUP(B3966, Maps!A:A, Maps!B:B)</f>
        <v>The Ancients Dungeon</v>
      </c>
    </row>
    <row r="3967" ht="15.75" customHeight="1">
      <c r="A3967" s="1">
        <v>166.0</v>
      </c>
      <c r="B3967" s="1">
        <v>38.0</v>
      </c>
      <c r="C3967" s="1">
        <v>94.0</v>
      </c>
      <c r="D3967" s="1">
        <v>21.0</v>
      </c>
      <c r="F3967" s="1" t="str">
        <f>LOOKUP(A3967, NPCs!A:A, NPCs!C:C)</f>
        <v>Pumpkin</v>
      </c>
      <c r="G3967" s="1" t="str">
        <f>LOOKUP(B3967, Maps!A:A, Maps!B:B)</f>
        <v>Pumpkin Grove</v>
      </c>
    </row>
    <row r="3968" ht="15.75" customHeight="1">
      <c r="A3968" s="1">
        <v>166.0</v>
      </c>
      <c r="B3968" s="1">
        <v>38.0</v>
      </c>
      <c r="C3968" s="1">
        <v>93.0</v>
      </c>
      <c r="D3968" s="1">
        <v>22.0</v>
      </c>
      <c r="F3968" s="1" t="str">
        <f>LOOKUP(A3968, NPCs!A:A, NPCs!C:C)</f>
        <v>Pumpkin</v>
      </c>
      <c r="G3968" s="1" t="str">
        <f>LOOKUP(B3968, Maps!A:A, Maps!B:B)</f>
        <v>Pumpkin Grove</v>
      </c>
    </row>
    <row r="3969" ht="15.75" customHeight="1">
      <c r="A3969" s="1">
        <v>166.0</v>
      </c>
      <c r="B3969" s="1">
        <v>38.0</v>
      </c>
      <c r="C3969" s="1">
        <v>93.0</v>
      </c>
      <c r="D3969" s="1">
        <v>23.0</v>
      </c>
      <c r="F3969" s="1" t="str">
        <f>LOOKUP(A3969, NPCs!A:A, NPCs!C:C)</f>
        <v>Pumpkin</v>
      </c>
      <c r="G3969" s="1" t="str">
        <f>LOOKUP(B3969, Maps!A:A, Maps!B:B)</f>
        <v>Pumpkin Grove</v>
      </c>
    </row>
    <row r="3970" ht="15.75" customHeight="1">
      <c r="A3970" s="1">
        <v>166.0</v>
      </c>
      <c r="B3970" s="1">
        <v>38.0</v>
      </c>
      <c r="C3970" s="1">
        <v>93.0</v>
      </c>
      <c r="D3970" s="1">
        <v>24.0</v>
      </c>
      <c r="F3970" s="1" t="str">
        <f>LOOKUP(A3970, NPCs!A:A, NPCs!C:C)</f>
        <v>Pumpkin</v>
      </c>
      <c r="G3970" s="1" t="str">
        <f>LOOKUP(B3970, Maps!A:A, Maps!B:B)</f>
        <v>Pumpkin Grove</v>
      </c>
    </row>
    <row r="3971" ht="15.75" customHeight="1">
      <c r="A3971" s="1">
        <v>166.0</v>
      </c>
      <c r="B3971" s="1">
        <v>38.0</v>
      </c>
      <c r="C3971" s="1">
        <v>93.0</v>
      </c>
      <c r="D3971" s="1">
        <v>25.0</v>
      </c>
      <c r="F3971" s="1" t="str">
        <f>LOOKUP(A3971, NPCs!A:A, NPCs!C:C)</f>
        <v>Pumpkin</v>
      </c>
      <c r="G3971" s="1" t="str">
        <f>LOOKUP(B3971, Maps!A:A, Maps!B:B)</f>
        <v>Pumpkin Grove</v>
      </c>
    </row>
    <row r="3972" ht="15.75" customHeight="1">
      <c r="A3972" s="1">
        <v>166.0</v>
      </c>
      <c r="B3972" s="1">
        <v>38.0</v>
      </c>
      <c r="C3972" s="1">
        <v>93.0</v>
      </c>
      <c r="D3972" s="1">
        <v>26.0</v>
      </c>
      <c r="F3972" s="1" t="str">
        <f>LOOKUP(A3972, NPCs!A:A, NPCs!C:C)</f>
        <v>Pumpkin</v>
      </c>
      <c r="G3972" s="1" t="str">
        <f>LOOKUP(B3972, Maps!A:A, Maps!B:B)</f>
        <v>Pumpkin Grove</v>
      </c>
    </row>
    <row r="3973" ht="15.75" customHeight="1">
      <c r="A3973" s="1">
        <v>166.0</v>
      </c>
      <c r="B3973" s="1">
        <v>38.0</v>
      </c>
      <c r="C3973" s="1">
        <v>93.0</v>
      </c>
      <c r="D3973" s="1">
        <v>27.0</v>
      </c>
      <c r="F3973" s="1" t="str">
        <f>LOOKUP(A3973, NPCs!A:A, NPCs!C:C)</f>
        <v>Pumpkin</v>
      </c>
      <c r="G3973" s="1" t="str">
        <f>LOOKUP(B3973, Maps!A:A, Maps!B:B)</f>
        <v>Pumpkin Grove</v>
      </c>
    </row>
    <row r="3974" ht="15.75" customHeight="1">
      <c r="A3974" s="1">
        <v>166.0</v>
      </c>
      <c r="B3974" s="1">
        <v>38.0</v>
      </c>
      <c r="C3974" s="1">
        <v>93.0</v>
      </c>
      <c r="D3974" s="1">
        <v>28.0</v>
      </c>
      <c r="F3974" s="1" t="str">
        <f>LOOKUP(A3974, NPCs!A:A, NPCs!C:C)</f>
        <v>Pumpkin</v>
      </c>
      <c r="G3974" s="1" t="str">
        <f>LOOKUP(B3974, Maps!A:A, Maps!B:B)</f>
        <v>Pumpkin Grove</v>
      </c>
    </row>
    <row r="3975" ht="15.75" customHeight="1">
      <c r="A3975" s="1">
        <v>166.0</v>
      </c>
      <c r="B3975" s="1">
        <v>38.0</v>
      </c>
      <c r="C3975" s="1">
        <v>94.0</v>
      </c>
      <c r="D3975" s="1">
        <v>29.0</v>
      </c>
      <c r="F3975" s="1" t="str">
        <f>LOOKUP(A3975, NPCs!A:A, NPCs!C:C)</f>
        <v>Pumpkin</v>
      </c>
      <c r="G3975" s="1" t="str">
        <f>LOOKUP(B3975, Maps!A:A, Maps!B:B)</f>
        <v>Pumpkin Grove</v>
      </c>
    </row>
    <row r="3976" ht="15.75" customHeight="1">
      <c r="A3976" s="1">
        <v>166.0</v>
      </c>
      <c r="B3976" s="1">
        <v>38.0</v>
      </c>
      <c r="C3976" s="1">
        <v>95.0</v>
      </c>
      <c r="D3976" s="1">
        <v>30.0</v>
      </c>
      <c r="F3976" s="1" t="str">
        <f>LOOKUP(A3976, NPCs!A:A, NPCs!C:C)</f>
        <v>Pumpkin</v>
      </c>
      <c r="G3976" s="1" t="str">
        <f>LOOKUP(B3976, Maps!A:A, Maps!B:B)</f>
        <v>Pumpkin Grove</v>
      </c>
    </row>
    <row r="3977" ht="15.75" customHeight="1">
      <c r="A3977" s="1">
        <v>166.0</v>
      </c>
      <c r="B3977" s="1">
        <v>38.0</v>
      </c>
      <c r="C3977" s="1">
        <v>96.0</v>
      </c>
      <c r="D3977" s="1">
        <v>31.0</v>
      </c>
      <c r="F3977" s="1" t="str">
        <f>LOOKUP(A3977, NPCs!A:A, NPCs!C:C)</f>
        <v>Pumpkin</v>
      </c>
      <c r="G3977" s="1" t="str">
        <f>LOOKUP(B3977, Maps!A:A, Maps!B:B)</f>
        <v>Pumpkin Grove</v>
      </c>
    </row>
    <row r="3978" ht="15.75" customHeight="1">
      <c r="A3978" s="1">
        <v>166.0</v>
      </c>
      <c r="B3978" s="1">
        <v>38.0</v>
      </c>
      <c r="C3978" s="1">
        <v>97.0</v>
      </c>
      <c r="D3978" s="1">
        <v>31.0</v>
      </c>
      <c r="F3978" s="1" t="str">
        <f>LOOKUP(A3978, NPCs!A:A, NPCs!C:C)</f>
        <v>Pumpkin</v>
      </c>
      <c r="G3978" s="1" t="str">
        <f>LOOKUP(B3978, Maps!A:A, Maps!B:B)</f>
        <v>Pumpkin Grove</v>
      </c>
    </row>
    <row r="3979" ht="15.75" customHeight="1">
      <c r="A3979" s="1">
        <v>166.0</v>
      </c>
      <c r="B3979" s="1">
        <v>38.0</v>
      </c>
      <c r="C3979" s="1">
        <v>98.0</v>
      </c>
      <c r="D3979" s="1">
        <v>30.0</v>
      </c>
      <c r="F3979" s="1" t="str">
        <f>LOOKUP(A3979, NPCs!A:A, NPCs!C:C)</f>
        <v>Pumpkin</v>
      </c>
      <c r="G3979" s="1" t="str">
        <f>LOOKUP(B3979, Maps!A:A, Maps!B:B)</f>
        <v>Pumpkin Grove</v>
      </c>
    </row>
    <row r="3980" ht="15.75" customHeight="1">
      <c r="A3980" s="1">
        <v>166.0</v>
      </c>
      <c r="B3980" s="1">
        <v>38.0</v>
      </c>
      <c r="C3980" s="1">
        <v>99.0</v>
      </c>
      <c r="D3980" s="1">
        <v>35.0</v>
      </c>
      <c r="F3980" s="1" t="str">
        <f>LOOKUP(A3980, NPCs!A:A, NPCs!C:C)</f>
        <v>Pumpkin</v>
      </c>
      <c r="G3980" s="1" t="str">
        <f>LOOKUP(B3980, Maps!A:A, Maps!B:B)</f>
        <v>Pumpkin Grove</v>
      </c>
    </row>
    <row r="3981" ht="15.75" customHeight="1">
      <c r="A3981" s="1">
        <v>166.0</v>
      </c>
      <c r="B3981" s="1">
        <v>38.0</v>
      </c>
      <c r="C3981" s="1">
        <v>98.0</v>
      </c>
      <c r="D3981" s="1">
        <v>35.0</v>
      </c>
      <c r="F3981" s="1" t="str">
        <f>LOOKUP(A3981, NPCs!A:A, NPCs!C:C)</f>
        <v>Pumpkin</v>
      </c>
      <c r="G3981" s="1" t="str">
        <f>LOOKUP(B3981, Maps!A:A, Maps!B:B)</f>
        <v>Pumpkin Grove</v>
      </c>
    </row>
    <row r="3982" ht="15.75" customHeight="1">
      <c r="A3982" s="1">
        <v>166.0</v>
      </c>
      <c r="B3982" s="1">
        <v>38.0</v>
      </c>
      <c r="C3982" s="1">
        <v>97.0</v>
      </c>
      <c r="D3982" s="1">
        <v>35.0</v>
      </c>
      <c r="F3982" s="1" t="str">
        <f>LOOKUP(A3982, NPCs!A:A, NPCs!C:C)</f>
        <v>Pumpkin</v>
      </c>
      <c r="G3982" s="1" t="str">
        <f>LOOKUP(B3982, Maps!A:A, Maps!B:B)</f>
        <v>Pumpkin Grove</v>
      </c>
    </row>
    <row r="3983" ht="15.75" customHeight="1">
      <c r="A3983" s="1">
        <v>166.0</v>
      </c>
      <c r="B3983" s="1">
        <v>38.0</v>
      </c>
      <c r="C3983" s="1">
        <v>96.0</v>
      </c>
      <c r="D3983" s="1">
        <v>35.0</v>
      </c>
      <c r="F3983" s="1" t="str">
        <f>LOOKUP(A3983, NPCs!A:A, NPCs!C:C)</f>
        <v>Pumpkin</v>
      </c>
      <c r="G3983" s="1" t="str">
        <f>LOOKUP(B3983, Maps!A:A, Maps!B:B)</f>
        <v>Pumpkin Grove</v>
      </c>
    </row>
    <row r="3984" ht="15.75" customHeight="1">
      <c r="A3984" s="1">
        <v>166.0</v>
      </c>
      <c r="B3984" s="1">
        <v>38.0</v>
      </c>
      <c r="C3984" s="1">
        <v>94.0</v>
      </c>
      <c r="D3984" s="1">
        <v>35.0</v>
      </c>
      <c r="F3984" s="1" t="str">
        <f>LOOKUP(A3984, NPCs!A:A, NPCs!C:C)</f>
        <v>Pumpkin</v>
      </c>
      <c r="G3984" s="1" t="str">
        <f>LOOKUP(B3984, Maps!A:A, Maps!B:B)</f>
        <v>Pumpkin Grove</v>
      </c>
    </row>
    <row r="3985" ht="15.75" customHeight="1">
      <c r="A3985" s="1">
        <v>166.0</v>
      </c>
      <c r="B3985" s="1">
        <v>38.0</v>
      </c>
      <c r="C3985" s="1">
        <v>93.0</v>
      </c>
      <c r="D3985" s="1">
        <v>34.0</v>
      </c>
      <c r="F3985" s="1" t="str">
        <f>LOOKUP(A3985, NPCs!A:A, NPCs!C:C)</f>
        <v>Pumpkin</v>
      </c>
      <c r="G3985" s="1" t="str">
        <f>LOOKUP(B3985, Maps!A:A, Maps!B:B)</f>
        <v>Pumpkin Grove</v>
      </c>
    </row>
    <row r="3986" ht="15.75" customHeight="1">
      <c r="A3986" s="1">
        <v>166.0</v>
      </c>
      <c r="B3986" s="1">
        <v>38.0</v>
      </c>
      <c r="C3986" s="1">
        <v>92.0</v>
      </c>
      <c r="D3986" s="1">
        <v>33.0</v>
      </c>
      <c r="F3986" s="1" t="str">
        <f>LOOKUP(A3986, NPCs!A:A, NPCs!C:C)</f>
        <v>Pumpkin</v>
      </c>
      <c r="G3986" s="1" t="str">
        <f>LOOKUP(B3986, Maps!A:A, Maps!B:B)</f>
        <v>Pumpkin Grove</v>
      </c>
    </row>
    <row r="3987" ht="15.75" customHeight="1">
      <c r="A3987" s="1">
        <v>166.0</v>
      </c>
      <c r="B3987" s="1">
        <v>38.0</v>
      </c>
      <c r="C3987" s="1">
        <v>97.0</v>
      </c>
      <c r="D3987" s="1">
        <v>39.0</v>
      </c>
      <c r="F3987" s="1" t="str">
        <f>LOOKUP(A3987, NPCs!A:A, NPCs!C:C)</f>
        <v>Pumpkin</v>
      </c>
      <c r="G3987" s="1" t="str">
        <f>LOOKUP(B3987, Maps!A:A, Maps!B:B)</f>
        <v>Pumpkin Grove</v>
      </c>
    </row>
    <row r="3988" ht="15.75" customHeight="1">
      <c r="A3988" s="1">
        <v>166.0</v>
      </c>
      <c r="B3988" s="1">
        <v>38.0</v>
      </c>
      <c r="C3988" s="1">
        <v>95.0</v>
      </c>
      <c r="D3988" s="1">
        <v>40.0</v>
      </c>
      <c r="F3988" s="1" t="str">
        <f>LOOKUP(A3988, NPCs!A:A, NPCs!C:C)</f>
        <v>Pumpkin</v>
      </c>
      <c r="G3988" s="1" t="str">
        <f>LOOKUP(B3988, Maps!A:A, Maps!B:B)</f>
        <v>Pumpkin Grove</v>
      </c>
    </row>
    <row r="3989" ht="15.75" customHeight="1">
      <c r="A3989" s="1">
        <v>166.0</v>
      </c>
      <c r="B3989" s="1">
        <v>38.0</v>
      </c>
      <c r="C3989" s="1">
        <v>93.0</v>
      </c>
      <c r="D3989" s="1">
        <v>39.0</v>
      </c>
      <c r="F3989" s="1" t="str">
        <f>LOOKUP(A3989, NPCs!A:A, NPCs!C:C)</f>
        <v>Pumpkin</v>
      </c>
      <c r="G3989" s="1" t="str">
        <f>LOOKUP(B3989, Maps!A:A, Maps!B:B)</f>
        <v>Pumpkin Grove</v>
      </c>
    </row>
    <row r="3990" ht="15.75" customHeight="1">
      <c r="A3990" s="1">
        <v>166.0</v>
      </c>
      <c r="B3990" s="1">
        <v>38.0</v>
      </c>
      <c r="C3990" s="1">
        <v>91.0</v>
      </c>
      <c r="D3990" s="1">
        <v>41.0</v>
      </c>
      <c r="F3990" s="1" t="str">
        <f>LOOKUP(A3990, NPCs!A:A, NPCs!C:C)</f>
        <v>Pumpkin</v>
      </c>
      <c r="G3990" s="1" t="str">
        <f>LOOKUP(B3990, Maps!A:A, Maps!B:B)</f>
        <v>Pumpkin Grove</v>
      </c>
    </row>
    <row r="3991" ht="15.75" customHeight="1">
      <c r="A3991" s="1">
        <v>166.0</v>
      </c>
      <c r="B3991" s="1">
        <v>38.0</v>
      </c>
      <c r="C3991" s="1">
        <v>90.0</v>
      </c>
      <c r="D3991" s="1">
        <v>36.0</v>
      </c>
      <c r="F3991" s="1" t="str">
        <f>LOOKUP(A3991, NPCs!A:A, NPCs!C:C)</f>
        <v>Pumpkin</v>
      </c>
      <c r="G3991" s="1" t="str">
        <f>LOOKUP(B3991, Maps!A:A, Maps!B:B)</f>
        <v>Pumpkin Grove</v>
      </c>
    </row>
    <row r="3992" ht="15.75" customHeight="1">
      <c r="A3992" s="1">
        <v>166.0</v>
      </c>
      <c r="B3992" s="1">
        <v>38.0</v>
      </c>
      <c r="C3992" s="1">
        <v>89.0</v>
      </c>
      <c r="D3992" s="1">
        <v>21.0</v>
      </c>
      <c r="F3992" s="1" t="str">
        <f>LOOKUP(A3992, NPCs!A:A, NPCs!C:C)</f>
        <v>Pumpkin</v>
      </c>
      <c r="G3992" s="1" t="str">
        <f>LOOKUP(B3992, Maps!A:A, Maps!B:B)</f>
        <v>Pumpkin Grove</v>
      </c>
    </row>
    <row r="3993" ht="15.75" customHeight="1">
      <c r="A3993" s="1">
        <v>166.0</v>
      </c>
      <c r="B3993" s="1">
        <v>38.0</v>
      </c>
      <c r="C3993" s="1">
        <v>88.0</v>
      </c>
      <c r="D3993" s="1">
        <v>23.0</v>
      </c>
      <c r="F3993" s="1" t="str">
        <f>LOOKUP(A3993, NPCs!A:A, NPCs!C:C)</f>
        <v>Pumpkin</v>
      </c>
      <c r="G3993" s="1" t="str">
        <f>LOOKUP(B3993, Maps!A:A, Maps!B:B)</f>
        <v>Pumpkin Grove</v>
      </c>
    </row>
    <row r="3994" ht="15.75" customHeight="1">
      <c r="A3994" s="1">
        <v>166.0</v>
      </c>
      <c r="B3994" s="1">
        <v>38.0</v>
      </c>
      <c r="C3994" s="1">
        <v>88.0</v>
      </c>
      <c r="D3994" s="1">
        <v>25.0</v>
      </c>
      <c r="F3994" s="1" t="str">
        <f>LOOKUP(A3994, NPCs!A:A, NPCs!C:C)</f>
        <v>Pumpkin</v>
      </c>
      <c r="G3994" s="1" t="str">
        <f>LOOKUP(B3994, Maps!A:A, Maps!B:B)</f>
        <v>Pumpkin Grove</v>
      </c>
    </row>
    <row r="3995" ht="15.75" customHeight="1">
      <c r="A3995" s="1">
        <v>166.0</v>
      </c>
      <c r="B3995" s="1">
        <v>38.0</v>
      </c>
      <c r="C3995" s="1">
        <v>88.0</v>
      </c>
      <c r="D3995" s="1">
        <v>27.0</v>
      </c>
      <c r="F3995" s="1" t="str">
        <f>LOOKUP(A3995, NPCs!A:A, NPCs!C:C)</f>
        <v>Pumpkin</v>
      </c>
      <c r="G3995" s="1" t="str">
        <f>LOOKUP(B3995, Maps!A:A, Maps!B:B)</f>
        <v>Pumpkin Grove</v>
      </c>
    </row>
    <row r="3996" ht="15.75" customHeight="1">
      <c r="A3996" s="1">
        <v>166.0</v>
      </c>
      <c r="B3996" s="1">
        <v>38.0</v>
      </c>
      <c r="C3996" s="1">
        <v>88.0</v>
      </c>
      <c r="D3996" s="1">
        <v>29.0</v>
      </c>
      <c r="F3996" s="1" t="str">
        <f>LOOKUP(A3996, NPCs!A:A, NPCs!C:C)</f>
        <v>Pumpkin</v>
      </c>
      <c r="G3996" s="1" t="str">
        <f>LOOKUP(B3996, Maps!A:A, Maps!B:B)</f>
        <v>Pumpkin Grove</v>
      </c>
    </row>
    <row r="3997" ht="15.75" customHeight="1">
      <c r="A3997" s="1">
        <v>166.0</v>
      </c>
      <c r="B3997" s="1">
        <v>38.0</v>
      </c>
      <c r="C3997" s="1">
        <v>83.0</v>
      </c>
      <c r="D3997" s="1">
        <v>16.0</v>
      </c>
      <c r="F3997" s="1" t="str">
        <f>LOOKUP(A3997, NPCs!A:A, NPCs!C:C)</f>
        <v>Pumpkin</v>
      </c>
      <c r="G3997" s="1" t="str">
        <f>LOOKUP(B3997, Maps!A:A, Maps!B:B)</f>
        <v>Pumpkin Grove</v>
      </c>
    </row>
    <row r="3998" ht="15.75" customHeight="1">
      <c r="A3998" s="1">
        <v>166.0</v>
      </c>
      <c r="B3998" s="1">
        <v>38.0</v>
      </c>
      <c r="C3998" s="1">
        <v>81.0</v>
      </c>
      <c r="D3998" s="1">
        <v>17.0</v>
      </c>
      <c r="F3998" s="1" t="str">
        <f>LOOKUP(A3998, NPCs!A:A, NPCs!C:C)</f>
        <v>Pumpkin</v>
      </c>
      <c r="G3998" s="1" t="str">
        <f>LOOKUP(B3998, Maps!A:A, Maps!B:B)</f>
        <v>Pumpkin Grove</v>
      </c>
    </row>
    <row r="3999" ht="15.75" customHeight="1">
      <c r="A3999" s="1">
        <v>166.0</v>
      </c>
      <c r="B3999" s="1">
        <v>38.0</v>
      </c>
      <c r="C3999" s="1">
        <v>80.0</v>
      </c>
      <c r="D3999" s="1">
        <v>20.0</v>
      </c>
      <c r="F3999" s="1" t="str">
        <f>LOOKUP(A3999, NPCs!A:A, NPCs!C:C)</f>
        <v>Pumpkin</v>
      </c>
      <c r="G3999" s="1" t="str">
        <f>LOOKUP(B3999, Maps!A:A, Maps!B:B)</f>
        <v>Pumpkin Grove</v>
      </c>
    </row>
    <row r="4000" ht="15.75" customHeight="1">
      <c r="A4000" s="1">
        <v>166.0</v>
      </c>
      <c r="B4000" s="1">
        <v>38.0</v>
      </c>
      <c r="C4000" s="1">
        <v>81.0</v>
      </c>
      <c r="D4000" s="1">
        <v>22.0</v>
      </c>
      <c r="F4000" s="1" t="str">
        <f>LOOKUP(A4000, NPCs!A:A, NPCs!C:C)</f>
        <v>Pumpkin</v>
      </c>
      <c r="G4000" s="1" t="str">
        <f>LOOKUP(B4000, Maps!A:A, Maps!B:B)</f>
        <v>Pumpkin Grove</v>
      </c>
    </row>
    <row r="4001" ht="15.75" customHeight="1">
      <c r="A4001" s="1">
        <v>166.0</v>
      </c>
      <c r="B4001" s="1">
        <v>38.0</v>
      </c>
      <c r="C4001" s="1">
        <v>82.0</v>
      </c>
      <c r="D4001" s="1">
        <v>24.0</v>
      </c>
      <c r="F4001" s="1" t="str">
        <f>LOOKUP(A4001, NPCs!A:A, NPCs!C:C)</f>
        <v>Pumpkin</v>
      </c>
      <c r="G4001" s="1" t="str">
        <f>LOOKUP(B4001, Maps!A:A, Maps!B:B)</f>
        <v>Pumpkin Grove</v>
      </c>
    </row>
    <row r="4002" ht="15.75" customHeight="1">
      <c r="A4002" s="1">
        <v>166.0</v>
      </c>
      <c r="B4002" s="1">
        <v>38.0</v>
      </c>
      <c r="C4002" s="1">
        <v>83.0</v>
      </c>
      <c r="D4002" s="1">
        <v>26.0</v>
      </c>
      <c r="F4002" s="1" t="str">
        <f>LOOKUP(A4002, NPCs!A:A, NPCs!C:C)</f>
        <v>Pumpkin</v>
      </c>
      <c r="G4002" s="1" t="str">
        <f>LOOKUP(B4002, Maps!A:A, Maps!B:B)</f>
        <v>Pumpkin Grove</v>
      </c>
    </row>
    <row r="4003" ht="15.75" customHeight="1">
      <c r="A4003" s="1">
        <v>166.0</v>
      </c>
      <c r="B4003" s="1">
        <v>38.0</v>
      </c>
      <c r="C4003" s="1">
        <v>76.0</v>
      </c>
      <c r="D4003" s="1">
        <v>14.0</v>
      </c>
      <c r="F4003" s="1" t="str">
        <f>LOOKUP(A4003, NPCs!A:A, NPCs!C:C)</f>
        <v>Pumpkin</v>
      </c>
      <c r="G4003" s="1" t="str">
        <f>LOOKUP(B4003, Maps!A:A, Maps!B:B)</f>
        <v>Pumpkin Grove</v>
      </c>
    </row>
    <row r="4004" ht="15.75" customHeight="1">
      <c r="A4004" s="1">
        <v>166.0</v>
      </c>
      <c r="B4004" s="1">
        <v>38.0</v>
      </c>
      <c r="C4004" s="1">
        <v>74.0</v>
      </c>
      <c r="D4004" s="1">
        <v>17.0</v>
      </c>
      <c r="F4004" s="1" t="str">
        <f>LOOKUP(A4004, NPCs!A:A, NPCs!C:C)</f>
        <v>Pumpkin</v>
      </c>
      <c r="G4004" s="1" t="str">
        <f>LOOKUP(B4004, Maps!A:A, Maps!B:B)</f>
        <v>Pumpkin Grove</v>
      </c>
    </row>
    <row r="4005" ht="15.75" customHeight="1">
      <c r="A4005" s="1">
        <v>166.0</v>
      </c>
      <c r="B4005" s="1">
        <v>38.0</v>
      </c>
      <c r="C4005" s="1">
        <v>70.0</v>
      </c>
      <c r="D4005" s="1">
        <v>17.0</v>
      </c>
      <c r="F4005" s="1" t="str">
        <f>LOOKUP(A4005, NPCs!A:A, NPCs!C:C)</f>
        <v>Pumpkin</v>
      </c>
      <c r="G4005" s="1" t="str">
        <f>LOOKUP(B4005, Maps!A:A, Maps!B:B)</f>
        <v>Pumpkin Grove</v>
      </c>
    </row>
    <row r="4006" ht="15.75" customHeight="1">
      <c r="A4006" s="1">
        <v>166.0</v>
      </c>
      <c r="B4006" s="1">
        <v>38.0</v>
      </c>
      <c r="C4006" s="1">
        <v>67.0</v>
      </c>
      <c r="D4006" s="1">
        <v>17.0</v>
      </c>
      <c r="F4006" s="1" t="str">
        <f>LOOKUP(A4006, NPCs!A:A, NPCs!C:C)</f>
        <v>Pumpkin</v>
      </c>
      <c r="G4006" s="1" t="str">
        <f>LOOKUP(B4006, Maps!A:A, Maps!B:B)</f>
        <v>Pumpkin Grove</v>
      </c>
    </row>
    <row r="4007" ht="15.75" customHeight="1">
      <c r="A4007" s="1">
        <v>166.0</v>
      </c>
      <c r="B4007" s="1">
        <v>38.0</v>
      </c>
      <c r="C4007" s="1">
        <v>68.0</v>
      </c>
      <c r="D4007" s="1">
        <v>20.0</v>
      </c>
      <c r="F4007" s="1" t="str">
        <f>LOOKUP(A4007, NPCs!A:A, NPCs!C:C)</f>
        <v>Pumpkin</v>
      </c>
      <c r="G4007" s="1" t="str">
        <f>LOOKUP(B4007, Maps!A:A, Maps!B:B)</f>
        <v>Pumpkin Grove</v>
      </c>
    </row>
    <row r="4008" ht="15.75" customHeight="1">
      <c r="A4008" s="1">
        <v>166.0</v>
      </c>
      <c r="B4008" s="1">
        <v>38.0</v>
      </c>
      <c r="C4008" s="1">
        <v>72.0</v>
      </c>
      <c r="D4008" s="1">
        <v>21.0</v>
      </c>
      <c r="F4008" s="1" t="str">
        <f>LOOKUP(A4008, NPCs!A:A, NPCs!C:C)</f>
        <v>Pumpkin</v>
      </c>
      <c r="G4008" s="1" t="str">
        <f>LOOKUP(B4008, Maps!A:A, Maps!B:B)</f>
        <v>Pumpkin Grove</v>
      </c>
    </row>
    <row r="4009" ht="15.75" customHeight="1">
      <c r="A4009" s="1">
        <v>166.0</v>
      </c>
      <c r="B4009" s="1">
        <v>38.0</v>
      </c>
      <c r="C4009" s="1">
        <v>72.0</v>
      </c>
      <c r="D4009" s="1">
        <v>24.0</v>
      </c>
      <c r="F4009" s="1" t="str">
        <f>LOOKUP(A4009, NPCs!A:A, NPCs!C:C)</f>
        <v>Pumpkin</v>
      </c>
      <c r="G4009" s="1" t="str">
        <f>LOOKUP(B4009, Maps!A:A, Maps!B:B)</f>
        <v>Pumpkin Grove</v>
      </c>
    </row>
    <row r="4010" ht="15.75" customHeight="1">
      <c r="A4010" s="1">
        <v>166.0</v>
      </c>
      <c r="B4010" s="1">
        <v>38.0</v>
      </c>
      <c r="C4010" s="1">
        <v>69.0</v>
      </c>
      <c r="D4010" s="1">
        <v>31.0</v>
      </c>
      <c r="F4010" s="1" t="str">
        <f>LOOKUP(A4010, NPCs!A:A, NPCs!C:C)</f>
        <v>Pumpkin</v>
      </c>
      <c r="G4010" s="1" t="str">
        <f>LOOKUP(B4010, Maps!A:A, Maps!B:B)</f>
        <v>Pumpkin Grove</v>
      </c>
    </row>
    <row r="4011" ht="15.75" customHeight="1">
      <c r="A4011" s="1">
        <v>166.0</v>
      </c>
      <c r="B4011" s="1">
        <v>38.0</v>
      </c>
      <c r="C4011" s="1">
        <v>72.0</v>
      </c>
      <c r="D4011" s="1">
        <v>31.0</v>
      </c>
      <c r="F4011" s="1" t="str">
        <f>LOOKUP(A4011, NPCs!A:A, NPCs!C:C)</f>
        <v>Pumpkin</v>
      </c>
      <c r="G4011" s="1" t="str">
        <f>LOOKUP(B4011, Maps!A:A, Maps!B:B)</f>
        <v>Pumpkin Grove</v>
      </c>
    </row>
    <row r="4012" ht="15.75" customHeight="1">
      <c r="A4012" s="1">
        <v>166.0</v>
      </c>
      <c r="B4012" s="1">
        <v>38.0</v>
      </c>
      <c r="C4012" s="1">
        <v>76.0</v>
      </c>
      <c r="D4012" s="1">
        <v>31.0</v>
      </c>
      <c r="F4012" s="1" t="str">
        <f>LOOKUP(A4012, NPCs!A:A, NPCs!C:C)</f>
        <v>Pumpkin</v>
      </c>
      <c r="G4012" s="1" t="str">
        <f>LOOKUP(B4012, Maps!A:A, Maps!B:B)</f>
        <v>Pumpkin Grove</v>
      </c>
    </row>
    <row r="4013" ht="15.75" customHeight="1">
      <c r="A4013" s="1">
        <v>166.0</v>
      </c>
      <c r="B4013" s="1">
        <v>38.0</v>
      </c>
      <c r="C4013" s="1">
        <v>80.0</v>
      </c>
      <c r="D4013" s="1">
        <v>31.0</v>
      </c>
      <c r="F4013" s="1" t="str">
        <f>LOOKUP(A4013, NPCs!A:A, NPCs!C:C)</f>
        <v>Pumpkin</v>
      </c>
      <c r="G4013" s="1" t="str">
        <f>LOOKUP(B4013, Maps!A:A, Maps!B:B)</f>
        <v>Pumpkin Grove</v>
      </c>
    </row>
    <row r="4014" ht="15.75" customHeight="1">
      <c r="A4014" s="1">
        <v>166.0</v>
      </c>
      <c r="B4014" s="1">
        <v>38.0</v>
      </c>
      <c r="C4014" s="1">
        <v>83.0</v>
      </c>
      <c r="D4014" s="1">
        <v>31.0</v>
      </c>
      <c r="F4014" s="1" t="str">
        <f>LOOKUP(A4014, NPCs!A:A, NPCs!C:C)</f>
        <v>Pumpkin</v>
      </c>
      <c r="G4014" s="1" t="str">
        <f>LOOKUP(B4014, Maps!A:A, Maps!B:B)</f>
        <v>Pumpkin Grove</v>
      </c>
    </row>
    <row r="4015" ht="15.75" customHeight="1">
      <c r="A4015" s="1">
        <v>166.0</v>
      </c>
      <c r="B4015" s="1">
        <v>38.0</v>
      </c>
      <c r="C4015" s="1">
        <v>78.0</v>
      </c>
      <c r="D4015" s="1">
        <v>31.0</v>
      </c>
      <c r="F4015" s="1" t="str">
        <f>LOOKUP(A4015, NPCs!A:A, NPCs!C:C)</f>
        <v>Pumpkin</v>
      </c>
      <c r="G4015" s="1" t="str">
        <f>LOOKUP(B4015, Maps!A:A, Maps!B:B)</f>
        <v>Pumpkin Grove</v>
      </c>
    </row>
    <row r="4016" ht="15.75" customHeight="1">
      <c r="A4016" s="1">
        <v>166.0</v>
      </c>
      <c r="B4016" s="1">
        <v>38.0</v>
      </c>
      <c r="C4016" s="1">
        <v>82.0</v>
      </c>
      <c r="D4016" s="1">
        <v>33.0</v>
      </c>
      <c r="F4016" s="1" t="str">
        <f>LOOKUP(A4016, NPCs!A:A, NPCs!C:C)</f>
        <v>Pumpkin</v>
      </c>
      <c r="G4016" s="1" t="str">
        <f>LOOKUP(B4016, Maps!A:A, Maps!B:B)</f>
        <v>Pumpkin Grove</v>
      </c>
    </row>
    <row r="4017" ht="15.75" customHeight="1">
      <c r="A4017" s="1">
        <v>166.0</v>
      </c>
      <c r="B4017" s="1">
        <v>38.0</v>
      </c>
      <c r="C4017" s="1">
        <v>80.0</v>
      </c>
      <c r="D4017" s="1">
        <v>33.0</v>
      </c>
      <c r="F4017" s="1" t="str">
        <f>LOOKUP(A4017, NPCs!A:A, NPCs!C:C)</f>
        <v>Pumpkin</v>
      </c>
      <c r="G4017" s="1" t="str">
        <f>LOOKUP(B4017, Maps!A:A, Maps!B:B)</f>
        <v>Pumpkin Grove</v>
      </c>
    </row>
    <row r="4018" ht="15.75" customHeight="1">
      <c r="A4018" s="1">
        <v>166.0</v>
      </c>
      <c r="B4018" s="1">
        <v>38.0</v>
      </c>
      <c r="C4018" s="1">
        <v>74.0</v>
      </c>
      <c r="D4018" s="1">
        <v>33.0</v>
      </c>
      <c r="F4018" s="1" t="str">
        <f>LOOKUP(A4018, NPCs!A:A, NPCs!C:C)</f>
        <v>Pumpkin</v>
      </c>
      <c r="G4018" s="1" t="str">
        <f>LOOKUP(B4018, Maps!A:A, Maps!B:B)</f>
        <v>Pumpkin Grove</v>
      </c>
    </row>
    <row r="4019" ht="15.75" customHeight="1">
      <c r="A4019" s="1">
        <v>166.0</v>
      </c>
      <c r="B4019" s="1">
        <v>38.0</v>
      </c>
      <c r="C4019" s="1">
        <v>69.0</v>
      </c>
      <c r="D4019" s="1">
        <v>33.0</v>
      </c>
      <c r="F4019" s="1" t="str">
        <f>LOOKUP(A4019, NPCs!A:A, NPCs!C:C)</f>
        <v>Pumpkin</v>
      </c>
      <c r="G4019" s="1" t="str">
        <f>LOOKUP(B4019, Maps!A:A, Maps!B:B)</f>
        <v>Pumpkin Grove</v>
      </c>
    </row>
    <row r="4020" ht="15.75" customHeight="1">
      <c r="A4020" s="1">
        <v>166.0</v>
      </c>
      <c r="B4020" s="1">
        <v>38.0</v>
      </c>
      <c r="C4020" s="1">
        <v>91.0</v>
      </c>
      <c r="D4020" s="1">
        <v>71.0</v>
      </c>
      <c r="F4020" s="1" t="str">
        <f>LOOKUP(A4020, NPCs!A:A, NPCs!C:C)</f>
        <v>Pumpkin</v>
      </c>
      <c r="G4020" s="1" t="str">
        <f>LOOKUP(B4020, Maps!A:A, Maps!B:B)</f>
        <v>Pumpkin Grove</v>
      </c>
    </row>
    <row r="4021" ht="15.75" customHeight="1">
      <c r="A4021" s="1">
        <v>166.0</v>
      </c>
      <c r="B4021" s="1">
        <v>38.0</v>
      </c>
      <c r="C4021" s="1">
        <v>92.0</v>
      </c>
      <c r="D4021" s="1">
        <v>71.0</v>
      </c>
      <c r="F4021" s="1" t="str">
        <f>LOOKUP(A4021, NPCs!A:A, NPCs!C:C)</f>
        <v>Pumpkin</v>
      </c>
      <c r="G4021" s="1" t="str">
        <f>LOOKUP(B4021, Maps!A:A, Maps!B:B)</f>
        <v>Pumpkin Grove</v>
      </c>
    </row>
    <row r="4022" ht="15.75" customHeight="1">
      <c r="A4022" s="1">
        <v>166.0</v>
      </c>
      <c r="B4022" s="1">
        <v>38.0</v>
      </c>
      <c r="C4022" s="1">
        <v>93.0</v>
      </c>
      <c r="D4022" s="1">
        <v>71.0</v>
      </c>
      <c r="F4022" s="1" t="str">
        <f>LOOKUP(A4022, NPCs!A:A, NPCs!C:C)</f>
        <v>Pumpkin</v>
      </c>
      <c r="G4022" s="1" t="str">
        <f>LOOKUP(B4022, Maps!A:A, Maps!B:B)</f>
        <v>Pumpkin Grove</v>
      </c>
    </row>
    <row r="4023" ht="15.75" customHeight="1">
      <c r="A4023" s="1">
        <v>166.0</v>
      </c>
      <c r="B4023" s="1">
        <v>38.0</v>
      </c>
      <c r="C4023" s="1">
        <v>94.0</v>
      </c>
      <c r="D4023" s="1">
        <v>71.0</v>
      </c>
      <c r="F4023" s="1" t="str">
        <f>LOOKUP(A4023, NPCs!A:A, NPCs!C:C)</f>
        <v>Pumpkin</v>
      </c>
      <c r="G4023" s="1" t="str">
        <f>LOOKUP(B4023, Maps!A:A, Maps!B:B)</f>
        <v>Pumpkin Grove</v>
      </c>
    </row>
    <row r="4024" ht="15.75" customHeight="1">
      <c r="A4024" s="1">
        <v>166.0</v>
      </c>
      <c r="B4024" s="1">
        <v>38.0</v>
      </c>
      <c r="C4024" s="1">
        <v>94.0</v>
      </c>
      <c r="D4024" s="1">
        <v>70.0</v>
      </c>
      <c r="F4024" s="1" t="str">
        <f>LOOKUP(A4024, NPCs!A:A, NPCs!C:C)</f>
        <v>Pumpkin</v>
      </c>
      <c r="G4024" s="1" t="str">
        <f>LOOKUP(B4024, Maps!A:A, Maps!B:B)</f>
        <v>Pumpkin Grove</v>
      </c>
    </row>
    <row r="4025" ht="15.75" customHeight="1">
      <c r="A4025" s="1">
        <v>166.0</v>
      </c>
      <c r="B4025" s="1">
        <v>38.0</v>
      </c>
      <c r="C4025" s="1">
        <v>95.0</v>
      </c>
      <c r="D4025" s="1">
        <v>70.0</v>
      </c>
      <c r="F4025" s="1" t="str">
        <f>LOOKUP(A4025, NPCs!A:A, NPCs!C:C)</f>
        <v>Pumpkin</v>
      </c>
      <c r="G4025" s="1" t="str">
        <f>LOOKUP(B4025, Maps!A:A, Maps!B:B)</f>
        <v>Pumpkin Grove</v>
      </c>
    </row>
    <row r="4026" ht="15.75" customHeight="1">
      <c r="A4026" s="1">
        <v>166.0</v>
      </c>
      <c r="B4026" s="1">
        <v>38.0</v>
      </c>
      <c r="C4026" s="1">
        <v>96.0</v>
      </c>
      <c r="D4026" s="1">
        <v>70.0</v>
      </c>
      <c r="F4026" s="1" t="str">
        <f>LOOKUP(A4026, NPCs!A:A, NPCs!C:C)</f>
        <v>Pumpkin</v>
      </c>
      <c r="G4026" s="1" t="str">
        <f>LOOKUP(B4026, Maps!A:A, Maps!B:B)</f>
        <v>Pumpkin Grove</v>
      </c>
    </row>
    <row r="4027" ht="15.75" customHeight="1">
      <c r="A4027" s="1">
        <v>166.0</v>
      </c>
      <c r="B4027" s="1">
        <v>38.0</v>
      </c>
      <c r="C4027" s="1">
        <v>97.0</v>
      </c>
      <c r="D4027" s="1">
        <v>70.0</v>
      </c>
      <c r="F4027" s="1" t="str">
        <f>LOOKUP(A4027, NPCs!A:A, NPCs!C:C)</f>
        <v>Pumpkin</v>
      </c>
      <c r="G4027" s="1" t="str">
        <f>LOOKUP(B4027, Maps!A:A, Maps!B:B)</f>
        <v>Pumpkin Grove</v>
      </c>
    </row>
    <row r="4028" ht="15.75" customHeight="1">
      <c r="A4028" s="1">
        <v>166.0</v>
      </c>
      <c r="B4028" s="1">
        <v>38.0</v>
      </c>
      <c r="C4028" s="1">
        <v>98.0</v>
      </c>
      <c r="D4028" s="1">
        <v>70.0</v>
      </c>
      <c r="F4028" s="1" t="str">
        <f>LOOKUP(A4028, NPCs!A:A, NPCs!C:C)</f>
        <v>Pumpkin</v>
      </c>
      <c r="G4028" s="1" t="str">
        <f>LOOKUP(B4028, Maps!A:A, Maps!B:B)</f>
        <v>Pumpkin Grove</v>
      </c>
    </row>
    <row r="4029" ht="15.75" customHeight="1">
      <c r="A4029" s="1">
        <v>166.0</v>
      </c>
      <c r="B4029" s="1">
        <v>38.0</v>
      </c>
      <c r="C4029" s="1">
        <v>91.0</v>
      </c>
      <c r="D4029" s="1">
        <v>67.0</v>
      </c>
      <c r="F4029" s="1" t="str">
        <f>LOOKUP(A4029, NPCs!A:A, NPCs!C:C)</f>
        <v>Pumpkin</v>
      </c>
      <c r="G4029" s="1" t="str">
        <f>LOOKUP(B4029, Maps!A:A, Maps!B:B)</f>
        <v>Pumpkin Grove</v>
      </c>
    </row>
    <row r="4030" ht="15.75" customHeight="1">
      <c r="A4030" s="1">
        <v>166.0</v>
      </c>
      <c r="B4030" s="1">
        <v>38.0</v>
      </c>
      <c r="C4030" s="1">
        <v>92.0</v>
      </c>
      <c r="D4030" s="1">
        <v>67.0</v>
      </c>
      <c r="F4030" s="1" t="str">
        <f>LOOKUP(A4030, NPCs!A:A, NPCs!C:C)</f>
        <v>Pumpkin</v>
      </c>
      <c r="G4030" s="1" t="str">
        <f>LOOKUP(B4030, Maps!A:A, Maps!B:B)</f>
        <v>Pumpkin Grove</v>
      </c>
    </row>
    <row r="4031" ht="15.75" customHeight="1">
      <c r="A4031" s="1">
        <v>166.0</v>
      </c>
      <c r="B4031" s="1">
        <v>38.0</v>
      </c>
      <c r="C4031" s="1">
        <v>93.0</v>
      </c>
      <c r="D4031" s="1">
        <v>66.0</v>
      </c>
      <c r="F4031" s="1" t="str">
        <f>LOOKUP(A4031, NPCs!A:A, NPCs!C:C)</f>
        <v>Pumpkin</v>
      </c>
      <c r="G4031" s="1" t="str">
        <f>LOOKUP(B4031, Maps!A:A, Maps!B:B)</f>
        <v>Pumpkin Grove</v>
      </c>
    </row>
    <row r="4032" ht="15.75" customHeight="1">
      <c r="A4032" s="1">
        <v>166.0</v>
      </c>
      <c r="B4032" s="1">
        <v>38.0</v>
      </c>
      <c r="C4032" s="1">
        <v>94.0</v>
      </c>
      <c r="D4032" s="1">
        <v>66.0</v>
      </c>
      <c r="F4032" s="1" t="str">
        <f>LOOKUP(A4032, NPCs!A:A, NPCs!C:C)</f>
        <v>Pumpkin</v>
      </c>
      <c r="G4032" s="1" t="str">
        <f>LOOKUP(B4032, Maps!A:A, Maps!B:B)</f>
        <v>Pumpkin Grove</v>
      </c>
    </row>
    <row r="4033" ht="15.75" customHeight="1">
      <c r="A4033" s="1">
        <v>166.0</v>
      </c>
      <c r="B4033" s="1">
        <v>38.0</v>
      </c>
      <c r="C4033" s="1">
        <v>95.0</v>
      </c>
      <c r="D4033" s="1">
        <v>66.0</v>
      </c>
      <c r="F4033" s="1" t="str">
        <f>LOOKUP(A4033, NPCs!A:A, NPCs!C:C)</f>
        <v>Pumpkin</v>
      </c>
      <c r="G4033" s="1" t="str">
        <f>LOOKUP(B4033, Maps!A:A, Maps!B:B)</f>
        <v>Pumpkin Grove</v>
      </c>
    </row>
    <row r="4034" ht="15.75" customHeight="1">
      <c r="A4034" s="1">
        <v>166.0</v>
      </c>
      <c r="B4034" s="1">
        <v>38.0</v>
      </c>
      <c r="C4034" s="1">
        <v>97.0</v>
      </c>
      <c r="D4034" s="1">
        <v>66.0</v>
      </c>
      <c r="F4034" s="1" t="str">
        <f>LOOKUP(A4034, NPCs!A:A, NPCs!C:C)</f>
        <v>Pumpkin</v>
      </c>
      <c r="G4034" s="1" t="str">
        <f>LOOKUP(B4034, Maps!A:A, Maps!B:B)</f>
        <v>Pumpkin Grove</v>
      </c>
    </row>
    <row r="4035" ht="15.75" customHeight="1">
      <c r="A4035" s="1">
        <v>166.0</v>
      </c>
      <c r="B4035" s="1">
        <v>38.0</v>
      </c>
      <c r="C4035" s="1">
        <v>96.0</v>
      </c>
      <c r="D4035" s="1">
        <v>66.0</v>
      </c>
      <c r="F4035" s="1" t="str">
        <f>LOOKUP(A4035, NPCs!A:A, NPCs!C:C)</f>
        <v>Pumpkin</v>
      </c>
      <c r="G4035" s="1" t="str">
        <f>LOOKUP(B4035, Maps!A:A, Maps!B:B)</f>
        <v>Pumpkin Grove</v>
      </c>
    </row>
    <row r="4036" ht="15.75" customHeight="1">
      <c r="A4036" s="1">
        <v>166.0</v>
      </c>
      <c r="B4036" s="1">
        <v>38.0</v>
      </c>
      <c r="C4036" s="1">
        <v>98.0</v>
      </c>
      <c r="D4036" s="1">
        <v>66.0</v>
      </c>
      <c r="F4036" s="1" t="str">
        <f>LOOKUP(A4036, NPCs!A:A, NPCs!C:C)</f>
        <v>Pumpkin</v>
      </c>
      <c r="G4036" s="1" t="str">
        <f>LOOKUP(B4036, Maps!A:A, Maps!B:B)</f>
        <v>Pumpkin Grove</v>
      </c>
    </row>
    <row r="4037" ht="15.75" customHeight="1">
      <c r="A4037" s="1">
        <v>166.0</v>
      </c>
      <c r="B4037" s="1">
        <v>38.0</v>
      </c>
      <c r="C4037" s="1">
        <v>90.0</v>
      </c>
      <c r="D4037" s="1">
        <v>65.0</v>
      </c>
      <c r="F4037" s="1" t="str">
        <f>LOOKUP(A4037, NPCs!A:A, NPCs!C:C)</f>
        <v>Pumpkin</v>
      </c>
      <c r="G4037" s="1" t="str">
        <f>LOOKUP(B4037, Maps!A:A, Maps!B:B)</f>
        <v>Pumpkin Grove</v>
      </c>
    </row>
    <row r="4038" ht="15.75" customHeight="1">
      <c r="A4038" s="1">
        <v>166.0</v>
      </c>
      <c r="B4038" s="1">
        <v>38.0</v>
      </c>
      <c r="C4038" s="1">
        <v>91.0</v>
      </c>
      <c r="D4038" s="1">
        <v>64.0</v>
      </c>
      <c r="F4038" s="1" t="str">
        <f>LOOKUP(A4038, NPCs!A:A, NPCs!C:C)</f>
        <v>Pumpkin</v>
      </c>
      <c r="G4038" s="1" t="str">
        <f>LOOKUP(B4038, Maps!A:A, Maps!B:B)</f>
        <v>Pumpkin Grove</v>
      </c>
    </row>
    <row r="4039" ht="15.75" customHeight="1">
      <c r="A4039" s="1">
        <v>166.0</v>
      </c>
      <c r="B4039" s="1">
        <v>38.0</v>
      </c>
      <c r="C4039" s="1">
        <v>92.0</v>
      </c>
      <c r="D4039" s="1">
        <v>63.0</v>
      </c>
      <c r="F4039" s="1" t="str">
        <f>LOOKUP(A4039, NPCs!A:A, NPCs!C:C)</f>
        <v>Pumpkin</v>
      </c>
      <c r="G4039" s="1" t="str">
        <f>LOOKUP(B4039, Maps!A:A, Maps!B:B)</f>
        <v>Pumpkin Grove</v>
      </c>
    </row>
    <row r="4040" ht="15.75" customHeight="1">
      <c r="A4040" s="1">
        <v>166.0</v>
      </c>
      <c r="B4040" s="1">
        <v>38.0</v>
      </c>
      <c r="C4040" s="1">
        <v>93.0</v>
      </c>
      <c r="D4040" s="1">
        <v>62.0</v>
      </c>
      <c r="F4040" s="1" t="str">
        <f>LOOKUP(A4040, NPCs!A:A, NPCs!C:C)</f>
        <v>Pumpkin</v>
      </c>
      <c r="G4040" s="1" t="str">
        <f>LOOKUP(B4040, Maps!A:A, Maps!B:B)</f>
        <v>Pumpkin Grove</v>
      </c>
    </row>
    <row r="4041" ht="15.75" customHeight="1">
      <c r="A4041" s="1">
        <v>166.0</v>
      </c>
      <c r="B4041" s="1">
        <v>38.0</v>
      </c>
      <c r="C4041" s="1">
        <v>94.0</v>
      </c>
      <c r="D4041" s="1">
        <v>62.0</v>
      </c>
      <c r="F4041" s="1" t="str">
        <f>LOOKUP(A4041, NPCs!A:A, NPCs!C:C)</f>
        <v>Pumpkin</v>
      </c>
      <c r="G4041" s="1" t="str">
        <f>LOOKUP(B4041, Maps!A:A, Maps!B:B)</f>
        <v>Pumpkin Grove</v>
      </c>
    </row>
    <row r="4042" ht="15.75" customHeight="1">
      <c r="A4042" s="1">
        <v>166.0</v>
      </c>
      <c r="B4042" s="1">
        <v>38.0</v>
      </c>
      <c r="C4042" s="1">
        <v>95.0</v>
      </c>
      <c r="D4042" s="1">
        <v>60.0</v>
      </c>
      <c r="F4042" s="1" t="str">
        <f>LOOKUP(A4042, NPCs!A:A, NPCs!C:C)</f>
        <v>Pumpkin</v>
      </c>
      <c r="G4042" s="1" t="str">
        <f>LOOKUP(B4042, Maps!A:A, Maps!B:B)</f>
        <v>Pumpkin Grove</v>
      </c>
    </row>
    <row r="4043" ht="15.75" customHeight="1">
      <c r="A4043" s="1">
        <v>166.0</v>
      </c>
      <c r="B4043" s="1">
        <v>38.0</v>
      </c>
      <c r="C4043" s="1">
        <v>96.0</v>
      </c>
      <c r="D4043" s="1">
        <v>60.0</v>
      </c>
      <c r="F4043" s="1" t="str">
        <f>LOOKUP(A4043, NPCs!A:A, NPCs!C:C)</f>
        <v>Pumpkin</v>
      </c>
      <c r="G4043" s="1" t="str">
        <f>LOOKUP(B4043, Maps!A:A, Maps!B:B)</f>
        <v>Pumpkin Grove</v>
      </c>
    </row>
    <row r="4044" ht="15.75" customHeight="1">
      <c r="A4044" s="1">
        <v>166.0</v>
      </c>
      <c r="B4044" s="1">
        <v>38.0</v>
      </c>
      <c r="C4044" s="1">
        <v>97.0</v>
      </c>
      <c r="D4044" s="1">
        <v>60.0</v>
      </c>
      <c r="F4044" s="1" t="str">
        <f>LOOKUP(A4044, NPCs!A:A, NPCs!C:C)</f>
        <v>Pumpkin</v>
      </c>
      <c r="G4044" s="1" t="str">
        <f>LOOKUP(B4044, Maps!A:A, Maps!B:B)</f>
        <v>Pumpkin Grove</v>
      </c>
    </row>
    <row r="4045" ht="15.75" customHeight="1">
      <c r="A4045" s="1">
        <v>166.0</v>
      </c>
      <c r="B4045" s="1">
        <v>38.0</v>
      </c>
      <c r="C4045" s="1">
        <v>98.0</v>
      </c>
      <c r="D4045" s="1">
        <v>60.0</v>
      </c>
      <c r="F4045" s="1" t="str">
        <f>LOOKUP(A4045, NPCs!A:A, NPCs!C:C)</f>
        <v>Pumpkin</v>
      </c>
      <c r="G4045" s="1" t="str">
        <f>LOOKUP(B4045, Maps!A:A, Maps!B:B)</f>
        <v>Pumpkin Grove</v>
      </c>
    </row>
    <row r="4046" ht="15.75" customHeight="1">
      <c r="A4046" s="1">
        <v>166.0</v>
      </c>
      <c r="B4046" s="1">
        <v>38.0</v>
      </c>
      <c r="C4046" s="1">
        <v>91.0</v>
      </c>
      <c r="D4046" s="1">
        <v>50.0</v>
      </c>
      <c r="F4046" s="1" t="str">
        <f>LOOKUP(A4046, NPCs!A:A, NPCs!C:C)</f>
        <v>Pumpkin</v>
      </c>
      <c r="G4046" s="1" t="str">
        <f>LOOKUP(B4046, Maps!A:A, Maps!B:B)</f>
        <v>Pumpkin Grove</v>
      </c>
    </row>
    <row r="4047" ht="15.75" customHeight="1">
      <c r="A4047" s="1">
        <v>166.0</v>
      </c>
      <c r="B4047" s="1">
        <v>38.0</v>
      </c>
      <c r="C4047" s="1">
        <v>91.0</v>
      </c>
      <c r="D4047" s="1">
        <v>51.0</v>
      </c>
      <c r="F4047" s="1" t="str">
        <f>LOOKUP(A4047, NPCs!A:A, NPCs!C:C)</f>
        <v>Pumpkin</v>
      </c>
      <c r="G4047" s="1" t="str">
        <f>LOOKUP(B4047, Maps!A:A, Maps!B:B)</f>
        <v>Pumpkin Grove</v>
      </c>
    </row>
    <row r="4048" ht="15.75" customHeight="1">
      <c r="A4048" s="1">
        <v>166.0</v>
      </c>
      <c r="B4048" s="1">
        <v>38.0</v>
      </c>
      <c r="C4048" s="1">
        <v>91.0</v>
      </c>
      <c r="D4048" s="1">
        <v>52.0</v>
      </c>
      <c r="F4048" s="1" t="str">
        <f>LOOKUP(A4048, NPCs!A:A, NPCs!C:C)</f>
        <v>Pumpkin</v>
      </c>
      <c r="G4048" s="1" t="str">
        <f>LOOKUP(B4048, Maps!A:A, Maps!B:B)</f>
        <v>Pumpkin Grove</v>
      </c>
    </row>
    <row r="4049" ht="15.75" customHeight="1">
      <c r="A4049" s="1">
        <v>166.0</v>
      </c>
      <c r="B4049" s="1">
        <v>38.0</v>
      </c>
      <c r="C4049" s="1">
        <v>89.0</v>
      </c>
      <c r="D4049" s="1">
        <v>52.0</v>
      </c>
      <c r="F4049" s="1" t="str">
        <f>LOOKUP(A4049, NPCs!A:A, NPCs!C:C)</f>
        <v>Pumpkin</v>
      </c>
      <c r="G4049" s="1" t="str">
        <f>LOOKUP(B4049, Maps!A:A, Maps!B:B)</f>
        <v>Pumpkin Grove</v>
      </c>
    </row>
    <row r="4050" ht="15.75" customHeight="1">
      <c r="A4050" s="1">
        <v>166.0</v>
      </c>
      <c r="B4050" s="1">
        <v>38.0</v>
      </c>
      <c r="C4050" s="1">
        <v>90.0</v>
      </c>
      <c r="D4050" s="1">
        <v>53.0</v>
      </c>
      <c r="F4050" s="1" t="str">
        <f>LOOKUP(A4050, NPCs!A:A, NPCs!C:C)</f>
        <v>Pumpkin</v>
      </c>
      <c r="G4050" s="1" t="str">
        <f>LOOKUP(B4050, Maps!A:A, Maps!B:B)</f>
        <v>Pumpkin Grove</v>
      </c>
    </row>
    <row r="4051" ht="15.75" customHeight="1">
      <c r="A4051" s="1">
        <v>166.0</v>
      </c>
      <c r="B4051" s="1">
        <v>38.0</v>
      </c>
      <c r="C4051" s="1">
        <v>91.0</v>
      </c>
      <c r="D4051" s="1">
        <v>53.0</v>
      </c>
      <c r="F4051" s="1" t="str">
        <f>LOOKUP(A4051, NPCs!A:A, NPCs!C:C)</f>
        <v>Pumpkin</v>
      </c>
      <c r="G4051" s="1" t="str">
        <f>LOOKUP(B4051, Maps!A:A, Maps!B:B)</f>
        <v>Pumpkin Grove</v>
      </c>
    </row>
    <row r="4052" ht="15.75" customHeight="1">
      <c r="A4052" s="1">
        <v>166.0</v>
      </c>
      <c r="B4052" s="1">
        <v>38.0</v>
      </c>
      <c r="C4052" s="1">
        <v>91.0</v>
      </c>
      <c r="D4052" s="1">
        <v>54.0</v>
      </c>
      <c r="F4052" s="1" t="str">
        <f>LOOKUP(A4052, NPCs!A:A, NPCs!C:C)</f>
        <v>Pumpkin</v>
      </c>
      <c r="G4052" s="1" t="str">
        <f>LOOKUP(B4052, Maps!A:A, Maps!B:B)</f>
        <v>Pumpkin Grove</v>
      </c>
    </row>
    <row r="4053" ht="15.75" customHeight="1">
      <c r="A4053" s="1">
        <v>166.0</v>
      </c>
      <c r="B4053" s="1">
        <v>38.0</v>
      </c>
      <c r="C4053" s="1">
        <v>92.0</v>
      </c>
      <c r="D4053" s="1">
        <v>53.0</v>
      </c>
      <c r="F4053" s="1" t="str">
        <f>LOOKUP(A4053, NPCs!A:A, NPCs!C:C)</f>
        <v>Pumpkin</v>
      </c>
      <c r="G4053" s="1" t="str">
        <f>LOOKUP(B4053, Maps!A:A, Maps!B:B)</f>
        <v>Pumpkin Grove</v>
      </c>
    </row>
    <row r="4054" ht="15.75" customHeight="1">
      <c r="A4054" s="1">
        <v>166.0</v>
      </c>
      <c r="B4054" s="1">
        <v>38.0</v>
      </c>
      <c r="C4054" s="1">
        <v>93.0</v>
      </c>
      <c r="D4054" s="1">
        <v>52.0</v>
      </c>
      <c r="F4054" s="1" t="str">
        <f>LOOKUP(A4054, NPCs!A:A, NPCs!C:C)</f>
        <v>Pumpkin</v>
      </c>
      <c r="G4054" s="1" t="str">
        <f>LOOKUP(B4054, Maps!A:A, Maps!B:B)</f>
        <v>Pumpkin Grove</v>
      </c>
    </row>
    <row r="4055" ht="15.75" customHeight="1">
      <c r="A4055" s="1">
        <v>166.0</v>
      </c>
      <c r="B4055" s="1">
        <v>38.0</v>
      </c>
      <c r="C4055" s="1">
        <v>91.0</v>
      </c>
      <c r="D4055" s="1">
        <v>49.0</v>
      </c>
      <c r="F4055" s="1" t="str">
        <f>LOOKUP(A4055, NPCs!A:A, NPCs!C:C)</f>
        <v>Pumpkin</v>
      </c>
      <c r="G4055" s="1" t="str">
        <f>LOOKUP(B4055, Maps!A:A, Maps!B:B)</f>
        <v>Pumpkin Grove</v>
      </c>
    </row>
    <row r="4056" ht="15.75" customHeight="1">
      <c r="A4056" s="1">
        <v>166.0</v>
      </c>
      <c r="B4056" s="1">
        <v>38.0</v>
      </c>
      <c r="C4056" s="1">
        <v>83.0</v>
      </c>
      <c r="D4056" s="1">
        <v>46.0</v>
      </c>
      <c r="F4056" s="1" t="str">
        <f>LOOKUP(A4056, NPCs!A:A, NPCs!C:C)</f>
        <v>Pumpkin</v>
      </c>
      <c r="G4056" s="1" t="str">
        <f>LOOKUP(B4056, Maps!A:A, Maps!B:B)</f>
        <v>Pumpkin Grove</v>
      </c>
    </row>
    <row r="4057" ht="15.75" customHeight="1">
      <c r="A4057" s="1">
        <v>166.0</v>
      </c>
      <c r="B4057" s="1">
        <v>38.0</v>
      </c>
      <c r="C4057" s="1">
        <v>83.0</v>
      </c>
      <c r="D4057" s="1">
        <v>47.0</v>
      </c>
      <c r="F4057" s="1" t="str">
        <f>LOOKUP(A4057, NPCs!A:A, NPCs!C:C)</f>
        <v>Pumpkin</v>
      </c>
      <c r="G4057" s="1" t="str">
        <f>LOOKUP(B4057, Maps!A:A, Maps!B:B)</f>
        <v>Pumpkin Grove</v>
      </c>
    </row>
    <row r="4058" ht="15.75" customHeight="1">
      <c r="A4058" s="1">
        <v>166.0</v>
      </c>
      <c r="B4058" s="1">
        <v>38.0</v>
      </c>
      <c r="C4058" s="1">
        <v>82.0</v>
      </c>
      <c r="D4058" s="1">
        <v>49.0</v>
      </c>
      <c r="F4058" s="1" t="str">
        <f>LOOKUP(A4058, NPCs!A:A, NPCs!C:C)</f>
        <v>Pumpkin</v>
      </c>
      <c r="G4058" s="1" t="str">
        <f>LOOKUP(B4058, Maps!A:A, Maps!B:B)</f>
        <v>Pumpkin Grove</v>
      </c>
    </row>
    <row r="4059" ht="15.75" customHeight="1">
      <c r="A4059" s="1">
        <v>166.0</v>
      </c>
      <c r="B4059" s="1">
        <v>38.0</v>
      </c>
      <c r="C4059" s="1">
        <v>82.0</v>
      </c>
      <c r="D4059" s="1">
        <v>50.0</v>
      </c>
      <c r="F4059" s="1" t="str">
        <f>LOOKUP(A4059, NPCs!A:A, NPCs!C:C)</f>
        <v>Pumpkin</v>
      </c>
      <c r="G4059" s="1" t="str">
        <f>LOOKUP(B4059, Maps!A:A, Maps!B:B)</f>
        <v>Pumpkin Grove</v>
      </c>
    </row>
    <row r="4060" ht="15.75" customHeight="1">
      <c r="A4060" s="1">
        <v>166.0</v>
      </c>
      <c r="B4060" s="1">
        <v>38.0</v>
      </c>
      <c r="C4060" s="1">
        <v>82.0</v>
      </c>
      <c r="D4060" s="1">
        <v>51.0</v>
      </c>
      <c r="F4060" s="1" t="str">
        <f>LOOKUP(A4060, NPCs!A:A, NPCs!C:C)</f>
        <v>Pumpkin</v>
      </c>
      <c r="G4060" s="1" t="str">
        <f>LOOKUP(B4060, Maps!A:A, Maps!B:B)</f>
        <v>Pumpkin Grove</v>
      </c>
    </row>
    <row r="4061" ht="15.75" customHeight="1">
      <c r="A4061" s="1">
        <v>166.0</v>
      </c>
      <c r="B4061" s="1">
        <v>38.0</v>
      </c>
      <c r="C4061" s="1">
        <v>82.0</v>
      </c>
      <c r="D4061" s="1">
        <v>52.0</v>
      </c>
      <c r="F4061" s="1" t="str">
        <f>LOOKUP(A4061, NPCs!A:A, NPCs!C:C)</f>
        <v>Pumpkin</v>
      </c>
      <c r="G4061" s="1" t="str">
        <f>LOOKUP(B4061, Maps!A:A, Maps!B:B)</f>
        <v>Pumpkin Grove</v>
      </c>
    </row>
    <row r="4062" ht="15.75" customHeight="1">
      <c r="A4062" s="1">
        <v>166.0</v>
      </c>
      <c r="B4062" s="1">
        <v>38.0</v>
      </c>
      <c r="C4062" s="1">
        <v>76.0</v>
      </c>
      <c r="D4062" s="1">
        <v>54.0</v>
      </c>
      <c r="F4062" s="1" t="str">
        <f>LOOKUP(A4062, NPCs!A:A, NPCs!C:C)</f>
        <v>Pumpkin</v>
      </c>
      <c r="G4062" s="1" t="str">
        <f>LOOKUP(B4062, Maps!A:A, Maps!B:B)</f>
        <v>Pumpkin Grove</v>
      </c>
    </row>
    <row r="4063" ht="15.75" customHeight="1">
      <c r="A4063" s="1">
        <v>166.0</v>
      </c>
      <c r="B4063" s="1">
        <v>38.0</v>
      </c>
      <c r="C4063" s="1">
        <v>71.0</v>
      </c>
      <c r="D4063" s="1">
        <v>57.0</v>
      </c>
      <c r="F4063" s="1" t="str">
        <f>LOOKUP(A4063, NPCs!A:A, NPCs!C:C)</f>
        <v>Pumpkin</v>
      </c>
      <c r="G4063" s="1" t="str">
        <f>LOOKUP(B4063, Maps!A:A, Maps!B:B)</f>
        <v>Pumpkin Grove</v>
      </c>
    </row>
    <row r="4064" ht="15.75" customHeight="1">
      <c r="A4064" s="1">
        <v>166.0</v>
      </c>
      <c r="B4064" s="1">
        <v>38.0</v>
      </c>
      <c r="C4064" s="1">
        <v>67.0</v>
      </c>
      <c r="D4064" s="1">
        <v>56.0</v>
      </c>
      <c r="F4064" s="1" t="str">
        <f>LOOKUP(A4064, NPCs!A:A, NPCs!C:C)</f>
        <v>Pumpkin</v>
      </c>
      <c r="G4064" s="1" t="str">
        <f>LOOKUP(B4064, Maps!A:A, Maps!B:B)</f>
        <v>Pumpkin Grove</v>
      </c>
    </row>
    <row r="4065" ht="15.75" customHeight="1">
      <c r="A4065" s="1">
        <v>166.0</v>
      </c>
      <c r="B4065" s="1">
        <v>38.0</v>
      </c>
      <c r="C4065" s="1">
        <v>70.0</v>
      </c>
      <c r="D4065" s="1">
        <v>52.0</v>
      </c>
      <c r="F4065" s="1" t="str">
        <f>LOOKUP(A4065, NPCs!A:A, NPCs!C:C)</f>
        <v>Pumpkin</v>
      </c>
      <c r="G4065" s="1" t="str">
        <f>LOOKUP(B4065, Maps!A:A, Maps!B:B)</f>
        <v>Pumpkin Grove</v>
      </c>
    </row>
    <row r="4066" ht="15.75" customHeight="1">
      <c r="A4066" s="1">
        <v>166.0</v>
      </c>
      <c r="B4066" s="1">
        <v>38.0</v>
      </c>
      <c r="C4066" s="1">
        <v>70.0</v>
      </c>
      <c r="D4066" s="1">
        <v>67.0</v>
      </c>
      <c r="F4066" s="1" t="str">
        <f>LOOKUP(A4066, NPCs!A:A, NPCs!C:C)</f>
        <v>Pumpkin</v>
      </c>
      <c r="G4066" s="1" t="str">
        <f>LOOKUP(B4066, Maps!A:A, Maps!B:B)</f>
        <v>Pumpkin Grove</v>
      </c>
    </row>
    <row r="4067" ht="15.75" customHeight="1">
      <c r="A4067" s="1">
        <v>166.0</v>
      </c>
      <c r="B4067" s="1">
        <v>38.0</v>
      </c>
      <c r="C4067" s="1">
        <v>71.0</v>
      </c>
      <c r="D4067" s="1">
        <v>67.0</v>
      </c>
      <c r="F4067" s="1" t="str">
        <f>LOOKUP(A4067, NPCs!A:A, NPCs!C:C)</f>
        <v>Pumpkin</v>
      </c>
      <c r="G4067" s="1" t="str">
        <f>LOOKUP(B4067, Maps!A:A, Maps!B:B)</f>
        <v>Pumpkin Grove</v>
      </c>
    </row>
    <row r="4068" ht="15.75" customHeight="1">
      <c r="A4068" s="1">
        <v>166.0</v>
      </c>
      <c r="B4068" s="1">
        <v>38.0</v>
      </c>
      <c r="C4068" s="1">
        <v>72.0</v>
      </c>
      <c r="D4068" s="1">
        <v>67.0</v>
      </c>
      <c r="F4068" s="1" t="str">
        <f>LOOKUP(A4068, NPCs!A:A, NPCs!C:C)</f>
        <v>Pumpkin</v>
      </c>
      <c r="G4068" s="1" t="str">
        <f>LOOKUP(B4068, Maps!A:A, Maps!B:B)</f>
        <v>Pumpkin Grove</v>
      </c>
    </row>
    <row r="4069" ht="15.75" customHeight="1">
      <c r="A4069" s="1">
        <v>166.0</v>
      </c>
      <c r="B4069" s="1">
        <v>38.0</v>
      </c>
      <c r="C4069" s="1">
        <v>73.0</v>
      </c>
      <c r="D4069" s="1">
        <v>67.0</v>
      </c>
      <c r="F4069" s="1" t="str">
        <f>LOOKUP(A4069, NPCs!A:A, NPCs!C:C)</f>
        <v>Pumpkin</v>
      </c>
      <c r="G4069" s="1" t="str">
        <f>LOOKUP(B4069, Maps!A:A, Maps!B:B)</f>
        <v>Pumpkin Grove</v>
      </c>
    </row>
    <row r="4070" ht="15.75" customHeight="1">
      <c r="A4070" s="1">
        <v>166.0</v>
      </c>
      <c r="B4070" s="1">
        <v>38.0</v>
      </c>
      <c r="C4070" s="1">
        <v>73.0</v>
      </c>
      <c r="D4070" s="1">
        <v>70.0</v>
      </c>
      <c r="F4070" s="1" t="str">
        <f>LOOKUP(A4070, NPCs!A:A, NPCs!C:C)</f>
        <v>Pumpkin</v>
      </c>
      <c r="G4070" s="1" t="str">
        <f>LOOKUP(B4070, Maps!A:A, Maps!B:B)</f>
        <v>Pumpkin Grove</v>
      </c>
    </row>
    <row r="4071" ht="15.75" customHeight="1">
      <c r="A4071" s="1">
        <v>166.0</v>
      </c>
      <c r="B4071" s="1">
        <v>38.0</v>
      </c>
      <c r="C4071" s="1">
        <v>72.0</v>
      </c>
      <c r="D4071" s="1">
        <v>70.0</v>
      </c>
      <c r="F4071" s="1" t="str">
        <f>LOOKUP(A4071, NPCs!A:A, NPCs!C:C)</f>
        <v>Pumpkin</v>
      </c>
      <c r="G4071" s="1" t="str">
        <f>LOOKUP(B4071, Maps!A:A, Maps!B:B)</f>
        <v>Pumpkin Grove</v>
      </c>
    </row>
    <row r="4072" ht="15.75" customHeight="1">
      <c r="A4072" s="1">
        <v>166.0</v>
      </c>
      <c r="B4072" s="1">
        <v>38.0</v>
      </c>
      <c r="C4072" s="1">
        <v>70.0</v>
      </c>
      <c r="D4072" s="1">
        <v>70.0</v>
      </c>
      <c r="F4072" s="1" t="str">
        <f>LOOKUP(A4072, NPCs!A:A, NPCs!C:C)</f>
        <v>Pumpkin</v>
      </c>
      <c r="G4072" s="1" t="str">
        <f>LOOKUP(B4072, Maps!A:A, Maps!B:B)</f>
        <v>Pumpkin Grove</v>
      </c>
    </row>
    <row r="4073" ht="15.75" customHeight="1">
      <c r="A4073" s="1">
        <v>166.0</v>
      </c>
      <c r="B4073" s="1">
        <v>38.0</v>
      </c>
      <c r="C4073" s="1">
        <v>71.0</v>
      </c>
      <c r="D4073" s="1">
        <v>70.0</v>
      </c>
      <c r="F4073" s="1" t="str">
        <f>LOOKUP(A4073, NPCs!A:A, NPCs!C:C)</f>
        <v>Pumpkin</v>
      </c>
      <c r="G4073" s="1" t="str">
        <f>LOOKUP(B4073, Maps!A:A, Maps!B:B)</f>
        <v>Pumpkin Grove</v>
      </c>
    </row>
    <row r="4074" ht="15.75" customHeight="1">
      <c r="A4074" s="1">
        <v>166.0</v>
      </c>
      <c r="B4074" s="1">
        <v>38.0</v>
      </c>
      <c r="C4074" s="1">
        <v>77.0</v>
      </c>
      <c r="D4074" s="1">
        <v>62.0</v>
      </c>
      <c r="F4074" s="1" t="str">
        <f>LOOKUP(A4074, NPCs!A:A, NPCs!C:C)</f>
        <v>Pumpkin</v>
      </c>
      <c r="G4074" s="1" t="str">
        <f>LOOKUP(B4074, Maps!A:A, Maps!B:B)</f>
        <v>Pumpkin Grove</v>
      </c>
    </row>
    <row r="4075" ht="15.75" customHeight="1">
      <c r="A4075" s="1">
        <v>166.0</v>
      </c>
      <c r="B4075" s="1">
        <v>38.0</v>
      </c>
      <c r="C4075" s="1">
        <v>70.0</v>
      </c>
      <c r="D4075" s="1">
        <v>63.0</v>
      </c>
      <c r="F4075" s="1" t="str">
        <f>LOOKUP(A4075, NPCs!A:A, NPCs!C:C)</f>
        <v>Pumpkin</v>
      </c>
      <c r="G4075" s="1" t="str">
        <f>LOOKUP(B4075, Maps!A:A, Maps!B:B)</f>
        <v>Pumpkin Grove</v>
      </c>
    </row>
    <row r="4076" ht="15.75" customHeight="1">
      <c r="A4076" s="1">
        <v>166.0</v>
      </c>
      <c r="B4076" s="1">
        <v>38.0</v>
      </c>
      <c r="C4076" s="1">
        <v>66.0</v>
      </c>
      <c r="D4076" s="1">
        <v>62.0</v>
      </c>
      <c r="F4076" s="1" t="str">
        <f>LOOKUP(A4076, NPCs!A:A, NPCs!C:C)</f>
        <v>Pumpkin</v>
      </c>
      <c r="G4076" s="1" t="str">
        <f>LOOKUP(B4076, Maps!A:A, Maps!B:B)</f>
        <v>Pumpkin Grove</v>
      </c>
    </row>
    <row r="4077" ht="15.75" customHeight="1">
      <c r="A4077" s="1">
        <v>166.0</v>
      </c>
      <c r="B4077" s="1">
        <v>38.0</v>
      </c>
      <c r="C4077" s="1">
        <v>64.0</v>
      </c>
      <c r="D4077" s="1">
        <v>60.0</v>
      </c>
      <c r="F4077" s="1" t="str">
        <f>LOOKUP(A4077, NPCs!A:A, NPCs!C:C)</f>
        <v>Pumpkin</v>
      </c>
      <c r="G4077" s="1" t="str">
        <f>LOOKUP(B4077, Maps!A:A, Maps!B:B)</f>
        <v>Pumpkin Grove</v>
      </c>
    </row>
    <row r="4078" ht="15.75" customHeight="1">
      <c r="A4078" s="1">
        <v>167.0</v>
      </c>
      <c r="B4078" s="1">
        <v>38.0</v>
      </c>
      <c r="C4078" s="1">
        <v>95.0</v>
      </c>
      <c r="D4078" s="1">
        <v>75.0</v>
      </c>
      <c r="F4078" s="1" t="str">
        <f>LOOKUP(A4078, NPCs!A:A, NPCs!C:C)</f>
        <v>Fail Pumpkin</v>
      </c>
      <c r="G4078" s="1" t="str">
        <f>LOOKUP(B4078, Maps!A:A, Maps!B:B)</f>
        <v>Pumpkin Grove</v>
      </c>
    </row>
    <row r="4079" ht="15.75" customHeight="1">
      <c r="A4079" s="1">
        <v>168.0</v>
      </c>
      <c r="B4079" s="1">
        <v>38.0</v>
      </c>
      <c r="C4079" s="1">
        <v>73.0</v>
      </c>
      <c r="D4079" s="1">
        <v>73.0</v>
      </c>
      <c r="F4079" s="1" t="str">
        <f>LOOKUP(A4079, NPCs!A:A, NPCs!C:C)</f>
        <v>Chief Pumpkin</v>
      </c>
      <c r="G4079" s="1" t="str">
        <f>LOOKUP(B4079, Maps!A:A, Maps!B:B)</f>
        <v>Pumpkin Grove</v>
      </c>
    </row>
    <row r="4080" ht="15.75" customHeight="1">
      <c r="A4080" s="1">
        <v>168.0</v>
      </c>
      <c r="B4080" s="1">
        <v>38.0</v>
      </c>
      <c r="C4080" s="1">
        <v>70.0</v>
      </c>
      <c r="D4080" s="1">
        <v>73.0</v>
      </c>
      <c r="F4080" s="1" t="str">
        <f>LOOKUP(A4080, NPCs!A:A, NPCs!C:C)</f>
        <v>Chief Pumpkin</v>
      </c>
      <c r="G4080" s="1" t="str">
        <f>LOOKUP(B4080, Maps!A:A, Maps!B:B)</f>
        <v>Pumpkin Grove</v>
      </c>
    </row>
    <row r="4081" ht="15.75" customHeight="1">
      <c r="A4081" s="1">
        <v>168.0</v>
      </c>
      <c r="B4081" s="1">
        <v>38.0</v>
      </c>
      <c r="C4081" s="1">
        <v>77.0</v>
      </c>
      <c r="D4081" s="1">
        <v>75.0</v>
      </c>
      <c r="F4081" s="1" t="str">
        <f>LOOKUP(A4081, NPCs!A:A, NPCs!C:C)</f>
        <v>Chief Pumpkin</v>
      </c>
      <c r="G4081" s="1" t="str">
        <f>LOOKUP(B4081, Maps!A:A, Maps!B:B)</f>
        <v>Pumpkin Grove</v>
      </c>
    </row>
    <row r="4082" ht="15.75" customHeight="1">
      <c r="A4082" s="1">
        <v>168.0</v>
      </c>
      <c r="B4082" s="1">
        <v>38.0</v>
      </c>
      <c r="C4082" s="1">
        <v>80.0</v>
      </c>
      <c r="D4082" s="1">
        <v>78.0</v>
      </c>
      <c r="F4082" s="1" t="str">
        <f>LOOKUP(A4082, NPCs!A:A, NPCs!C:C)</f>
        <v>Chief Pumpkin</v>
      </c>
      <c r="G4082" s="1" t="str">
        <f>LOOKUP(B4082, Maps!A:A, Maps!B:B)</f>
        <v>Pumpkin Grove</v>
      </c>
    </row>
    <row r="4083" ht="15.75" customHeight="1">
      <c r="A4083" s="1">
        <v>168.0</v>
      </c>
      <c r="B4083" s="1">
        <v>38.0</v>
      </c>
      <c r="C4083" s="1">
        <v>76.0</v>
      </c>
      <c r="D4083" s="1">
        <v>83.0</v>
      </c>
      <c r="F4083" s="1" t="str">
        <f>LOOKUP(A4083, NPCs!A:A, NPCs!C:C)</f>
        <v>Chief Pumpkin</v>
      </c>
      <c r="G4083" s="1" t="str">
        <f>LOOKUP(B4083, Maps!A:A, Maps!B:B)</f>
        <v>Pumpkin Grove</v>
      </c>
    </row>
    <row r="4084" ht="15.75" customHeight="1">
      <c r="A4084" s="1">
        <v>168.0</v>
      </c>
      <c r="B4084" s="1">
        <v>38.0</v>
      </c>
      <c r="C4084" s="1">
        <v>75.0</v>
      </c>
      <c r="D4084" s="1">
        <v>89.0</v>
      </c>
      <c r="F4084" s="1" t="str">
        <f>LOOKUP(A4084, NPCs!A:A, NPCs!C:C)</f>
        <v>Chief Pumpkin</v>
      </c>
      <c r="G4084" s="1" t="str">
        <f>LOOKUP(B4084, Maps!A:A, Maps!B:B)</f>
        <v>Pumpkin Grove</v>
      </c>
    </row>
    <row r="4085" ht="15.75" customHeight="1">
      <c r="A4085" s="1">
        <v>168.0</v>
      </c>
      <c r="B4085" s="1">
        <v>38.0</v>
      </c>
      <c r="C4085" s="1">
        <v>71.0</v>
      </c>
      <c r="D4085" s="1">
        <v>94.0</v>
      </c>
      <c r="F4085" s="1" t="str">
        <f>LOOKUP(A4085, NPCs!A:A, NPCs!C:C)</f>
        <v>Chief Pumpkin</v>
      </c>
      <c r="G4085" s="1" t="str">
        <f>LOOKUP(B4085, Maps!A:A, Maps!B:B)</f>
        <v>Pumpkin Grove</v>
      </c>
    </row>
    <row r="4086" ht="15.75" customHeight="1">
      <c r="A4086" s="1">
        <v>168.0</v>
      </c>
      <c r="B4086" s="1">
        <v>38.0</v>
      </c>
      <c r="C4086" s="1">
        <v>67.0</v>
      </c>
      <c r="D4086" s="1">
        <v>94.0</v>
      </c>
      <c r="F4086" s="1" t="str">
        <f>LOOKUP(A4086, NPCs!A:A, NPCs!C:C)</f>
        <v>Chief Pumpkin</v>
      </c>
      <c r="G4086" s="1" t="str">
        <f>LOOKUP(B4086, Maps!A:A, Maps!B:B)</f>
        <v>Pumpkin Grove</v>
      </c>
    </row>
    <row r="4087" ht="15.75" customHeight="1">
      <c r="A4087" s="1">
        <v>168.0</v>
      </c>
      <c r="B4087" s="1">
        <v>38.0</v>
      </c>
      <c r="C4087" s="1">
        <v>65.0</v>
      </c>
      <c r="D4087" s="1">
        <v>91.0</v>
      </c>
      <c r="F4087" s="1" t="str">
        <f>LOOKUP(A4087, NPCs!A:A, NPCs!C:C)</f>
        <v>Chief Pumpkin</v>
      </c>
      <c r="G4087" s="1" t="str">
        <f>LOOKUP(B4087, Maps!A:A, Maps!B:B)</f>
        <v>Pumpkin Grove</v>
      </c>
    </row>
    <row r="4088" ht="15.75" customHeight="1">
      <c r="A4088" s="1">
        <v>168.0</v>
      </c>
      <c r="B4088" s="1">
        <v>38.0</v>
      </c>
      <c r="C4088" s="1">
        <v>66.0</v>
      </c>
      <c r="D4088" s="1">
        <v>87.0</v>
      </c>
      <c r="F4088" s="1" t="str">
        <f>LOOKUP(A4088, NPCs!A:A, NPCs!C:C)</f>
        <v>Chief Pumpkin</v>
      </c>
      <c r="G4088" s="1" t="str">
        <f>LOOKUP(B4088, Maps!A:A, Maps!B:B)</f>
        <v>Pumpkin Grove</v>
      </c>
    </row>
    <row r="4089" ht="15.75" customHeight="1">
      <c r="A4089" s="1">
        <v>168.0</v>
      </c>
      <c r="B4089" s="1">
        <v>38.0</v>
      </c>
      <c r="C4089" s="1">
        <v>69.0</v>
      </c>
      <c r="D4089" s="1">
        <v>86.0</v>
      </c>
      <c r="F4089" s="1" t="str">
        <f>LOOKUP(A4089, NPCs!A:A, NPCs!C:C)</f>
        <v>Chief Pumpkin</v>
      </c>
      <c r="G4089" s="1" t="str">
        <f>LOOKUP(B4089, Maps!A:A, Maps!B:B)</f>
        <v>Pumpkin Grove</v>
      </c>
    </row>
    <row r="4090" ht="15.75" customHeight="1">
      <c r="A4090" s="1">
        <v>168.0</v>
      </c>
      <c r="B4090" s="1">
        <v>38.0</v>
      </c>
      <c r="C4090" s="1">
        <v>70.0</v>
      </c>
      <c r="D4090" s="1">
        <v>82.0</v>
      </c>
      <c r="F4090" s="1" t="str">
        <f>LOOKUP(A4090, NPCs!A:A, NPCs!C:C)</f>
        <v>Chief Pumpkin</v>
      </c>
      <c r="G4090" s="1" t="str">
        <f>LOOKUP(B4090, Maps!A:A, Maps!B:B)</f>
        <v>Pumpkin Grove</v>
      </c>
    </row>
    <row r="4091" ht="15.75" customHeight="1">
      <c r="A4091" s="1">
        <v>168.0</v>
      </c>
      <c r="B4091" s="1">
        <v>38.0</v>
      </c>
      <c r="C4091" s="1">
        <v>70.0</v>
      </c>
      <c r="D4091" s="1">
        <v>79.0</v>
      </c>
      <c r="F4091" s="1" t="str">
        <f>LOOKUP(A4091, NPCs!A:A, NPCs!C:C)</f>
        <v>Chief Pumpkin</v>
      </c>
      <c r="G4091" s="1" t="str">
        <f>LOOKUP(B4091, Maps!A:A, Maps!B:B)</f>
        <v>Pumpkin Grove</v>
      </c>
    </row>
    <row r="4092" ht="15.75" customHeight="1">
      <c r="A4092" s="1">
        <v>168.0</v>
      </c>
      <c r="B4092" s="1">
        <v>38.0</v>
      </c>
      <c r="C4092" s="1">
        <v>65.0</v>
      </c>
      <c r="D4092" s="1">
        <v>78.0</v>
      </c>
      <c r="F4092" s="1" t="str">
        <f>LOOKUP(A4092, NPCs!A:A, NPCs!C:C)</f>
        <v>Chief Pumpkin</v>
      </c>
      <c r="G4092" s="1" t="str">
        <f>LOOKUP(B4092, Maps!A:A, Maps!B:B)</f>
        <v>Pumpkin Grove</v>
      </c>
    </row>
    <row r="4093" ht="15.75" customHeight="1">
      <c r="A4093" s="1">
        <v>168.0</v>
      </c>
      <c r="B4093" s="1">
        <v>38.0</v>
      </c>
      <c r="C4093" s="1">
        <v>64.0</v>
      </c>
      <c r="D4093" s="1">
        <v>75.0</v>
      </c>
      <c r="F4093" s="1" t="str">
        <f>LOOKUP(A4093, NPCs!A:A, NPCs!C:C)</f>
        <v>Chief Pumpkin</v>
      </c>
      <c r="G4093" s="1" t="str">
        <f>LOOKUP(B4093, Maps!A:A, Maps!B:B)</f>
        <v>Pumpkin Grove</v>
      </c>
    </row>
    <row r="4094" ht="15.75" customHeight="1">
      <c r="A4094" s="1">
        <v>168.0</v>
      </c>
      <c r="B4094" s="1">
        <v>38.0</v>
      </c>
      <c r="C4094" s="1">
        <v>65.0</v>
      </c>
      <c r="D4094" s="1">
        <v>75.0</v>
      </c>
      <c r="F4094" s="1" t="str">
        <f>LOOKUP(A4094, NPCs!A:A, NPCs!C:C)</f>
        <v>Chief Pumpkin</v>
      </c>
      <c r="G4094" s="1" t="str">
        <f>LOOKUP(B4094, Maps!A:A, Maps!B:B)</f>
        <v>Pumpkin Grove</v>
      </c>
    </row>
    <row r="4095" ht="15.75" customHeight="1">
      <c r="A4095" s="1">
        <v>168.0</v>
      </c>
      <c r="B4095" s="1">
        <v>38.0</v>
      </c>
      <c r="C4095" s="1">
        <v>66.0</v>
      </c>
      <c r="D4095" s="1">
        <v>81.0</v>
      </c>
      <c r="F4095" s="1" t="str">
        <f>LOOKUP(A4095, NPCs!A:A, NPCs!C:C)</f>
        <v>Chief Pumpkin</v>
      </c>
      <c r="G4095" s="1" t="str">
        <f>LOOKUP(B4095, Maps!A:A, Maps!B:B)</f>
        <v>Pumpkin Grove</v>
      </c>
    </row>
    <row r="4096" ht="15.75" customHeight="1">
      <c r="A4096" s="1">
        <v>168.0</v>
      </c>
      <c r="B4096" s="1">
        <v>38.0</v>
      </c>
      <c r="C4096" s="1">
        <v>65.0</v>
      </c>
      <c r="D4096" s="1">
        <v>83.0</v>
      </c>
      <c r="F4096" s="1" t="str">
        <f>LOOKUP(A4096, NPCs!A:A, NPCs!C:C)</f>
        <v>Chief Pumpkin</v>
      </c>
      <c r="G4096" s="1" t="str">
        <f>LOOKUP(B4096, Maps!A:A, Maps!B:B)</f>
        <v>Pumpkin Grove</v>
      </c>
    </row>
    <row r="4097" ht="15.75" customHeight="1">
      <c r="A4097" s="1">
        <v>168.0</v>
      </c>
      <c r="B4097" s="1">
        <v>38.0</v>
      </c>
      <c r="C4097" s="1">
        <v>72.0</v>
      </c>
      <c r="D4097" s="1">
        <v>79.0</v>
      </c>
      <c r="F4097" s="1" t="str">
        <f>LOOKUP(A4097, NPCs!A:A, NPCs!C:C)</f>
        <v>Chief Pumpkin</v>
      </c>
      <c r="G4097" s="1" t="str">
        <f>LOOKUP(B4097, Maps!A:A, Maps!B:B)</f>
        <v>Pumpkin Grove</v>
      </c>
    </row>
    <row r="4098" ht="15.75" customHeight="1">
      <c r="A4098" s="1">
        <v>168.0</v>
      </c>
      <c r="B4098" s="1">
        <v>38.0</v>
      </c>
      <c r="C4098" s="1">
        <v>72.0</v>
      </c>
      <c r="D4098" s="1">
        <v>76.0</v>
      </c>
      <c r="F4098" s="1" t="str">
        <f>LOOKUP(A4098, NPCs!A:A, NPCs!C:C)</f>
        <v>Chief Pumpkin</v>
      </c>
      <c r="G4098" s="1" t="str">
        <f>LOOKUP(B4098, Maps!A:A, Maps!B:B)</f>
        <v>Pumpkin Grove</v>
      </c>
    </row>
    <row r="4099" ht="15.75" customHeight="1">
      <c r="A4099" s="1">
        <v>168.0</v>
      </c>
      <c r="B4099" s="1">
        <v>38.0</v>
      </c>
      <c r="C4099" s="1">
        <v>60.0</v>
      </c>
      <c r="D4099" s="1">
        <v>96.0</v>
      </c>
      <c r="F4099" s="1" t="str">
        <f>LOOKUP(A4099, NPCs!A:A, NPCs!C:C)</f>
        <v>Chief Pumpkin</v>
      </c>
      <c r="G4099" s="1" t="str">
        <f>LOOKUP(B4099, Maps!A:A, Maps!B:B)</f>
        <v>Pumpkin Grove</v>
      </c>
    </row>
    <row r="4100" ht="15.75" customHeight="1">
      <c r="A4100" s="1">
        <v>168.0</v>
      </c>
      <c r="B4100" s="1">
        <v>38.0</v>
      </c>
      <c r="C4100" s="1">
        <v>61.0</v>
      </c>
      <c r="D4100" s="1">
        <v>91.0</v>
      </c>
      <c r="F4100" s="1" t="str">
        <f>LOOKUP(A4100, NPCs!A:A, NPCs!C:C)</f>
        <v>Chief Pumpkin</v>
      </c>
      <c r="G4100" s="1" t="str">
        <f>LOOKUP(B4100, Maps!A:A, Maps!B:B)</f>
        <v>Pumpkin Grove</v>
      </c>
    </row>
    <row r="4101" ht="15.75" customHeight="1">
      <c r="A4101" s="1">
        <v>168.0</v>
      </c>
      <c r="B4101" s="1">
        <v>38.0</v>
      </c>
      <c r="C4101" s="1">
        <v>58.0</v>
      </c>
      <c r="D4101" s="1">
        <v>88.0</v>
      </c>
      <c r="F4101" s="1" t="str">
        <f>LOOKUP(A4101, NPCs!A:A, NPCs!C:C)</f>
        <v>Chief Pumpkin</v>
      </c>
      <c r="G4101" s="1" t="str">
        <f>LOOKUP(B4101, Maps!A:A, Maps!B:B)</f>
        <v>Pumpkin Grove</v>
      </c>
    </row>
    <row r="4102" ht="15.75" customHeight="1">
      <c r="A4102" s="1">
        <v>168.0</v>
      </c>
      <c r="B4102" s="1">
        <v>38.0</v>
      </c>
      <c r="C4102" s="1">
        <v>55.0</v>
      </c>
      <c r="D4102" s="1">
        <v>86.0</v>
      </c>
      <c r="F4102" s="1" t="str">
        <f>LOOKUP(A4102, NPCs!A:A, NPCs!C:C)</f>
        <v>Chief Pumpkin</v>
      </c>
      <c r="G4102" s="1" t="str">
        <f>LOOKUP(B4102, Maps!A:A, Maps!B:B)</f>
        <v>Pumpkin Grove</v>
      </c>
    </row>
    <row r="4103" ht="15.75" customHeight="1">
      <c r="A4103" s="1">
        <v>168.0</v>
      </c>
      <c r="B4103" s="1">
        <v>38.0</v>
      </c>
      <c r="C4103" s="1">
        <v>60.0</v>
      </c>
      <c r="D4103" s="1">
        <v>83.0</v>
      </c>
      <c r="F4103" s="1" t="str">
        <f>LOOKUP(A4103, NPCs!A:A, NPCs!C:C)</f>
        <v>Chief Pumpkin</v>
      </c>
      <c r="G4103" s="1" t="str">
        <f>LOOKUP(B4103, Maps!A:A, Maps!B:B)</f>
        <v>Pumpkin Grove</v>
      </c>
    </row>
    <row r="4104" ht="15.75" customHeight="1">
      <c r="A4104" s="1">
        <v>168.0</v>
      </c>
      <c r="B4104" s="1">
        <v>38.0</v>
      </c>
      <c r="C4104" s="1">
        <v>60.0</v>
      </c>
      <c r="D4104" s="1">
        <v>79.0</v>
      </c>
      <c r="F4104" s="1" t="str">
        <f>LOOKUP(A4104, NPCs!A:A, NPCs!C:C)</f>
        <v>Chief Pumpkin</v>
      </c>
      <c r="G4104" s="1" t="str">
        <f>LOOKUP(B4104, Maps!A:A, Maps!B:B)</f>
        <v>Pumpkin Grove</v>
      </c>
    </row>
    <row r="4105" ht="15.75" customHeight="1">
      <c r="A4105" s="1">
        <v>168.0</v>
      </c>
      <c r="B4105" s="1">
        <v>38.0</v>
      </c>
      <c r="C4105" s="1">
        <v>58.0</v>
      </c>
      <c r="D4105" s="1">
        <v>76.0</v>
      </c>
      <c r="F4105" s="1" t="str">
        <f>LOOKUP(A4105, NPCs!A:A, NPCs!C:C)</f>
        <v>Chief Pumpkin</v>
      </c>
      <c r="G4105" s="1" t="str">
        <f>LOOKUP(B4105, Maps!A:A, Maps!B:B)</f>
        <v>Pumpkin Grove</v>
      </c>
    </row>
    <row r="4106" ht="15.75" customHeight="1">
      <c r="A4106" s="1">
        <v>168.0</v>
      </c>
      <c r="B4106" s="1">
        <v>38.0</v>
      </c>
      <c r="C4106" s="1">
        <v>61.0</v>
      </c>
      <c r="D4106" s="1">
        <v>71.0</v>
      </c>
      <c r="F4106" s="1" t="str">
        <f>LOOKUP(A4106, NPCs!A:A, NPCs!C:C)</f>
        <v>Chief Pumpkin</v>
      </c>
      <c r="G4106" s="1" t="str">
        <f>LOOKUP(B4106, Maps!A:A, Maps!B:B)</f>
        <v>Pumpkin Grove</v>
      </c>
    </row>
    <row r="4107" ht="15.75" customHeight="1">
      <c r="A4107" s="1">
        <v>168.0</v>
      </c>
      <c r="B4107" s="1">
        <v>38.0</v>
      </c>
      <c r="C4107" s="1">
        <v>53.0</v>
      </c>
      <c r="D4107" s="1">
        <v>73.0</v>
      </c>
      <c r="F4107" s="1" t="str">
        <f>LOOKUP(A4107, NPCs!A:A, NPCs!C:C)</f>
        <v>Chief Pumpkin</v>
      </c>
      <c r="G4107" s="1" t="str">
        <f>LOOKUP(B4107, Maps!A:A, Maps!B:B)</f>
        <v>Pumpkin Grove</v>
      </c>
    </row>
    <row r="4108" ht="15.75" customHeight="1">
      <c r="A4108" s="1">
        <v>168.0</v>
      </c>
      <c r="B4108" s="1">
        <v>38.0</v>
      </c>
      <c r="C4108" s="1">
        <v>50.0</v>
      </c>
      <c r="D4108" s="1">
        <v>71.0</v>
      </c>
      <c r="F4108" s="1" t="str">
        <f>LOOKUP(A4108, NPCs!A:A, NPCs!C:C)</f>
        <v>Chief Pumpkin</v>
      </c>
      <c r="G4108" s="1" t="str">
        <f>LOOKUP(B4108, Maps!A:A, Maps!B:B)</f>
        <v>Pumpkin Grove</v>
      </c>
    </row>
    <row r="4109" ht="15.75" customHeight="1">
      <c r="A4109" s="1">
        <v>168.0</v>
      </c>
      <c r="B4109" s="1">
        <v>38.0</v>
      </c>
      <c r="C4109" s="1">
        <v>51.0</v>
      </c>
      <c r="D4109" s="1">
        <v>76.0</v>
      </c>
      <c r="F4109" s="1" t="str">
        <f>LOOKUP(A4109, NPCs!A:A, NPCs!C:C)</f>
        <v>Chief Pumpkin</v>
      </c>
      <c r="G4109" s="1" t="str">
        <f>LOOKUP(B4109, Maps!A:A, Maps!B:B)</f>
        <v>Pumpkin Grove</v>
      </c>
    </row>
    <row r="4110" ht="15.75" customHeight="1">
      <c r="A4110" s="1">
        <v>168.0</v>
      </c>
      <c r="B4110" s="1">
        <v>38.0</v>
      </c>
      <c r="C4110" s="1">
        <v>52.0</v>
      </c>
      <c r="D4110" s="1">
        <v>81.0</v>
      </c>
      <c r="F4110" s="1" t="str">
        <f>LOOKUP(A4110, NPCs!A:A, NPCs!C:C)</f>
        <v>Chief Pumpkin</v>
      </c>
      <c r="G4110" s="1" t="str">
        <f>LOOKUP(B4110, Maps!A:A, Maps!B:B)</f>
        <v>Pumpkin Grove</v>
      </c>
    </row>
    <row r="4111" ht="15.75" customHeight="1">
      <c r="A4111" s="1">
        <v>168.0</v>
      </c>
      <c r="B4111" s="1">
        <v>38.0</v>
      </c>
      <c r="C4111" s="1">
        <v>49.0</v>
      </c>
      <c r="D4111" s="1">
        <v>84.0</v>
      </c>
      <c r="F4111" s="1" t="str">
        <f>LOOKUP(A4111, NPCs!A:A, NPCs!C:C)</f>
        <v>Chief Pumpkin</v>
      </c>
      <c r="G4111" s="1" t="str">
        <f>LOOKUP(B4111, Maps!A:A, Maps!B:B)</f>
        <v>Pumpkin Grove</v>
      </c>
    </row>
    <row r="4112" ht="15.75" customHeight="1">
      <c r="A4112" s="1">
        <v>168.0</v>
      </c>
      <c r="B4112" s="1">
        <v>38.0</v>
      </c>
      <c r="C4112" s="1">
        <v>51.0</v>
      </c>
      <c r="D4112" s="1">
        <v>85.0</v>
      </c>
      <c r="F4112" s="1" t="str">
        <f>LOOKUP(A4112, NPCs!A:A, NPCs!C:C)</f>
        <v>Chief Pumpkin</v>
      </c>
      <c r="G4112" s="1" t="str">
        <f>LOOKUP(B4112, Maps!A:A, Maps!B:B)</f>
        <v>Pumpkin Grove</v>
      </c>
    </row>
    <row r="4113" ht="15.75" customHeight="1">
      <c r="A4113" s="1">
        <v>168.0</v>
      </c>
      <c r="B4113" s="1">
        <v>38.0</v>
      </c>
      <c r="C4113" s="1">
        <v>49.0</v>
      </c>
      <c r="D4113" s="1">
        <v>90.0</v>
      </c>
      <c r="F4113" s="1" t="str">
        <f>LOOKUP(A4113, NPCs!A:A, NPCs!C:C)</f>
        <v>Chief Pumpkin</v>
      </c>
      <c r="G4113" s="1" t="str">
        <f>LOOKUP(B4113, Maps!A:A, Maps!B:B)</f>
        <v>Pumpkin Grove</v>
      </c>
    </row>
    <row r="4114" ht="15.75" customHeight="1">
      <c r="A4114" s="1">
        <v>168.0</v>
      </c>
      <c r="B4114" s="1">
        <v>38.0</v>
      </c>
      <c r="C4114" s="1">
        <v>54.0</v>
      </c>
      <c r="D4114" s="1">
        <v>92.0</v>
      </c>
      <c r="F4114" s="1" t="str">
        <f>LOOKUP(A4114, NPCs!A:A, NPCs!C:C)</f>
        <v>Chief Pumpkin</v>
      </c>
      <c r="G4114" s="1" t="str">
        <f>LOOKUP(B4114, Maps!A:A, Maps!B:B)</f>
        <v>Pumpkin Grove</v>
      </c>
    </row>
    <row r="4115" ht="15.75" customHeight="1">
      <c r="A4115" s="1">
        <v>168.0</v>
      </c>
      <c r="B4115" s="1">
        <v>38.0</v>
      </c>
      <c r="C4115" s="1">
        <v>52.0</v>
      </c>
      <c r="D4115" s="1">
        <v>97.0</v>
      </c>
      <c r="F4115" s="1" t="str">
        <f>LOOKUP(A4115, NPCs!A:A, NPCs!C:C)</f>
        <v>Chief Pumpkin</v>
      </c>
      <c r="G4115" s="1" t="str">
        <f>LOOKUP(B4115, Maps!A:A, Maps!B:B)</f>
        <v>Pumpkin Grove</v>
      </c>
    </row>
    <row r="4116" ht="15.75" customHeight="1">
      <c r="A4116" s="1">
        <v>168.0</v>
      </c>
      <c r="B4116" s="1">
        <v>38.0</v>
      </c>
      <c r="C4116" s="1">
        <v>47.0</v>
      </c>
      <c r="D4116" s="1">
        <v>96.0</v>
      </c>
      <c r="F4116" s="1" t="str">
        <f>LOOKUP(A4116, NPCs!A:A, NPCs!C:C)</f>
        <v>Chief Pumpkin</v>
      </c>
      <c r="G4116" s="1" t="str">
        <f>LOOKUP(B4116, Maps!A:A, Maps!B:B)</f>
        <v>Pumpkin Grove</v>
      </c>
    </row>
    <row r="4117" ht="15.75" customHeight="1">
      <c r="A4117" s="1">
        <v>168.0</v>
      </c>
      <c r="B4117" s="1">
        <v>38.0</v>
      </c>
      <c r="C4117" s="1">
        <v>44.0</v>
      </c>
      <c r="D4117" s="1">
        <v>96.0</v>
      </c>
      <c r="F4117" s="1" t="str">
        <f>LOOKUP(A4117, NPCs!A:A, NPCs!C:C)</f>
        <v>Chief Pumpkin</v>
      </c>
      <c r="G4117" s="1" t="str">
        <f>LOOKUP(B4117, Maps!A:A, Maps!B:B)</f>
        <v>Pumpkin Grove</v>
      </c>
    </row>
    <row r="4118" ht="15.75" customHeight="1">
      <c r="A4118" s="1">
        <v>168.0</v>
      </c>
      <c r="B4118" s="1">
        <v>38.0</v>
      </c>
      <c r="C4118" s="1">
        <v>45.0</v>
      </c>
      <c r="D4118" s="1">
        <v>92.0</v>
      </c>
      <c r="F4118" s="1" t="str">
        <f>LOOKUP(A4118, NPCs!A:A, NPCs!C:C)</f>
        <v>Chief Pumpkin</v>
      </c>
      <c r="G4118" s="1" t="str">
        <f>LOOKUP(B4118, Maps!A:A, Maps!B:B)</f>
        <v>Pumpkin Grove</v>
      </c>
    </row>
    <row r="4119" ht="15.75" customHeight="1">
      <c r="A4119" s="1">
        <v>168.0</v>
      </c>
      <c r="B4119" s="1">
        <v>38.0</v>
      </c>
      <c r="C4119" s="1">
        <v>45.0</v>
      </c>
      <c r="D4119" s="1">
        <v>88.0</v>
      </c>
      <c r="F4119" s="1" t="str">
        <f>LOOKUP(A4119, NPCs!A:A, NPCs!C:C)</f>
        <v>Chief Pumpkin</v>
      </c>
      <c r="G4119" s="1" t="str">
        <f>LOOKUP(B4119, Maps!A:A, Maps!B:B)</f>
        <v>Pumpkin Grove</v>
      </c>
    </row>
    <row r="4120" ht="15.75" customHeight="1">
      <c r="A4120" s="1">
        <v>168.0</v>
      </c>
      <c r="B4120" s="1">
        <v>38.0</v>
      </c>
      <c r="C4120" s="1">
        <v>44.0</v>
      </c>
      <c r="D4120" s="1">
        <v>84.0</v>
      </c>
      <c r="F4120" s="1" t="str">
        <f>LOOKUP(A4120, NPCs!A:A, NPCs!C:C)</f>
        <v>Chief Pumpkin</v>
      </c>
      <c r="G4120" s="1" t="str">
        <f>LOOKUP(B4120, Maps!A:A, Maps!B:B)</f>
        <v>Pumpkin Grove</v>
      </c>
    </row>
    <row r="4121" ht="15.75" customHeight="1">
      <c r="A4121" s="1">
        <v>168.0</v>
      </c>
      <c r="B4121" s="1">
        <v>38.0</v>
      </c>
      <c r="C4121" s="1">
        <v>46.0</v>
      </c>
      <c r="D4121" s="1">
        <v>81.0</v>
      </c>
      <c r="F4121" s="1" t="str">
        <f>LOOKUP(A4121, NPCs!A:A, NPCs!C:C)</f>
        <v>Chief Pumpkin</v>
      </c>
      <c r="G4121" s="1" t="str">
        <f>LOOKUP(B4121, Maps!A:A, Maps!B:B)</f>
        <v>Pumpkin Grove</v>
      </c>
    </row>
    <row r="4122" ht="15.75" customHeight="1">
      <c r="A4122" s="1">
        <v>168.0</v>
      </c>
      <c r="B4122" s="1">
        <v>38.0</v>
      </c>
      <c r="C4122" s="1">
        <v>45.0</v>
      </c>
      <c r="D4122" s="1">
        <v>77.0</v>
      </c>
      <c r="F4122" s="1" t="str">
        <f>LOOKUP(A4122, NPCs!A:A, NPCs!C:C)</f>
        <v>Chief Pumpkin</v>
      </c>
      <c r="G4122" s="1" t="str">
        <f>LOOKUP(B4122, Maps!A:A, Maps!B:B)</f>
        <v>Pumpkin Grove</v>
      </c>
    </row>
    <row r="4123" ht="15.75" customHeight="1">
      <c r="A4123" s="1">
        <v>168.0</v>
      </c>
      <c r="B4123" s="1">
        <v>38.0</v>
      </c>
      <c r="C4123" s="1">
        <v>46.0</v>
      </c>
      <c r="D4123" s="1">
        <v>74.0</v>
      </c>
      <c r="F4123" s="1" t="str">
        <f>LOOKUP(A4123, NPCs!A:A, NPCs!C:C)</f>
        <v>Chief Pumpkin</v>
      </c>
      <c r="G4123" s="1" t="str">
        <f>LOOKUP(B4123, Maps!A:A, Maps!B:B)</f>
        <v>Pumpkin Grove</v>
      </c>
    </row>
    <row r="4124" ht="15.75" customHeight="1">
      <c r="A4124" s="1">
        <v>168.0</v>
      </c>
      <c r="B4124" s="1">
        <v>38.0</v>
      </c>
      <c r="C4124" s="1">
        <v>43.0</v>
      </c>
      <c r="D4124" s="1">
        <v>71.0</v>
      </c>
      <c r="F4124" s="1" t="str">
        <f>LOOKUP(A4124, NPCs!A:A, NPCs!C:C)</f>
        <v>Chief Pumpkin</v>
      </c>
      <c r="G4124" s="1" t="str">
        <f>LOOKUP(B4124, Maps!A:A, Maps!B:B)</f>
        <v>Pumpkin Grove</v>
      </c>
    </row>
    <row r="4125" ht="15.75" customHeight="1">
      <c r="A4125" s="1">
        <v>168.0</v>
      </c>
      <c r="B4125" s="1">
        <v>38.0</v>
      </c>
      <c r="C4125" s="1">
        <v>40.0</v>
      </c>
      <c r="D4125" s="1">
        <v>75.0</v>
      </c>
      <c r="F4125" s="1" t="str">
        <f>LOOKUP(A4125, NPCs!A:A, NPCs!C:C)</f>
        <v>Chief Pumpkin</v>
      </c>
      <c r="G4125" s="1" t="str">
        <f>LOOKUP(B4125, Maps!A:A, Maps!B:B)</f>
        <v>Pumpkin Grove</v>
      </c>
    </row>
    <row r="4126" ht="15.75" customHeight="1">
      <c r="A4126" s="1">
        <v>168.0</v>
      </c>
      <c r="B4126" s="1">
        <v>38.0</v>
      </c>
      <c r="C4126" s="1">
        <v>37.0</v>
      </c>
      <c r="D4126" s="1">
        <v>72.0</v>
      </c>
      <c r="F4126" s="1" t="str">
        <f>LOOKUP(A4126, NPCs!A:A, NPCs!C:C)</f>
        <v>Chief Pumpkin</v>
      </c>
      <c r="G4126" s="1" t="str">
        <f>LOOKUP(B4126, Maps!A:A, Maps!B:B)</f>
        <v>Pumpkin Grove</v>
      </c>
    </row>
    <row r="4127" ht="15.75" customHeight="1">
      <c r="A4127" s="1">
        <v>168.0</v>
      </c>
      <c r="B4127" s="1">
        <v>38.0</v>
      </c>
      <c r="C4127" s="1">
        <v>39.0</v>
      </c>
      <c r="D4127" s="1">
        <v>77.0</v>
      </c>
      <c r="F4127" s="1" t="str">
        <f>LOOKUP(A4127, NPCs!A:A, NPCs!C:C)</f>
        <v>Chief Pumpkin</v>
      </c>
      <c r="G4127" s="1" t="str">
        <f>LOOKUP(B4127, Maps!A:A, Maps!B:B)</f>
        <v>Pumpkin Grove</v>
      </c>
    </row>
    <row r="4128" ht="15.75" customHeight="1">
      <c r="A4128" s="1">
        <v>168.0</v>
      </c>
      <c r="B4128" s="1">
        <v>38.0</v>
      </c>
      <c r="C4128" s="1">
        <v>41.0</v>
      </c>
      <c r="D4128" s="1">
        <v>82.0</v>
      </c>
      <c r="F4128" s="1" t="str">
        <f>LOOKUP(A4128, NPCs!A:A, NPCs!C:C)</f>
        <v>Chief Pumpkin</v>
      </c>
      <c r="G4128" s="1" t="str">
        <f>LOOKUP(B4128, Maps!A:A, Maps!B:B)</f>
        <v>Pumpkin Grove</v>
      </c>
    </row>
    <row r="4129" ht="15.75" customHeight="1">
      <c r="A4129" s="1">
        <v>168.0</v>
      </c>
      <c r="B4129" s="1">
        <v>38.0</v>
      </c>
      <c r="C4129" s="1">
        <v>37.0</v>
      </c>
      <c r="D4129" s="1">
        <v>84.0</v>
      </c>
      <c r="F4129" s="1" t="str">
        <f>LOOKUP(A4129, NPCs!A:A, NPCs!C:C)</f>
        <v>Chief Pumpkin</v>
      </c>
      <c r="G4129" s="1" t="str">
        <f>LOOKUP(B4129, Maps!A:A, Maps!B:B)</f>
        <v>Pumpkin Grove</v>
      </c>
    </row>
    <row r="4130" ht="15.75" customHeight="1">
      <c r="A4130" s="1">
        <v>168.0</v>
      </c>
      <c r="B4130" s="1">
        <v>38.0</v>
      </c>
      <c r="C4130" s="1">
        <v>39.0</v>
      </c>
      <c r="D4130" s="1">
        <v>87.0</v>
      </c>
      <c r="F4130" s="1" t="str">
        <f>LOOKUP(A4130, NPCs!A:A, NPCs!C:C)</f>
        <v>Chief Pumpkin</v>
      </c>
      <c r="G4130" s="1" t="str">
        <f>LOOKUP(B4130, Maps!A:A, Maps!B:B)</f>
        <v>Pumpkin Grove</v>
      </c>
    </row>
    <row r="4131" ht="15.75" customHeight="1">
      <c r="A4131" s="1">
        <v>168.0</v>
      </c>
      <c r="B4131" s="1">
        <v>38.0</v>
      </c>
      <c r="C4131" s="1">
        <v>41.0</v>
      </c>
      <c r="D4131" s="1">
        <v>89.0</v>
      </c>
      <c r="F4131" s="1" t="str">
        <f>LOOKUP(A4131, NPCs!A:A, NPCs!C:C)</f>
        <v>Chief Pumpkin</v>
      </c>
      <c r="G4131" s="1" t="str">
        <f>LOOKUP(B4131, Maps!A:A, Maps!B:B)</f>
        <v>Pumpkin Grove</v>
      </c>
    </row>
    <row r="4132" ht="15.75" customHeight="1">
      <c r="A4132" s="1">
        <v>168.0</v>
      </c>
      <c r="B4132" s="1">
        <v>38.0</v>
      </c>
      <c r="C4132" s="1">
        <v>41.0</v>
      </c>
      <c r="D4132" s="1">
        <v>96.0</v>
      </c>
      <c r="F4132" s="1" t="str">
        <f>LOOKUP(A4132, NPCs!A:A, NPCs!C:C)</f>
        <v>Chief Pumpkin</v>
      </c>
      <c r="G4132" s="1" t="str">
        <f>LOOKUP(B4132, Maps!A:A, Maps!B:B)</f>
        <v>Pumpkin Grove</v>
      </c>
    </row>
    <row r="4133" ht="15.75" customHeight="1">
      <c r="A4133" s="1">
        <v>168.0</v>
      </c>
      <c r="B4133" s="1">
        <v>38.0</v>
      </c>
      <c r="C4133" s="1">
        <v>37.0</v>
      </c>
      <c r="D4133" s="1">
        <v>94.0</v>
      </c>
      <c r="F4133" s="1" t="str">
        <f>LOOKUP(A4133, NPCs!A:A, NPCs!C:C)</f>
        <v>Chief Pumpkin</v>
      </c>
      <c r="G4133" s="1" t="str">
        <f>LOOKUP(B4133, Maps!A:A, Maps!B:B)</f>
        <v>Pumpkin Grove</v>
      </c>
    </row>
    <row r="4134" ht="15.75" customHeight="1">
      <c r="A4134" s="1">
        <v>168.0</v>
      </c>
      <c r="B4134" s="1">
        <v>38.0</v>
      </c>
      <c r="C4134" s="1">
        <v>32.0</v>
      </c>
      <c r="D4134" s="1">
        <v>93.0</v>
      </c>
      <c r="F4134" s="1" t="str">
        <f>LOOKUP(A4134, NPCs!A:A, NPCs!C:C)</f>
        <v>Chief Pumpkin</v>
      </c>
      <c r="G4134" s="1" t="str">
        <f>LOOKUP(B4134, Maps!A:A, Maps!B:B)</f>
        <v>Pumpkin Grove</v>
      </c>
    </row>
    <row r="4135" ht="15.75" customHeight="1">
      <c r="A4135" s="1">
        <v>168.0</v>
      </c>
      <c r="B4135" s="1">
        <v>38.0</v>
      </c>
      <c r="C4135" s="1">
        <v>34.0</v>
      </c>
      <c r="D4135" s="1">
        <v>96.0</v>
      </c>
      <c r="F4135" s="1" t="str">
        <f>LOOKUP(A4135, NPCs!A:A, NPCs!C:C)</f>
        <v>Chief Pumpkin</v>
      </c>
      <c r="G4135" s="1" t="str">
        <f>LOOKUP(B4135, Maps!A:A, Maps!B:B)</f>
        <v>Pumpkin Grove</v>
      </c>
    </row>
    <row r="4136" ht="15.75" customHeight="1">
      <c r="A4136" s="1">
        <v>168.0</v>
      </c>
      <c r="B4136" s="1">
        <v>38.0</v>
      </c>
      <c r="C4136" s="1">
        <v>33.0</v>
      </c>
      <c r="D4136" s="1">
        <v>90.0</v>
      </c>
      <c r="F4136" s="1" t="str">
        <f>LOOKUP(A4136, NPCs!A:A, NPCs!C:C)</f>
        <v>Chief Pumpkin</v>
      </c>
      <c r="G4136" s="1" t="str">
        <f>LOOKUP(B4136, Maps!A:A, Maps!B:B)</f>
        <v>Pumpkin Grove</v>
      </c>
    </row>
    <row r="4137" ht="15.75" customHeight="1">
      <c r="A4137" s="1">
        <v>168.0</v>
      </c>
      <c r="B4137" s="1">
        <v>38.0</v>
      </c>
      <c r="C4137" s="1">
        <v>31.0</v>
      </c>
      <c r="D4137" s="1">
        <v>86.0</v>
      </c>
      <c r="F4137" s="1" t="str">
        <f>LOOKUP(A4137, NPCs!A:A, NPCs!C:C)</f>
        <v>Chief Pumpkin</v>
      </c>
      <c r="G4137" s="1" t="str">
        <f>LOOKUP(B4137, Maps!A:A, Maps!B:B)</f>
        <v>Pumpkin Grove</v>
      </c>
    </row>
    <row r="4138" ht="15.75" customHeight="1">
      <c r="A4138" s="1">
        <v>168.0</v>
      </c>
      <c r="B4138" s="1">
        <v>38.0</v>
      </c>
      <c r="C4138" s="1">
        <v>31.0</v>
      </c>
      <c r="D4138" s="1">
        <v>83.0</v>
      </c>
      <c r="F4138" s="1" t="str">
        <f>LOOKUP(A4138, NPCs!A:A, NPCs!C:C)</f>
        <v>Chief Pumpkin</v>
      </c>
      <c r="G4138" s="1" t="str">
        <f>LOOKUP(B4138, Maps!A:A, Maps!B:B)</f>
        <v>Pumpkin Grove</v>
      </c>
    </row>
    <row r="4139" ht="15.75" customHeight="1">
      <c r="A4139" s="1">
        <v>168.0</v>
      </c>
      <c r="B4139" s="1">
        <v>38.0</v>
      </c>
      <c r="C4139" s="1">
        <v>31.0</v>
      </c>
      <c r="D4139" s="1">
        <v>80.0</v>
      </c>
      <c r="F4139" s="1" t="str">
        <f>LOOKUP(A4139, NPCs!A:A, NPCs!C:C)</f>
        <v>Chief Pumpkin</v>
      </c>
      <c r="G4139" s="1" t="str">
        <f>LOOKUP(B4139, Maps!A:A, Maps!B:B)</f>
        <v>Pumpkin Grove</v>
      </c>
    </row>
    <row r="4140" ht="15.75" customHeight="1">
      <c r="A4140" s="1">
        <v>168.0</v>
      </c>
      <c r="B4140" s="1">
        <v>38.0</v>
      </c>
      <c r="C4140" s="1">
        <v>31.0</v>
      </c>
      <c r="D4140" s="1">
        <v>75.0</v>
      </c>
      <c r="F4140" s="1" t="str">
        <f>LOOKUP(A4140, NPCs!A:A, NPCs!C:C)</f>
        <v>Chief Pumpkin</v>
      </c>
      <c r="G4140" s="1" t="str">
        <f>LOOKUP(B4140, Maps!A:A, Maps!B:B)</f>
        <v>Pumpkin Grove</v>
      </c>
    </row>
    <row r="4141" ht="15.75" customHeight="1">
      <c r="A4141" s="1">
        <v>168.0</v>
      </c>
      <c r="B4141" s="1">
        <v>38.0</v>
      </c>
      <c r="C4141" s="1">
        <v>31.0</v>
      </c>
      <c r="D4141" s="1">
        <v>72.0</v>
      </c>
      <c r="F4141" s="1" t="str">
        <f>LOOKUP(A4141, NPCs!A:A, NPCs!C:C)</f>
        <v>Chief Pumpkin</v>
      </c>
      <c r="G4141" s="1" t="str">
        <f>LOOKUP(B4141, Maps!A:A, Maps!B:B)</f>
        <v>Pumpkin Grove</v>
      </c>
    </row>
    <row r="4142" ht="15.75" customHeight="1">
      <c r="A4142" s="1">
        <v>168.0</v>
      </c>
      <c r="B4142" s="1">
        <v>38.0</v>
      </c>
      <c r="C4142" s="1">
        <v>31.0</v>
      </c>
      <c r="D4142" s="1">
        <v>64.0</v>
      </c>
      <c r="F4142" s="1" t="str">
        <f>LOOKUP(A4142, NPCs!A:A, NPCs!C:C)</f>
        <v>Chief Pumpkin</v>
      </c>
      <c r="G4142" s="1" t="str">
        <f>LOOKUP(B4142, Maps!A:A, Maps!B:B)</f>
        <v>Pumpkin Grove</v>
      </c>
    </row>
    <row r="4143" ht="15.75" customHeight="1">
      <c r="A4143" s="1">
        <v>168.0</v>
      </c>
      <c r="B4143" s="1">
        <v>38.0</v>
      </c>
      <c r="C4143" s="1">
        <v>33.0</v>
      </c>
      <c r="D4143" s="1">
        <v>62.0</v>
      </c>
      <c r="F4143" s="1" t="str">
        <f>LOOKUP(A4143, NPCs!A:A, NPCs!C:C)</f>
        <v>Chief Pumpkin</v>
      </c>
      <c r="G4143" s="1" t="str">
        <f>LOOKUP(B4143, Maps!A:A, Maps!B:B)</f>
        <v>Pumpkin Grove</v>
      </c>
    </row>
    <row r="4144" ht="15.75" customHeight="1">
      <c r="A4144" s="1">
        <v>168.0</v>
      </c>
      <c r="B4144" s="1">
        <v>38.0</v>
      </c>
      <c r="C4144" s="1">
        <v>34.0</v>
      </c>
      <c r="D4144" s="1">
        <v>67.0</v>
      </c>
      <c r="F4144" s="1" t="str">
        <f>LOOKUP(A4144, NPCs!A:A, NPCs!C:C)</f>
        <v>Chief Pumpkin</v>
      </c>
      <c r="G4144" s="1" t="str">
        <f>LOOKUP(B4144, Maps!A:A, Maps!B:B)</f>
        <v>Pumpkin Grove</v>
      </c>
    </row>
    <row r="4145" ht="15.75" customHeight="1">
      <c r="A4145" s="1">
        <v>168.0</v>
      </c>
      <c r="B4145" s="1">
        <v>38.0</v>
      </c>
      <c r="C4145" s="1">
        <v>31.0</v>
      </c>
      <c r="D4145" s="1">
        <v>68.0</v>
      </c>
      <c r="F4145" s="1" t="str">
        <f>LOOKUP(A4145, NPCs!A:A, NPCs!C:C)</f>
        <v>Chief Pumpkin</v>
      </c>
      <c r="G4145" s="1" t="str">
        <f>LOOKUP(B4145, Maps!A:A, Maps!B:B)</f>
        <v>Pumpkin Grove</v>
      </c>
    </row>
    <row r="4146" ht="15.75" customHeight="1">
      <c r="A4146" s="1">
        <v>168.0</v>
      </c>
      <c r="B4146" s="1">
        <v>38.0</v>
      </c>
      <c r="C4146" s="1">
        <v>34.0</v>
      </c>
      <c r="D4146" s="1">
        <v>87.0</v>
      </c>
      <c r="F4146" s="1" t="str">
        <f>LOOKUP(A4146, NPCs!A:A, NPCs!C:C)</f>
        <v>Chief Pumpkin</v>
      </c>
      <c r="G4146" s="1" t="str">
        <f>LOOKUP(B4146, Maps!A:A, Maps!B:B)</f>
        <v>Pumpkin Grove</v>
      </c>
    </row>
    <row r="4147" ht="15.75" customHeight="1">
      <c r="A4147" s="1">
        <v>168.0</v>
      </c>
      <c r="B4147" s="1">
        <v>38.0</v>
      </c>
      <c r="C4147" s="1">
        <v>33.0</v>
      </c>
      <c r="D4147" s="1">
        <v>83.0</v>
      </c>
      <c r="F4147" s="1" t="str">
        <f>LOOKUP(A4147, NPCs!A:A, NPCs!C:C)</f>
        <v>Chief Pumpkin</v>
      </c>
      <c r="G4147" s="1" t="str">
        <f>LOOKUP(B4147, Maps!A:A, Maps!B:B)</f>
        <v>Pumpkin Grove</v>
      </c>
    </row>
    <row r="4148" ht="15.75" customHeight="1">
      <c r="A4148" s="1">
        <v>168.0</v>
      </c>
      <c r="B4148" s="1">
        <v>38.0</v>
      </c>
      <c r="C4148" s="1">
        <v>29.0</v>
      </c>
      <c r="D4148" s="1">
        <v>90.0</v>
      </c>
      <c r="F4148" s="1" t="str">
        <f>LOOKUP(A4148, NPCs!A:A, NPCs!C:C)</f>
        <v>Chief Pumpkin</v>
      </c>
      <c r="G4148" s="1" t="str">
        <f>LOOKUP(B4148, Maps!A:A, Maps!B:B)</f>
        <v>Pumpkin Grove</v>
      </c>
    </row>
    <row r="4149" ht="15.75" customHeight="1">
      <c r="A4149" s="1">
        <v>168.0</v>
      </c>
      <c r="B4149" s="1">
        <v>38.0</v>
      </c>
      <c r="C4149" s="1">
        <v>24.0</v>
      </c>
      <c r="D4149" s="1">
        <v>90.0</v>
      </c>
      <c r="F4149" s="1" t="str">
        <f>LOOKUP(A4149, NPCs!A:A, NPCs!C:C)</f>
        <v>Chief Pumpkin</v>
      </c>
      <c r="G4149" s="1" t="str">
        <f>LOOKUP(B4149, Maps!A:A, Maps!B:B)</f>
        <v>Pumpkin Grove</v>
      </c>
    </row>
    <row r="4150" ht="15.75" customHeight="1">
      <c r="A4150" s="1">
        <v>168.0</v>
      </c>
      <c r="B4150" s="1">
        <v>38.0</v>
      </c>
      <c r="C4150" s="1">
        <v>19.0</v>
      </c>
      <c r="D4150" s="1">
        <v>91.0</v>
      </c>
      <c r="F4150" s="1" t="str">
        <f>LOOKUP(A4150, NPCs!A:A, NPCs!C:C)</f>
        <v>Chief Pumpkin</v>
      </c>
      <c r="G4150" s="1" t="str">
        <f>LOOKUP(B4150, Maps!A:A, Maps!B:B)</f>
        <v>Pumpkin Grove</v>
      </c>
    </row>
    <row r="4151" ht="15.75" customHeight="1">
      <c r="A4151" s="1">
        <v>168.0</v>
      </c>
      <c r="B4151" s="1">
        <v>38.0</v>
      </c>
      <c r="C4151" s="1">
        <v>20.0</v>
      </c>
      <c r="D4151" s="1">
        <v>89.0</v>
      </c>
      <c r="F4151" s="1" t="str">
        <f>LOOKUP(A4151, NPCs!A:A, NPCs!C:C)</f>
        <v>Chief Pumpkin</v>
      </c>
      <c r="G4151" s="1" t="str">
        <f>LOOKUP(B4151, Maps!A:A, Maps!B:B)</f>
        <v>Pumpkin Grove</v>
      </c>
    </row>
    <row r="4152" ht="15.75" customHeight="1">
      <c r="A4152" s="1">
        <v>168.0</v>
      </c>
      <c r="B4152" s="1">
        <v>38.0</v>
      </c>
      <c r="C4152" s="1">
        <v>26.0</v>
      </c>
      <c r="D4152" s="1">
        <v>87.0</v>
      </c>
      <c r="F4152" s="1" t="str">
        <f>LOOKUP(A4152, NPCs!A:A, NPCs!C:C)</f>
        <v>Chief Pumpkin</v>
      </c>
      <c r="G4152" s="1" t="str">
        <f>LOOKUP(B4152, Maps!A:A, Maps!B:B)</f>
        <v>Pumpkin Grove</v>
      </c>
    </row>
    <row r="4153" ht="15.75" customHeight="1">
      <c r="A4153" s="1">
        <v>168.0</v>
      </c>
      <c r="B4153" s="1">
        <v>38.0</v>
      </c>
      <c r="C4153" s="1">
        <v>25.0</v>
      </c>
      <c r="D4153" s="1">
        <v>84.0</v>
      </c>
      <c r="F4153" s="1" t="str">
        <f>LOOKUP(A4153, NPCs!A:A, NPCs!C:C)</f>
        <v>Chief Pumpkin</v>
      </c>
      <c r="G4153" s="1" t="str">
        <f>LOOKUP(B4153, Maps!A:A, Maps!B:B)</f>
        <v>Pumpkin Grove</v>
      </c>
    </row>
    <row r="4154" ht="15.75" customHeight="1">
      <c r="A4154" s="1">
        <v>168.0</v>
      </c>
      <c r="B4154" s="1">
        <v>38.0</v>
      </c>
      <c r="C4154" s="1">
        <v>23.0</v>
      </c>
      <c r="D4154" s="1">
        <v>79.0</v>
      </c>
      <c r="F4154" s="1" t="str">
        <f>LOOKUP(A4154, NPCs!A:A, NPCs!C:C)</f>
        <v>Chief Pumpkin</v>
      </c>
      <c r="G4154" s="1" t="str">
        <f>LOOKUP(B4154, Maps!A:A, Maps!B:B)</f>
        <v>Pumpkin Grove</v>
      </c>
    </row>
    <row r="4155" ht="15.75" customHeight="1">
      <c r="A4155" s="1">
        <v>168.0</v>
      </c>
      <c r="B4155" s="1">
        <v>38.0</v>
      </c>
      <c r="C4155" s="1">
        <v>26.0</v>
      </c>
      <c r="D4155" s="1">
        <v>76.0</v>
      </c>
      <c r="F4155" s="1" t="str">
        <f>LOOKUP(A4155, NPCs!A:A, NPCs!C:C)</f>
        <v>Chief Pumpkin</v>
      </c>
      <c r="G4155" s="1" t="str">
        <f>LOOKUP(B4155, Maps!A:A, Maps!B:B)</f>
        <v>Pumpkin Grove</v>
      </c>
    </row>
    <row r="4156" ht="15.75" customHeight="1">
      <c r="A4156" s="1">
        <v>168.0</v>
      </c>
      <c r="B4156" s="1">
        <v>38.0</v>
      </c>
      <c r="C4156" s="1">
        <v>24.0</v>
      </c>
      <c r="D4156" s="1">
        <v>74.0</v>
      </c>
      <c r="F4156" s="1" t="str">
        <f>LOOKUP(A4156, NPCs!A:A, NPCs!C:C)</f>
        <v>Chief Pumpkin</v>
      </c>
      <c r="G4156" s="1" t="str">
        <f>LOOKUP(B4156, Maps!A:A, Maps!B:B)</f>
        <v>Pumpkin Grove</v>
      </c>
    </row>
    <row r="4157" ht="15.75" customHeight="1">
      <c r="A4157" s="1">
        <v>168.0</v>
      </c>
      <c r="B4157" s="1">
        <v>38.0</v>
      </c>
      <c r="C4157" s="1">
        <v>25.0</v>
      </c>
      <c r="D4157" s="1">
        <v>68.0</v>
      </c>
      <c r="F4157" s="1" t="str">
        <f>LOOKUP(A4157, NPCs!A:A, NPCs!C:C)</f>
        <v>Chief Pumpkin</v>
      </c>
      <c r="G4157" s="1" t="str">
        <f>LOOKUP(B4157, Maps!A:A, Maps!B:B)</f>
        <v>Pumpkin Grove</v>
      </c>
    </row>
    <row r="4158" ht="15.75" customHeight="1">
      <c r="A4158" s="1">
        <v>168.0</v>
      </c>
      <c r="B4158" s="1">
        <v>38.0</v>
      </c>
      <c r="C4158" s="1">
        <v>27.0</v>
      </c>
      <c r="D4158" s="1">
        <v>65.0</v>
      </c>
      <c r="F4158" s="1" t="str">
        <f>LOOKUP(A4158, NPCs!A:A, NPCs!C:C)</f>
        <v>Chief Pumpkin</v>
      </c>
      <c r="G4158" s="1" t="str">
        <f>LOOKUP(B4158, Maps!A:A, Maps!B:B)</f>
        <v>Pumpkin Grove</v>
      </c>
    </row>
    <row r="4159" ht="15.75" customHeight="1">
      <c r="A4159" s="1">
        <v>168.0</v>
      </c>
      <c r="B4159" s="1">
        <v>38.0</v>
      </c>
      <c r="C4159" s="1">
        <v>21.0</v>
      </c>
      <c r="D4159" s="1">
        <v>64.0</v>
      </c>
      <c r="F4159" s="1" t="str">
        <f>LOOKUP(A4159, NPCs!A:A, NPCs!C:C)</f>
        <v>Chief Pumpkin</v>
      </c>
      <c r="G4159" s="1" t="str">
        <f>LOOKUP(B4159, Maps!A:A, Maps!B:B)</f>
        <v>Pumpkin Grove</v>
      </c>
    </row>
    <row r="4160" ht="15.75" customHeight="1">
      <c r="A4160" s="1">
        <v>168.0</v>
      </c>
      <c r="B4160" s="1">
        <v>38.0</v>
      </c>
      <c r="C4160" s="1">
        <v>20.0</v>
      </c>
      <c r="D4160" s="1">
        <v>62.0</v>
      </c>
      <c r="F4160" s="1" t="str">
        <f>LOOKUP(A4160, NPCs!A:A, NPCs!C:C)</f>
        <v>Chief Pumpkin</v>
      </c>
      <c r="G4160" s="1" t="str">
        <f>LOOKUP(B4160, Maps!A:A, Maps!B:B)</f>
        <v>Pumpkin Grove</v>
      </c>
    </row>
    <row r="4161" ht="15.75" customHeight="1">
      <c r="A4161" s="1">
        <v>168.0</v>
      </c>
      <c r="B4161" s="1">
        <v>38.0</v>
      </c>
      <c r="C4161" s="1">
        <v>24.0</v>
      </c>
      <c r="D4161" s="1">
        <v>63.0</v>
      </c>
      <c r="F4161" s="1" t="str">
        <f>LOOKUP(A4161, NPCs!A:A, NPCs!C:C)</f>
        <v>Chief Pumpkin</v>
      </c>
      <c r="G4161" s="1" t="str">
        <f>LOOKUP(B4161, Maps!A:A, Maps!B:B)</f>
        <v>Pumpkin Grove</v>
      </c>
    </row>
    <row r="4162" ht="15.75" customHeight="1">
      <c r="A4162" s="1">
        <v>168.0</v>
      </c>
      <c r="B4162" s="1">
        <v>38.0</v>
      </c>
      <c r="C4162" s="1">
        <v>19.0</v>
      </c>
      <c r="D4162" s="1">
        <v>70.0</v>
      </c>
      <c r="F4162" s="1" t="str">
        <f>LOOKUP(A4162, NPCs!A:A, NPCs!C:C)</f>
        <v>Chief Pumpkin</v>
      </c>
      <c r="G4162" s="1" t="str">
        <f>LOOKUP(B4162, Maps!A:A, Maps!B:B)</f>
        <v>Pumpkin Grove</v>
      </c>
    </row>
    <row r="4163" ht="15.75" customHeight="1">
      <c r="A4163" s="1">
        <v>168.0</v>
      </c>
      <c r="B4163" s="1">
        <v>38.0</v>
      </c>
      <c r="C4163" s="1">
        <v>19.0</v>
      </c>
      <c r="D4163" s="1">
        <v>76.0</v>
      </c>
      <c r="F4163" s="1" t="str">
        <f>LOOKUP(A4163, NPCs!A:A, NPCs!C:C)</f>
        <v>Chief Pumpkin</v>
      </c>
      <c r="G4163" s="1" t="str">
        <f>LOOKUP(B4163, Maps!A:A, Maps!B:B)</f>
        <v>Pumpkin Grove</v>
      </c>
    </row>
    <row r="4164" ht="15.75" customHeight="1">
      <c r="A4164" s="1">
        <v>168.0</v>
      </c>
      <c r="B4164" s="1">
        <v>38.0</v>
      </c>
      <c r="C4164" s="1">
        <v>17.0</v>
      </c>
      <c r="D4164" s="1">
        <v>81.0</v>
      </c>
      <c r="F4164" s="1" t="str">
        <f>LOOKUP(A4164, NPCs!A:A, NPCs!C:C)</f>
        <v>Chief Pumpkin</v>
      </c>
      <c r="G4164" s="1" t="str">
        <f>LOOKUP(B4164, Maps!A:A, Maps!B:B)</f>
        <v>Pumpkin Grove</v>
      </c>
    </row>
    <row r="4165" ht="15.75" customHeight="1">
      <c r="A4165" s="1">
        <v>168.0</v>
      </c>
      <c r="B4165" s="1">
        <v>38.0</v>
      </c>
      <c r="C4165" s="1">
        <v>18.0</v>
      </c>
      <c r="D4165" s="1">
        <v>82.0</v>
      </c>
      <c r="F4165" s="1" t="str">
        <f>LOOKUP(A4165, NPCs!A:A, NPCs!C:C)</f>
        <v>Chief Pumpkin</v>
      </c>
      <c r="G4165" s="1" t="str">
        <f>LOOKUP(B4165, Maps!A:A, Maps!B:B)</f>
        <v>Pumpkin Grove</v>
      </c>
    </row>
    <row r="4166" ht="15.75" customHeight="1">
      <c r="A4166" s="1">
        <v>168.0</v>
      </c>
      <c r="B4166" s="1">
        <v>38.0</v>
      </c>
      <c r="C4166" s="1">
        <v>15.0</v>
      </c>
      <c r="D4166" s="1">
        <v>88.0</v>
      </c>
      <c r="F4166" s="1" t="str">
        <f>LOOKUP(A4166, NPCs!A:A, NPCs!C:C)</f>
        <v>Chief Pumpkin</v>
      </c>
      <c r="G4166" s="1" t="str">
        <f>LOOKUP(B4166, Maps!A:A, Maps!B:B)</f>
        <v>Pumpkin Grove</v>
      </c>
    </row>
    <row r="4167" ht="15.75" customHeight="1">
      <c r="A4167" s="1">
        <v>168.0</v>
      </c>
      <c r="B4167" s="1">
        <v>38.0</v>
      </c>
      <c r="C4167" s="1">
        <v>11.0</v>
      </c>
      <c r="D4167" s="1">
        <v>87.0</v>
      </c>
      <c r="F4167" s="1" t="str">
        <f>LOOKUP(A4167, NPCs!A:A, NPCs!C:C)</f>
        <v>Chief Pumpkin</v>
      </c>
      <c r="G4167" s="1" t="str">
        <f>LOOKUP(B4167, Maps!A:A, Maps!B:B)</f>
        <v>Pumpkin Grove</v>
      </c>
    </row>
    <row r="4168" ht="15.75" customHeight="1">
      <c r="A4168" s="1">
        <v>168.0</v>
      </c>
      <c r="B4168" s="1">
        <v>38.0</v>
      </c>
      <c r="C4168" s="1">
        <v>6.0</v>
      </c>
      <c r="D4168" s="1">
        <v>87.0</v>
      </c>
      <c r="F4168" s="1" t="str">
        <f>LOOKUP(A4168, NPCs!A:A, NPCs!C:C)</f>
        <v>Chief Pumpkin</v>
      </c>
      <c r="G4168" s="1" t="str">
        <f>LOOKUP(B4168, Maps!A:A, Maps!B:B)</f>
        <v>Pumpkin Grove</v>
      </c>
    </row>
    <row r="4169" ht="15.75" customHeight="1">
      <c r="A4169" s="1">
        <v>168.0</v>
      </c>
      <c r="B4169" s="1">
        <v>38.0</v>
      </c>
      <c r="C4169" s="1">
        <v>4.0</v>
      </c>
      <c r="D4169" s="1">
        <v>89.0</v>
      </c>
      <c r="F4169" s="1" t="str">
        <f>LOOKUP(A4169, NPCs!A:A, NPCs!C:C)</f>
        <v>Chief Pumpkin</v>
      </c>
      <c r="G4169" s="1" t="str">
        <f>LOOKUP(B4169, Maps!A:A, Maps!B:B)</f>
        <v>Pumpkin Grove</v>
      </c>
    </row>
    <row r="4170" ht="15.75" customHeight="1">
      <c r="A4170" s="1">
        <v>168.0</v>
      </c>
      <c r="B4170" s="1">
        <v>38.0</v>
      </c>
      <c r="C4170" s="1">
        <v>3.0</v>
      </c>
      <c r="D4170" s="1">
        <v>85.0</v>
      </c>
      <c r="F4170" s="1" t="str">
        <f>LOOKUP(A4170, NPCs!A:A, NPCs!C:C)</f>
        <v>Chief Pumpkin</v>
      </c>
      <c r="G4170" s="1" t="str">
        <f>LOOKUP(B4170, Maps!A:A, Maps!B:B)</f>
        <v>Pumpkin Grove</v>
      </c>
    </row>
    <row r="4171" ht="15.75" customHeight="1">
      <c r="A4171" s="1">
        <v>168.0</v>
      </c>
      <c r="B4171" s="1">
        <v>38.0</v>
      </c>
      <c r="C4171" s="1">
        <v>7.0</v>
      </c>
      <c r="D4171" s="1">
        <v>84.0</v>
      </c>
      <c r="F4171" s="1" t="str">
        <f>LOOKUP(A4171, NPCs!A:A, NPCs!C:C)</f>
        <v>Chief Pumpkin</v>
      </c>
      <c r="G4171" s="1" t="str">
        <f>LOOKUP(B4171, Maps!A:A, Maps!B:B)</f>
        <v>Pumpkin Grove</v>
      </c>
    </row>
    <row r="4172" ht="15.75" customHeight="1">
      <c r="A4172" s="1">
        <v>168.0</v>
      </c>
      <c r="B4172" s="1">
        <v>38.0</v>
      </c>
      <c r="C4172" s="1">
        <v>9.0</v>
      </c>
      <c r="D4172" s="1">
        <v>80.0</v>
      </c>
      <c r="F4172" s="1" t="str">
        <f>LOOKUP(A4172, NPCs!A:A, NPCs!C:C)</f>
        <v>Chief Pumpkin</v>
      </c>
      <c r="G4172" s="1" t="str">
        <f>LOOKUP(B4172, Maps!A:A, Maps!B:B)</f>
        <v>Pumpkin Grove</v>
      </c>
    </row>
    <row r="4173" ht="15.75" customHeight="1">
      <c r="A4173" s="1">
        <v>168.0</v>
      </c>
      <c r="B4173" s="1">
        <v>38.0</v>
      </c>
      <c r="C4173" s="1">
        <v>14.0</v>
      </c>
      <c r="D4173" s="1">
        <v>80.0</v>
      </c>
      <c r="F4173" s="1" t="str">
        <f>LOOKUP(A4173, NPCs!A:A, NPCs!C:C)</f>
        <v>Chief Pumpkin</v>
      </c>
      <c r="G4173" s="1" t="str">
        <f>LOOKUP(B4173, Maps!A:A, Maps!B:B)</f>
        <v>Pumpkin Grove</v>
      </c>
    </row>
    <row r="4174" ht="15.75" customHeight="1">
      <c r="A4174" s="1">
        <v>168.0</v>
      </c>
      <c r="B4174" s="1">
        <v>38.0</v>
      </c>
      <c r="C4174" s="1">
        <v>12.0</v>
      </c>
      <c r="D4174" s="1">
        <v>76.0</v>
      </c>
      <c r="F4174" s="1" t="str">
        <f>LOOKUP(A4174, NPCs!A:A, NPCs!C:C)</f>
        <v>Chief Pumpkin</v>
      </c>
      <c r="G4174" s="1" t="str">
        <f>LOOKUP(B4174, Maps!A:A, Maps!B:B)</f>
        <v>Pumpkin Grove</v>
      </c>
    </row>
    <row r="4175" ht="15.75" customHeight="1">
      <c r="A4175" s="1">
        <v>168.0</v>
      </c>
      <c r="B4175" s="1">
        <v>38.0</v>
      </c>
      <c r="C4175" s="1">
        <v>4.0</v>
      </c>
      <c r="D4175" s="1">
        <v>75.0</v>
      </c>
      <c r="F4175" s="1" t="str">
        <f>LOOKUP(A4175, NPCs!A:A, NPCs!C:C)</f>
        <v>Chief Pumpkin</v>
      </c>
      <c r="G4175" s="1" t="str">
        <f>LOOKUP(B4175, Maps!A:A, Maps!B:B)</f>
        <v>Pumpkin Grove</v>
      </c>
    </row>
    <row r="4176" ht="15.75" customHeight="1">
      <c r="A4176" s="1">
        <v>168.0</v>
      </c>
      <c r="B4176" s="1">
        <v>38.0</v>
      </c>
      <c r="C4176" s="1">
        <v>6.0</v>
      </c>
      <c r="D4176" s="1">
        <v>72.0</v>
      </c>
      <c r="F4176" s="1" t="str">
        <f>LOOKUP(A4176, NPCs!A:A, NPCs!C:C)</f>
        <v>Chief Pumpkin</v>
      </c>
      <c r="G4176" s="1" t="str">
        <f>LOOKUP(B4176, Maps!A:A, Maps!B:B)</f>
        <v>Pumpkin Grove</v>
      </c>
    </row>
    <row r="4177" ht="15.75" customHeight="1">
      <c r="A4177" s="1">
        <v>168.0</v>
      </c>
      <c r="B4177" s="1">
        <v>38.0</v>
      </c>
      <c r="C4177" s="1">
        <v>10.0</v>
      </c>
      <c r="D4177" s="1">
        <v>74.0</v>
      </c>
      <c r="F4177" s="1" t="str">
        <f>LOOKUP(A4177, NPCs!A:A, NPCs!C:C)</f>
        <v>Chief Pumpkin</v>
      </c>
      <c r="G4177" s="1" t="str">
        <f>LOOKUP(B4177, Maps!A:A, Maps!B:B)</f>
        <v>Pumpkin Grove</v>
      </c>
    </row>
    <row r="4178" ht="15.75" customHeight="1">
      <c r="A4178" s="1">
        <v>168.0</v>
      </c>
      <c r="B4178" s="1">
        <v>38.0</v>
      </c>
      <c r="C4178" s="1">
        <v>13.0</v>
      </c>
      <c r="D4178" s="1">
        <v>70.0</v>
      </c>
      <c r="F4178" s="1" t="str">
        <f>LOOKUP(A4178, NPCs!A:A, NPCs!C:C)</f>
        <v>Chief Pumpkin</v>
      </c>
      <c r="G4178" s="1" t="str">
        <f>LOOKUP(B4178, Maps!A:A, Maps!B:B)</f>
        <v>Pumpkin Grove</v>
      </c>
    </row>
    <row r="4179" ht="15.75" customHeight="1">
      <c r="A4179" s="1">
        <v>168.0</v>
      </c>
      <c r="B4179" s="1">
        <v>38.0</v>
      </c>
      <c r="C4179" s="1">
        <v>16.0</v>
      </c>
      <c r="D4179" s="1">
        <v>75.0</v>
      </c>
      <c r="F4179" s="1" t="str">
        <f>LOOKUP(A4179, NPCs!A:A, NPCs!C:C)</f>
        <v>Chief Pumpkin</v>
      </c>
      <c r="G4179" s="1" t="str">
        <f>LOOKUP(B4179, Maps!A:A, Maps!B:B)</f>
        <v>Pumpkin Grove</v>
      </c>
    </row>
    <row r="4180" ht="15.75" customHeight="1">
      <c r="A4180" s="1">
        <v>168.0</v>
      </c>
      <c r="B4180" s="1">
        <v>38.0</v>
      </c>
      <c r="C4180" s="1">
        <v>22.0</v>
      </c>
      <c r="D4180" s="1">
        <v>71.0</v>
      </c>
      <c r="F4180" s="1" t="str">
        <f>LOOKUP(A4180, NPCs!A:A, NPCs!C:C)</f>
        <v>Chief Pumpkin</v>
      </c>
      <c r="G4180" s="1" t="str">
        <f>LOOKUP(B4180, Maps!A:A, Maps!B:B)</f>
        <v>Pumpkin Grove</v>
      </c>
    </row>
    <row r="4181" ht="15.75" customHeight="1">
      <c r="A4181" s="1">
        <v>168.0</v>
      </c>
      <c r="B4181" s="1">
        <v>38.0</v>
      </c>
      <c r="C4181" s="1">
        <v>16.0</v>
      </c>
      <c r="D4181" s="1">
        <v>66.0</v>
      </c>
      <c r="F4181" s="1" t="str">
        <f>LOOKUP(A4181, NPCs!A:A, NPCs!C:C)</f>
        <v>Chief Pumpkin</v>
      </c>
      <c r="G4181" s="1" t="str">
        <f>LOOKUP(B4181, Maps!A:A, Maps!B:B)</f>
        <v>Pumpkin Grove</v>
      </c>
    </row>
    <row r="4182" ht="15.75" customHeight="1">
      <c r="A4182" s="1">
        <v>168.0</v>
      </c>
      <c r="B4182" s="1">
        <v>38.0</v>
      </c>
      <c r="C4182" s="1">
        <v>16.0</v>
      </c>
      <c r="D4182" s="1">
        <v>62.0</v>
      </c>
      <c r="F4182" s="1" t="str">
        <f>LOOKUP(A4182, NPCs!A:A, NPCs!C:C)</f>
        <v>Chief Pumpkin</v>
      </c>
      <c r="G4182" s="1" t="str">
        <f>LOOKUP(B4182, Maps!A:A, Maps!B:B)</f>
        <v>Pumpkin Grove</v>
      </c>
    </row>
    <row r="4183" ht="15.75" customHeight="1">
      <c r="A4183" s="1">
        <v>168.0</v>
      </c>
      <c r="B4183" s="1">
        <v>38.0</v>
      </c>
      <c r="C4183" s="1">
        <v>11.0</v>
      </c>
      <c r="D4183" s="1">
        <v>64.0</v>
      </c>
      <c r="F4183" s="1" t="str">
        <f>LOOKUP(A4183, NPCs!A:A, NPCs!C:C)</f>
        <v>Chief Pumpkin</v>
      </c>
      <c r="G4183" s="1" t="str">
        <f>LOOKUP(B4183, Maps!A:A, Maps!B:B)</f>
        <v>Pumpkin Grove</v>
      </c>
    </row>
    <row r="4184" ht="15.75" customHeight="1">
      <c r="A4184" s="1">
        <v>168.0</v>
      </c>
      <c r="B4184" s="1">
        <v>38.0</v>
      </c>
      <c r="C4184" s="1">
        <v>9.0</v>
      </c>
      <c r="D4184" s="1">
        <v>67.0</v>
      </c>
      <c r="F4184" s="1" t="str">
        <f>LOOKUP(A4184, NPCs!A:A, NPCs!C:C)</f>
        <v>Chief Pumpkin</v>
      </c>
      <c r="G4184" s="1" t="str">
        <f>LOOKUP(B4184, Maps!A:A, Maps!B:B)</f>
        <v>Pumpkin Grove</v>
      </c>
    </row>
    <row r="4185" ht="15.75" customHeight="1">
      <c r="A4185" s="1">
        <v>168.0</v>
      </c>
      <c r="B4185" s="1">
        <v>38.0</v>
      </c>
      <c r="C4185" s="1">
        <v>4.0</v>
      </c>
      <c r="D4185" s="1">
        <v>67.0</v>
      </c>
      <c r="F4185" s="1" t="str">
        <f>LOOKUP(A4185, NPCs!A:A, NPCs!C:C)</f>
        <v>Chief Pumpkin</v>
      </c>
      <c r="G4185" s="1" t="str">
        <f>LOOKUP(B4185, Maps!A:A, Maps!B:B)</f>
        <v>Pumpkin Grove</v>
      </c>
    </row>
    <row r="4186" ht="15.75" customHeight="1">
      <c r="A4186" s="1">
        <v>168.0</v>
      </c>
      <c r="B4186" s="1">
        <v>38.0</v>
      </c>
      <c r="C4186" s="1">
        <v>13.0</v>
      </c>
      <c r="D4186" s="1">
        <v>67.0</v>
      </c>
      <c r="F4186" s="1" t="str">
        <f>LOOKUP(A4186, NPCs!A:A, NPCs!C:C)</f>
        <v>Chief Pumpkin</v>
      </c>
      <c r="G4186" s="1" t="str">
        <f>LOOKUP(B4186, Maps!A:A, Maps!B:B)</f>
        <v>Pumpkin Grove</v>
      </c>
    </row>
    <row r="4187" ht="15.75" customHeight="1">
      <c r="A4187" s="1">
        <v>168.0</v>
      </c>
      <c r="B4187" s="1">
        <v>38.0</v>
      </c>
      <c r="C4187" s="1">
        <v>13.0</v>
      </c>
      <c r="D4187" s="1">
        <v>60.0</v>
      </c>
      <c r="F4187" s="1" t="str">
        <f>LOOKUP(A4187, NPCs!A:A, NPCs!C:C)</f>
        <v>Chief Pumpkin</v>
      </c>
      <c r="G4187" s="1" t="str">
        <f>LOOKUP(B4187, Maps!A:A, Maps!B:B)</f>
        <v>Pumpkin Grove</v>
      </c>
    </row>
    <row r="4188" ht="15.75" customHeight="1">
      <c r="A4188" s="1">
        <v>168.0</v>
      </c>
      <c r="B4188" s="1">
        <v>38.0</v>
      </c>
      <c r="C4188" s="1">
        <v>8.0</v>
      </c>
      <c r="D4188" s="1">
        <v>60.0</v>
      </c>
      <c r="F4188" s="1" t="str">
        <f>LOOKUP(A4188, NPCs!A:A, NPCs!C:C)</f>
        <v>Chief Pumpkin</v>
      </c>
      <c r="G4188" s="1" t="str">
        <f>LOOKUP(B4188, Maps!A:A, Maps!B:B)</f>
        <v>Pumpkin Grove</v>
      </c>
    </row>
    <row r="4189" ht="15.75" customHeight="1">
      <c r="A4189" s="1">
        <v>168.0</v>
      </c>
      <c r="B4189" s="1">
        <v>38.0</v>
      </c>
      <c r="C4189" s="1">
        <v>3.0</v>
      </c>
      <c r="D4189" s="1">
        <v>60.0</v>
      </c>
      <c r="F4189" s="1" t="str">
        <f>LOOKUP(A4189, NPCs!A:A, NPCs!C:C)</f>
        <v>Chief Pumpkin</v>
      </c>
      <c r="G4189" s="1" t="str">
        <f>LOOKUP(B4189, Maps!A:A, Maps!B:B)</f>
        <v>Pumpkin Grove</v>
      </c>
    </row>
    <row r="4190" ht="15.75" customHeight="1">
      <c r="A4190" s="1">
        <v>168.0</v>
      </c>
      <c r="B4190" s="1">
        <v>38.0</v>
      </c>
      <c r="C4190" s="1">
        <v>6.0</v>
      </c>
      <c r="D4190" s="1">
        <v>54.0</v>
      </c>
      <c r="F4190" s="1" t="str">
        <f>LOOKUP(A4190, NPCs!A:A, NPCs!C:C)</f>
        <v>Chief Pumpkin</v>
      </c>
      <c r="G4190" s="1" t="str">
        <f>LOOKUP(B4190, Maps!A:A, Maps!B:B)</f>
        <v>Pumpkin Grove</v>
      </c>
    </row>
    <row r="4191" ht="15.75" customHeight="1">
      <c r="A4191" s="1">
        <v>168.0</v>
      </c>
      <c r="B4191" s="1">
        <v>38.0</v>
      </c>
      <c r="C4191" s="1">
        <v>3.0</v>
      </c>
      <c r="D4191" s="1">
        <v>53.0</v>
      </c>
      <c r="F4191" s="1" t="str">
        <f>LOOKUP(A4191, NPCs!A:A, NPCs!C:C)</f>
        <v>Chief Pumpkin</v>
      </c>
      <c r="G4191" s="1" t="str">
        <f>LOOKUP(B4191, Maps!A:A, Maps!B:B)</f>
        <v>Pumpkin Grove</v>
      </c>
    </row>
    <row r="4192" ht="15.75" customHeight="1">
      <c r="A4192" s="1">
        <v>168.0</v>
      </c>
      <c r="B4192" s="1">
        <v>38.0</v>
      </c>
      <c r="C4192" s="1">
        <v>7.0</v>
      </c>
      <c r="D4192" s="1">
        <v>52.0</v>
      </c>
      <c r="F4192" s="1" t="str">
        <f>LOOKUP(A4192, NPCs!A:A, NPCs!C:C)</f>
        <v>Chief Pumpkin</v>
      </c>
      <c r="G4192" s="1" t="str">
        <f>LOOKUP(B4192, Maps!A:A, Maps!B:B)</f>
        <v>Pumpkin Grove</v>
      </c>
    </row>
    <row r="4193" ht="15.75" customHeight="1">
      <c r="A4193" s="1">
        <v>168.0</v>
      </c>
      <c r="B4193" s="1">
        <v>38.0</v>
      </c>
      <c r="C4193" s="1">
        <v>12.0</v>
      </c>
      <c r="D4193" s="1">
        <v>51.0</v>
      </c>
      <c r="F4193" s="1" t="str">
        <f>LOOKUP(A4193, NPCs!A:A, NPCs!C:C)</f>
        <v>Chief Pumpkin</v>
      </c>
      <c r="G4193" s="1" t="str">
        <f>LOOKUP(B4193, Maps!A:A, Maps!B:B)</f>
        <v>Pumpkin Grove</v>
      </c>
    </row>
    <row r="4194" ht="15.75" customHeight="1">
      <c r="A4194" s="1">
        <v>168.0</v>
      </c>
      <c r="B4194" s="1">
        <v>38.0</v>
      </c>
      <c r="C4194" s="1">
        <v>15.0</v>
      </c>
      <c r="D4194" s="1">
        <v>54.0</v>
      </c>
      <c r="F4194" s="1" t="str">
        <f>LOOKUP(A4194, NPCs!A:A, NPCs!C:C)</f>
        <v>Chief Pumpkin</v>
      </c>
      <c r="G4194" s="1" t="str">
        <f>LOOKUP(B4194, Maps!A:A, Maps!B:B)</f>
        <v>Pumpkin Grove</v>
      </c>
    </row>
    <row r="4195" ht="15.75" customHeight="1">
      <c r="A4195" s="1">
        <v>168.0</v>
      </c>
      <c r="B4195" s="1">
        <v>38.0</v>
      </c>
      <c r="C4195" s="1">
        <v>13.0</v>
      </c>
      <c r="D4195" s="1">
        <v>57.0</v>
      </c>
      <c r="F4195" s="1" t="str">
        <f>LOOKUP(A4195, NPCs!A:A, NPCs!C:C)</f>
        <v>Chief Pumpkin</v>
      </c>
      <c r="G4195" s="1" t="str">
        <f>LOOKUP(B4195, Maps!A:A, Maps!B:B)</f>
        <v>Pumpkin Grove</v>
      </c>
    </row>
    <row r="4196" ht="15.75" customHeight="1">
      <c r="A4196" s="1">
        <v>168.0</v>
      </c>
      <c r="B4196" s="1">
        <v>38.0</v>
      </c>
      <c r="C4196" s="1">
        <v>9.0</v>
      </c>
      <c r="D4196" s="1">
        <v>58.0</v>
      </c>
      <c r="F4196" s="1" t="str">
        <f>LOOKUP(A4196, NPCs!A:A, NPCs!C:C)</f>
        <v>Chief Pumpkin</v>
      </c>
      <c r="G4196" s="1" t="str">
        <f>LOOKUP(B4196, Maps!A:A, Maps!B:B)</f>
        <v>Pumpkin Grove</v>
      </c>
    </row>
    <row r="4197" ht="15.75" customHeight="1">
      <c r="A4197" s="1">
        <v>168.0</v>
      </c>
      <c r="B4197" s="1">
        <v>38.0</v>
      </c>
      <c r="C4197" s="1">
        <v>9.0</v>
      </c>
      <c r="D4197" s="1">
        <v>46.0</v>
      </c>
      <c r="F4197" s="1" t="str">
        <f>LOOKUP(A4197, NPCs!A:A, NPCs!C:C)</f>
        <v>Chief Pumpkin</v>
      </c>
      <c r="G4197" s="1" t="str">
        <f>LOOKUP(B4197, Maps!A:A, Maps!B:B)</f>
        <v>Pumpkin Grove</v>
      </c>
    </row>
    <row r="4198" ht="15.75" customHeight="1">
      <c r="A4198" s="1">
        <v>168.0</v>
      </c>
      <c r="B4198" s="1">
        <v>38.0</v>
      </c>
      <c r="C4198" s="1">
        <v>6.0</v>
      </c>
      <c r="D4198" s="1">
        <v>48.0</v>
      </c>
      <c r="F4198" s="1" t="str">
        <f>LOOKUP(A4198, NPCs!A:A, NPCs!C:C)</f>
        <v>Chief Pumpkin</v>
      </c>
      <c r="G4198" s="1" t="str">
        <f>LOOKUP(B4198, Maps!A:A, Maps!B:B)</f>
        <v>Pumpkin Grove</v>
      </c>
    </row>
    <row r="4199" ht="15.75" customHeight="1">
      <c r="A4199" s="1">
        <v>168.0</v>
      </c>
      <c r="B4199" s="1">
        <v>38.0</v>
      </c>
      <c r="C4199" s="1">
        <v>4.0</v>
      </c>
      <c r="D4199" s="1">
        <v>49.0</v>
      </c>
      <c r="F4199" s="1" t="str">
        <f>LOOKUP(A4199, NPCs!A:A, NPCs!C:C)</f>
        <v>Chief Pumpkin</v>
      </c>
      <c r="G4199" s="1" t="str">
        <f>LOOKUP(B4199, Maps!A:A, Maps!B:B)</f>
        <v>Pumpkin Grove</v>
      </c>
    </row>
    <row r="4200" ht="15.75" customHeight="1">
      <c r="A4200" s="1">
        <v>168.0</v>
      </c>
      <c r="B4200" s="1">
        <v>38.0</v>
      </c>
      <c r="C4200" s="1">
        <v>3.0</v>
      </c>
      <c r="D4200" s="1">
        <v>42.0</v>
      </c>
      <c r="F4200" s="1" t="str">
        <f>LOOKUP(A4200, NPCs!A:A, NPCs!C:C)</f>
        <v>Chief Pumpkin</v>
      </c>
      <c r="G4200" s="1" t="str">
        <f>LOOKUP(B4200, Maps!A:A, Maps!B:B)</f>
        <v>Pumpkin Grove</v>
      </c>
    </row>
    <row r="4201" ht="15.75" customHeight="1">
      <c r="A4201" s="1">
        <v>168.0</v>
      </c>
      <c r="B4201" s="1">
        <v>38.0</v>
      </c>
      <c r="C4201" s="1">
        <v>6.0</v>
      </c>
      <c r="D4201" s="1">
        <v>40.0</v>
      </c>
      <c r="F4201" s="1" t="str">
        <f>LOOKUP(A4201, NPCs!A:A, NPCs!C:C)</f>
        <v>Chief Pumpkin</v>
      </c>
      <c r="G4201" s="1" t="str">
        <f>LOOKUP(B4201, Maps!A:A, Maps!B:B)</f>
        <v>Pumpkin Grove</v>
      </c>
    </row>
    <row r="4202" ht="15.75" customHeight="1">
      <c r="A4202" s="1">
        <v>168.0</v>
      </c>
      <c r="B4202" s="1">
        <v>38.0</v>
      </c>
      <c r="C4202" s="1">
        <v>9.0</v>
      </c>
      <c r="D4202" s="1">
        <v>37.0</v>
      </c>
      <c r="F4202" s="1" t="str">
        <f>LOOKUP(A4202, NPCs!A:A, NPCs!C:C)</f>
        <v>Chief Pumpkin</v>
      </c>
      <c r="G4202" s="1" t="str">
        <f>LOOKUP(B4202, Maps!A:A, Maps!B:B)</f>
        <v>Pumpkin Grove</v>
      </c>
    </row>
    <row r="4203" ht="15.75" customHeight="1">
      <c r="A4203" s="1">
        <v>168.0</v>
      </c>
      <c r="B4203" s="1">
        <v>38.0</v>
      </c>
      <c r="C4203" s="1">
        <v>9.0</v>
      </c>
      <c r="D4203" s="1">
        <v>33.0</v>
      </c>
      <c r="F4203" s="1" t="str">
        <f>LOOKUP(A4203, NPCs!A:A, NPCs!C:C)</f>
        <v>Chief Pumpkin</v>
      </c>
      <c r="G4203" s="1" t="str">
        <f>LOOKUP(B4203, Maps!A:A, Maps!B:B)</f>
        <v>Pumpkin Grove</v>
      </c>
    </row>
    <row r="4204" ht="15.75" customHeight="1">
      <c r="A4204" s="1">
        <v>168.0</v>
      </c>
      <c r="B4204" s="1">
        <v>38.0</v>
      </c>
      <c r="C4204" s="1">
        <v>4.0</v>
      </c>
      <c r="D4204" s="1">
        <v>37.0</v>
      </c>
      <c r="F4204" s="1" t="str">
        <f>LOOKUP(A4204, NPCs!A:A, NPCs!C:C)</f>
        <v>Chief Pumpkin</v>
      </c>
      <c r="G4204" s="1" t="str">
        <f>LOOKUP(B4204, Maps!A:A, Maps!B:B)</f>
        <v>Pumpkin Grove</v>
      </c>
    </row>
    <row r="4205" ht="15.75" customHeight="1">
      <c r="A4205" s="1">
        <v>168.0</v>
      </c>
      <c r="B4205" s="1">
        <v>38.0</v>
      </c>
      <c r="C4205" s="1">
        <v>5.0</v>
      </c>
      <c r="D4205" s="1">
        <v>34.0</v>
      </c>
      <c r="F4205" s="1" t="str">
        <f>LOOKUP(A4205, NPCs!A:A, NPCs!C:C)</f>
        <v>Chief Pumpkin</v>
      </c>
      <c r="G4205" s="1" t="str">
        <f>LOOKUP(B4205, Maps!A:A, Maps!B:B)</f>
        <v>Pumpkin Grove</v>
      </c>
    </row>
    <row r="4206" ht="15.75" customHeight="1">
      <c r="A4206" s="1">
        <v>168.0</v>
      </c>
      <c r="B4206" s="1">
        <v>38.0</v>
      </c>
      <c r="C4206" s="1">
        <v>8.0</v>
      </c>
      <c r="D4206" s="1">
        <v>30.0</v>
      </c>
      <c r="F4206" s="1" t="str">
        <f>LOOKUP(A4206, NPCs!A:A, NPCs!C:C)</f>
        <v>Chief Pumpkin</v>
      </c>
      <c r="G4206" s="1" t="str">
        <f>LOOKUP(B4206, Maps!A:A, Maps!B:B)</f>
        <v>Pumpkin Grove</v>
      </c>
    </row>
    <row r="4207" ht="15.75" customHeight="1">
      <c r="A4207" s="1">
        <v>168.0</v>
      </c>
      <c r="B4207" s="1">
        <v>38.0</v>
      </c>
      <c r="C4207" s="1">
        <v>5.0</v>
      </c>
      <c r="D4207" s="1">
        <v>30.0</v>
      </c>
      <c r="F4207" s="1" t="str">
        <f>LOOKUP(A4207, NPCs!A:A, NPCs!C:C)</f>
        <v>Chief Pumpkin</v>
      </c>
      <c r="G4207" s="1" t="str">
        <f>LOOKUP(B4207, Maps!A:A, Maps!B:B)</f>
        <v>Pumpkin Grove</v>
      </c>
    </row>
    <row r="4208" ht="15.75" customHeight="1">
      <c r="A4208" s="1">
        <v>168.0</v>
      </c>
      <c r="B4208" s="1">
        <v>38.0</v>
      </c>
      <c r="C4208" s="1">
        <v>8.0</v>
      </c>
      <c r="D4208" s="1">
        <v>25.0</v>
      </c>
      <c r="F4208" s="1" t="str">
        <f>LOOKUP(A4208, NPCs!A:A, NPCs!C:C)</f>
        <v>Chief Pumpkin</v>
      </c>
      <c r="G4208" s="1" t="str">
        <f>LOOKUP(B4208, Maps!A:A, Maps!B:B)</f>
        <v>Pumpkin Grove</v>
      </c>
    </row>
    <row r="4209" ht="15.75" customHeight="1">
      <c r="A4209" s="1">
        <v>168.0</v>
      </c>
      <c r="B4209" s="1">
        <v>38.0</v>
      </c>
      <c r="C4209" s="1">
        <v>9.0</v>
      </c>
      <c r="D4209" s="1">
        <v>25.0</v>
      </c>
      <c r="F4209" s="1" t="str">
        <f>LOOKUP(A4209, NPCs!A:A, NPCs!C:C)</f>
        <v>Chief Pumpkin</v>
      </c>
      <c r="G4209" s="1" t="str">
        <f>LOOKUP(B4209, Maps!A:A, Maps!B:B)</f>
        <v>Pumpkin Grove</v>
      </c>
    </row>
    <row r="4210" ht="15.75" customHeight="1">
      <c r="A4210" s="1">
        <v>168.0</v>
      </c>
      <c r="B4210" s="1">
        <v>38.0</v>
      </c>
      <c r="C4210" s="1">
        <v>9.0</v>
      </c>
      <c r="D4210" s="1">
        <v>24.0</v>
      </c>
      <c r="F4210" s="1" t="str">
        <f>LOOKUP(A4210, NPCs!A:A, NPCs!C:C)</f>
        <v>Chief Pumpkin</v>
      </c>
      <c r="G4210" s="1" t="str">
        <f>LOOKUP(B4210, Maps!A:A, Maps!B:B)</f>
        <v>Pumpkin Grove</v>
      </c>
    </row>
    <row r="4211" ht="15.75" customHeight="1">
      <c r="A4211" s="1">
        <v>168.0</v>
      </c>
      <c r="B4211" s="1">
        <v>38.0</v>
      </c>
      <c r="C4211" s="1">
        <v>8.0</v>
      </c>
      <c r="D4211" s="1">
        <v>24.0</v>
      </c>
      <c r="F4211" s="1" t="str">
        <f>LOOKUP(A4211, NPCs!A:A, NPCs!C:C)</f>
        <v>Chief Pumpkin</v>
      </c>
      <c r="G4211" s="1" t="str">
        <f>LOOKUP(B4211, Maps!A:A, Maps!B:B)</f>
        <v>Pumpkin Grove</v>
      </c>
    </row>
    <row r="4212" ht="15.75" customHeight="1">
      <c r="A4212" s="1">
        <v>168.0</v>
      </c>
      <c r="B4212" s="1">
        <v>38.0</v>
      </c>
      <c r="C4212" s="1">
        <v>8.0</v>
      </c>
      <c r="D4212" s="1">
        <v>26.0</v>
      </c>
      <c r="F4212" s="1" t="str">
        <f>LOOKUP(A4212, NPCs!A:A, NPCs!C:C)</f>
        <v>Chief Pumpkin</v>
      </c>
      <c r="G4212" s="1" t="str">
        <f>LOOKUP(B4212, Maps!A:A, Maps!B:B)</f>
        <v>Pumpkin Grove</v>
      </c>
    </row>
    <row r="4213" ht="15.75" customHeight="1">
      <c r="A4213" s="1">
        <v>168.0</v>
      </c>
      <c r="B4213" s="1">
        <v>38.0</v>
      </c>
      <c r="C4213" s="1">
        <v>9.0</v>
      </c>
      <c r="D4213" s="1">
        <v>26.0</v>
      </c>
      <c r="F4213" s="1" t="str">
        <f>LOOKUP(A4213, NPCs!A:A, NPCs!C:C)</f>
        <v>Chief Pumpkin</v>
      </c>
      <c r="G4213" s="1" t="str">
        <f>LOOKUP(B4213, Maps!A:A, Maps!B:B)</f>
        <v>Pumpkin Grove</v>
      </c>
    </row>
    <row r="4214" ht="15.75" customHeight="1">
      <c r="A4214" s="1">
        <v>168.0</v>
      </c>
      <c r="B4214" s="1">
        <v>38.0</v>
      </c>
      <c r="C4214" s="1">
        <v>8.0</v>
      </c>
      <c r="D4214" s="1">
        <v>20.0</v>
      </c>
      <c r="F4214" s="1" t="str">
        <f>LOOKUP(A4214, NPCs!A:A, NPCs!C:C)</f>
        <v>Chief Pumpkin</v>
      </c>
      <c r="G4214" s="1" t="str">
        <f>LOOKUP(B4214, Maps!A:A, Maps!B:B)</f>
        <v>Pumpkin Grove</v>
      </c>
    </row>
    <row r="4215" ht="15.75" customHeight="1">
      <c r="A4215" s="1">
        <v>168.0</v>
      </c>
      <c r="B4215" s="1">
        <v>38.0</v>
      </c>
      <c r="C4215" s="1">
        <v>9.0</v>
      </c>
      <c r="D4215" s="1">
        <v>17.0</v>
      </c>
      <c r="F4215" s="1" t="str">
        <f>LOOKUP(A4215, NPCs!A:A, NPCs!C:C)</f>
        <v>Chief Pumpkin</v>
      </c>
      <c r="G4215" s="1" t="str">
        <f>LOOKUP(B4215, Maps!A:A, Maps!B:B)</f>
        <v>Pumpkin Grove</v>
      </c>
    </row>
    <row r="4216" ht="15.75" customHeight="1">
      <c r="A4216" s="1">
        <v>168.0</v>
      </c>
      <c r="B4216" s="1">
        <v>38.0</v>
      </c>
      <c r="C4216" s="1">
        <v>10.0</v>
      </c>
      <c r="D4216" s="1">
        <v>14.0</v>
      </c>
      <c r="F4216" s="1" t="str">
        <f>LOOKUP(A4216, NPCs!A:A, NPCs!C:C)</f>
        <v>Chief Pumpkin</v>
      </c>
      <c r="G4216" s="1" t="str">
        <f>LOOKUP(B4216, Maps!A:A, Maps!B:B)</f>
        <v>Pumpkin Grove</v>
      </c>
    </row>
    <row r="4217" ht="15.75" customHeight="1">
      <c r="A4217" s="1">
        <v>168.0</v>
      </c>
      <c r="B4217" s="1">
        <v>38.0</v>
      </c>
      <c r="C4217" s="1">
        <v>12.0</v>
      </c>
      <c r="D4217" s="1">
        <v>12.0</v>
      </c>
      <c r="F4217" s="1" t="str">
        <f>LOOKUP(A4217, NPCs!A:A, NPCs!C:C)</f>
        <v>Chief Pumpkin</v>
      </c>
      <c r="G4217" s="1" t="str">
        <f>LOOKUP(B4217, Maps!A:A, Maps!B:B)</f>
        <v>Pumpkin Grove</v>
      </c>
    </row>
    <row r="4218" ht="15.75" customHeight="1">
      <c r="A4218" s="1">
        <v>168.0</v>
      </c>
      <c r="B4218" s="1">
        <v>38.0</v>
      </c>
      <c r="C4218" s="1">
        <v>14.0</v>
      </c>
      <c r="D4218" s="1">
        <v>9.0</v>
      </c>
      <c r="F4218" s="1" t="str">
        <f>LOOKUP(A4218, NPCs!A:A, NPCs!C:C)</f>
        <v>Chief Pumpkin</v>
      </c>
      <c r="G4218" s="1" t="str">
        <f>LOOKUP(B4218, Maps!A:A, Maps!B:B)</f>
        <v>Pumpkin Grove</v>
      </c>
    </row>
    <row r="4219" ht="15.75" customHeight="1">
      <c r="A4219" s="1">
        <v>168.0</v>
      </c>
      <c r="B4219" s="1">
        <v>38.0</v>
      </c>
      <c r="C4219" s="1">
        <v>18.0</v>
      </c>
      <c r="D4219" s="1">
        <v>8.0</v>
      </c>
      <c r="F4219" s="1" t="str">
        <f>LOOKUP(A4219, NPCs!A:A, NPCs!C:C)</f>
        <v>Chief Pumpkin</v>
      </c>
      <c r="G4219" s="1" t="str">
        <f>LOOKUP(B4219, Maps!A:A, Maps!B:B)</f>
        <v>Pumpkin Grove</v>
      </c>
    </row>
    <row r="4220" ht="15.75" customHeight="1">
      <c r="A4220" s="1">
        <v>168.0</v>
      </c>
      <c r="B4220" s="1">
        <v>38.0</v>
      </c>
      <c r="C4220" s="1">
        <v>24.0</v>
      </c>
      <c r="D4220" s="1">
        <v>7.0</v>
      </c>
      <c r="F4220" s="1" t="str">
        <f>LOOKUP(A4220, NPCs!A:A, NPCs!C:C)</f>
        <v>Chief Pumpkin</v>
      </c>
      <c r="G4220" s="1" t="str">
        <f>LOOKUP(B4220, Maps!A:A, Maps!B:B)</f>
        <v>Pumpkin Grove</v>
      </c>
    </row>
    <row r="4221" ht="15.75" customHeight="1">
      <c r="A4221" s="1">
        <v>168.0</v>
      </c>
      <c r="B4221" s="1">
        <v>38.0</v>
      </c>
      <c r="C4221" s="1">
        <v>28.0</v>
      </c>
      <c r="D4221" s="1">
        <v>6.0</v>
      </c>
      <c r="F4221" s="1" t="str">
        <f>LOOKUP(A4221, NPCs!A:A, NPCs!C:C)</f>
        <v>Chief Pumpkin</v>
      </c>
      <c r="G4221" s="1" t="str">
        <f>LOOKUP(B4221, Maps!A:A, Maps!B:B)</f>
        <v>Pumpkin Grove</v>
      </c>
    </row>
    <row r="4222" ht="15.75" customHeight="1">
      <c r="A4222" s="1">
        <v>168.0</v>
      </c>
      <c r="B4222" s="1">
        <v>38.0</v>
      </c>
      <c r="C4222" s="1">
        <v>33.0</v>
      </c>
      <c r="D4222" s="1">
        <v>6.0</v>
      </c>
      <c r="F4222" s="1" t="str">
        <f>LOOKUP(A4222, NPCs!A:A, NPCs!C:C)</f>
        <v>Chief Pumpkin</v>
      </c>
      <c r="G4222" s="1" t="str">
        <f>LOOKUP(B4222, Maps!A:A, Maps!B:B)</f>
        <v>Pumpkin Grove</v>
      </c>
    </row>
    <row r="4223" ht="15.75" customHeight="1">
      <c r="A4223" s="1">
        <v>168.0</v>
      </c>
      <c r="B4223" s="1">
        <v>38.0</v>
      </c>
      <c r="C4223" s="1">
        <v>36.0</v>
      </c>
      <c r="D4223" s="1">
        <v>6.0</v>
      </c>
      <c r="F4223" s="1" t="str">
        <f>LOOKUP(A4223, NPCs!A:A, NPCs!C:C)</f>
        <v>Chief Pumpkin</v>
      </c>
      <c r="G4223" s="1" t="str">
        <f>LOOKUP(B4223, Maps!A:A, Maps!B:B)</f>
        <v>Pumpkin Grove</v>
      </c>
    </row>
    <row r="4224" ht="15.75" customHeight="1">
      <c r="A4224" s="1">
        <v>168.0</v>
      </c>
      <c r="B4224" s="1">
        <v>38.0</v>
      </c>
      <c r="C4224" s="1">
        <v>39.0</v>
      </c>
      <c r="D4224" s="1">
        <v>8.0</v>
      </c>
      <c r="F4224" s="1" t="str">
        <f>LOOKUP(A4224, NPCs!A:A, NPCs!C:C)</f>
        <v>Chief Pumpkin</v>
      </c>
      <c r="G4224" s="1" t="str">
        <f>LOOKUP(B4224, Maps!A:A, Maps!B:B)</f>
        <v>Pumpkin Grove</v>
      </c>
    </row>
    <row r="4225" ht="15.75" customHeight="1">
      <c r="A4225" s="1">
        <v>168.0</v>
      </c>
      <c r="B4225" s="1">
        <v>38.0</v>
      </c>
      <c r="C4225" s="1">
        <v>39.0</v>
      </c>
      <c r="D4225" s="1">
        <v>12.0</v>
      </c>
      <c r="F4225" s="1" t="str">
        <f>LOOKUP(A4225, NPCs!A:A, NPCs!C:C)</f>
        <v>Chief Pumpkin</v>
      </c>
      <c r="G4225" s="1" t="str">
        <f>LOOKUP(B4225, Maps!A:A, Maps!B:B)</f>
        <v>Pumpkin Grove</v>
      </c>
    </row>
    <row r="4226" ht="15.75" customHeight="1">
      <c r="A4226" s="1">
        <v>168.0</v>
      </c>
      <c r="B4226" s="1">
        <v>38.0</v>
      </c>
      <c r="C4226" s="1">
        <v>38.0</v>
      </c>
      <c r="D4226" s="1">
        <v>15.0</v>
      </c>
      <c r="F4226" s="1" t="str">
        <f>LOOKUP(A4226, NPCs!A:A, NPCs!C:C)</f>
        <v>Chief Pumpkin</v>
      </c>
      <c r="G4226" s="1" t="str">
        <f>LOOKUP(B4226, Maps!A:A, Maps!B:B)</f>
        <v>Pumpkin Grove</v>
      </c>
    </row>
    <row r="4227" ht="15.75" customHeight="1">
      <c r="A4227" s="1">
        <v>168.0</v>
      </c>
      <c r="B4227" s="1">
        <v>38.0</v>
      </c>
      <c r="C4227" s="1">
        <v>33.0</v>
      </c>
      <c r="D4227" s="1">
        <v>16.0</v>
      </c>
      <c r="F4227" s="1" t="str">
        <f>LOOKUP(A4227, NPCs!A:A, NPCs!C:C)</f>
        <v>Chief Pumpkin</v>
      </c>
      <c r="G4227" s="1" t="str">
        <f>LOOKUP(B4227, Maps!A:A, Maps!B:B)</f>
        <v>Pumpkin Grove</v>
      </c>
    </row>
    <row r="4228" ht="15.75" customHeight="1">
      <c r="A4228" s="1">
        <v>168.0</v>
      </c>
      <c r="B4228" s="1">
        <v>38.0</v>
      </c>
      <c r="C4228" s="1">
        <v>30.0</v>
      </c>
      <c r="D4228" s="1">
        <v>12.0</v>
      </c>
      <c r="F4228" s="1" t="str">
        <f>LOOKUP(A4228, NPCs!A:A, NPCs!C:C)</f>
        <v>Chief Pumpkin</v>
      </c>
      <c r="G4228" s="1" t="str">
        <f>LOOKUP(B4228, Maps!A:A, Maps!B:B)</f>
        <v>Pumpkin Grove</v>
      </c>
    </row>
    <row r="4229" ht="15.75" customHeight="1">
      <c r="A4229" s="1">
        <v>168.0</v>
      </c>
      <c r="B4229" s="1">
        <v>38.0</v>
      </c>
      <c r="C4229" s="1">
        <v>26.0</v>
      </c>
      <c r="D4229" s="1">
        <v>11.0</v>
      </c>
      <c r="F4229" s="1" t="str">
        <f>LOOKUP(A4229, NPCs!A:A, NPCs!C:C)</f>
        <v>Chief Pumpkin</v>
      </c>
      <c r="G4229" s="1" t="str">
        <f>LOOKUP(B4229, Maps!A:A, Maps!B:B)</f>
        <v>Pumpkin Grove</v>
      </c>
    </row>
    <row r="4230" ht="15.75" customHeight="1">
      <c r="A4230" s="1">
        <v>168.0</v>
      </c>
      <c r="B4230" s="1">
        <v>38.0</v>
      </c>
      <c r="C4230" s="1">
        <v>24.0</v>
      </c>
      <c r="D4230" s="1">
        <v>13.0</v>
      </c>
      <c r="F4230" s="1" t="str">
        <f>LOOKUP(A4230, NPCs!A:A, NPCs!C:C)</f>
        <v>Chief Pumpkin</v>
      </c>
      <c r="G4230" s="1" t="str">
        <f>LOOKUP(B4230, Maps!A:A, Maps!B:B)</f>
        <v>Pumpkin Grove</v>
      </c>
    </row>
    <row r="4231" ht="15.75" customHeight="1">
      <c r="A4231" s="1">
        <v>168.0</v>
      </c>
      <c r="B4231" s="1">
        <v>38.0</v>
      </c>
      <c r="C4231" s="1">
        <v>22.0</v>
      </c>
      <c r="D4231" s="1">
        <v>14.0</v>
      </c>
      <c r="F4231" s="1" t="str">
        <f>LOOKUP(A4231, NPCs!A:A, NPCs!C:C)</f>
        <v>Chief Pumpkin</v>
      </c>
      <c r="G4231" s="1" t="str">
        <f>LOOKUP(B4231, Maps!A:A, Maps!B:B)</f>
        <v>Pumpkin Grove</v>
      </c>
    </row>
    <row r="4232" ht="15.75" customHeight="1">
      <c r="A4232" s="1">
        <v>168.0</v>
      </c>
      <c r="B4232" s="1">
        <v>38.0</v>
      </c>
      <c r="C4232" s="1">
        <v>19.0</v>
      </c>
      <c r="D4232" s="1">
        <v>11.0</v>
      </c>
      <c r="F4232" s="1" t="str">
        <f>LOOKUP(A4232, NPCs!A:A, NPCs!C:C)</f>
        <v>Chief Pumpkin</v>
      </c>
      <c r="G4232" s="1" t="str">
        <f>LOOKUP(B4232, Maps!A:A, Maps!B:B)</f>
        <v>Pumpkin Grove</v>
      </c>
    </row>
    <row r="4233" ht="15.75" customHeight="1">
      <c r="A4233" s="1">
        <v>168.0</v>
      </c>
      <c r="B4233" s="1">
        <v>38.0</v>
      </c>
      <c r="C4233" s="1">
        <v>18.0</v>
      </c>
      <c r="D4233" s="1">
        <v>13.0</v>
      </c>
      <c r="F4233" s="1" t="str">
        <f>LOOKUP(A4233, NPCs!A:A, NPCs!C:C)</f>
        <v>Chief Pumpkin</v>
      </c>
      <c r="G4233" s="1" t="str">
        <f>LOOKUP(B4233, Maps!A:A, Maps!B:B)</f>
        <v>Pumpkin Grove</v>
      </c>
    </row>
    <row r="4234" ht="15.75" customHeight="1">
      <c r="A4234" s="1">
        <v>168.0</v>
      </c>
      <c r="B4234" s="1">
        <v>38.0</v>
      </c>
      <c r="C4234" s="1">
        <v>17.0</v>
      </c>
      <c r="D4234" s="1">
        <v>16.0</v>
      </c>
      <c r="F4234" s="1" t="str">
        <f>LOOKUP(A4234, NPCs!A:A, NPCs!C:C)</f>
        <v>Chief Pumpkin</v>
      </c>
      <c r="G4234" s="1" t="str">
        <f>LOOKUP(B4234, Maps!A:A, Maps!B:B)</f>
        <v>Pumpkin Grove</v>
      </c>
    </row>
    <row r="4235" ht="15.75" customHeight="1">
      <c r="A4235" s="1">
        <v>168.0</v>
      </c>
      <c r="B4235" s="1">
        <v>38.0</v>
      </c>
      <c r="C4235" s="1">
        <v>16.0</v>
      </c>
      <c r="D4235" s="1">
        <v>17.0</v>
      </c>
      <c r="F4235" s="1" t="str">
        <f>LOOKUP(A4235, NPCs!A:A, NPCs!C:C)</f>
        <v>Chief Pumpkin</v>
      </c>
      <c r="G4235" s="1" t="str">
        <f>LOOKUP(B4235, Maps!A:A, Maps!B:B)</f>
        <v>Pumpkin Grove</v>
      </c>
    </row>
    <row r="4236" ht="15.75" customHeight="1">
      <c r="A4236" s="1">
        <v>168.0</v>
      </c>
      <c r="B4236" s="1">
        <v>38.0</v>
      </c>
      <c r="C4236" s="1">
        <v>15.0</v>
      </c>
      <c r="D4236" s="1">
        <v>20.0</v>
      </c>
      <c r="F4236" s="1" t="str">
        <f>LOOKUP(A4236, NPCs!A:A, NPCs!C:C)</f>
        <v>Chief Pumpkin</v>
      </c>
      <c r="G4236" s="1" t="str">
        <f>LOOKUP(B4236, Maps!A:A, Maps!B:B)</f>
        <v>Pumpkin Grove</v>
      </c>
    </row>
    <row r="4237" ht="15.75" customHeight="1">
      <c r="A4237" s="1">
        <v>168.0</v>
      </c>
      <c r="B4237" s="1">
        <v>38.0</v>
      </c>
      <c r="C4237" s="1">
        <v>15.0</v>
      </c>
      <c r="D4237" s="1">
        <v>22.0</v>
      </c>
      <c r="F4237" s="1" t="str">
        <f>LOOKUP(A4237, NPCs!A:A, NPCs!C:C)</f>
        <v>Chief Pumpkin</v>
      </c>
      <c r="G4237" s="1" t="str">
        <f>LOOKUP(B4237, Maps!A:A, Maps!B:B)</f>
        <v>Pumpkin Grove</v>
      </c>
    </row>
    <row r="4238" ht="15.75" customHeight="1">
      <c r="A4238" s="1">
        <v>168.0</v>
      </c>
      <c r="B4238" s="1">
        <v>38.0</v>
      </c>
      <c r="C4238" s="1">
        <v>17.0</v>
      </c>
      <c r="D4238" s="1">
        <v>24.0</v>
      </c>
      <c r="F4238" s="1" t="str">
        <f>LOOKUP(A4238, NPCs!A:A, NPCs!C:C)</f>
        <v>Chief Pumpkin</v>
      </c>
      <c r="G4238" s="1" t="str">
        <f>LOOKUP(B4238, Maps!A:A, Maps!B:B)</f>
        <v>Pumpkin Grove</v>
      </c>
    </row>
    <row r="4239" ht="15.75" customHeight="1">
      <c r="A4239" s="1">
        <v>168.0</v>
      </c>
      <c r="B4239" s="1">
        <v>38.0</v>
      </c>
      <c r="C4239" s="1">
        <v>20.0</v>
      </c>
      <c r="D4239" s="1">
        <v>25.0</v>
      </c>
      <c r="F4239" s="1" t="str">
        <f>LOOKUP(A4239, NPCs!A:A, NPCs!C:C)</f>
        <v>Chief Pumpkin</v>
      </c>
      <c r="G4239" s="1" t="str">
        <f>LOOKUP(B4239, Maps!A:A, Maps!B:B)</f>
        <v>Pumpkin Grove</v>
      </c>
    </row>
    <row r="4240" ht="15.75" customHeight="1">
      <c r="A4240" s="1">
        <v>168.0</v>
      </c>
      <c r="B4240" s="1">
        <v>38.0</v>
      </c>
      <c r="C4240" s="1">
        <v>25.0</v>
      </c>
      <c r="D4240" s="1">
        <v>23.0</v>
      </c>
      <c r="F4240" s="1" t="str">
        <f>LOOKUP(A4240, NPCs!A:A, NPCs!C:C)</f>
        <v>Chief Pumpkin</v>
      </c>
      <c r="G4240" s="1" t="str">
        <f>LOOKUP(B4240, Maps!A:A, Maps!B:B)</f>
        <v>Pumpkin Grove</v>
      </c>
    </row>
    <row r="4241" ht="15.75" customHeight="1">
      <c r="A4241" s="1">
        <v>168.0</v>
      </c>
      <c r="B4241" s="1">
        <v>38.0</v>
      </c>
      <c r="C4241" s="1">
        <v>24.0</v>
      </c>
      <c r="D4241" s="1">
        <v>21.0</v>
      </c>
      <c r="F4241" s="1" t="str">
        <f>LOOKUP(A4241, NPCs!A:A, NPCs!C:C)</f>
        <v>Chief Pumpkin</v>
      </c>
      <c r="G4241" s="1" t="str">
        <f>LOOKUP(B4241, Maps!A:A, Maps!B:B)</f>
        <v>Pumpkin Grove</v>
      </c>
    </row>
    <row r="4242" ht="15.75" customHeight="1">
      <c r="A4242" s="1">
        <v>168.0</v>
      </c>
      <c r="B4242" s="1">
        <v>38.0</v>
      </c>
      <c r="C4242" s="1">
        <v>21.0</v>
      </c>
      <c r="D4242" s="1">
        <v>20.0</v>
      </c>
      <c r="F4242" s="1" t="str">
        <f>LOOKUP(A4242, NPCs!A:A, NPCs!C:C)</f>
        <v>Chief Pumpkin</v>
      </c>
      <c r="G4242" s="1" t="str">
        <f>LOOKUP(B4242, Maps!A:A, Maps!B:B)</f>
        <v>Pumpkin Grove</v>
      </c>
    </row>
    <row r="4243" ht="15.75" customHeight="1">
      <c r="A4243" s="1">
        <v>168.0</v>
      </c>
      <c r="B4243" s="1">
        <v>38.0</v>
      </c>
      <c r="C4243" s="1">
        <v>22.0</v>
      </c>
      <c r="D4243" s="1">
        <v>18.0</v>
      </c>
      <c r="F4243" s="1" t="str">
        <f>LOOKUP(A4243, NPCs!A:A, NPCs!C:C)</f>
        <v>Chief Pumpkin</v>
      </c>
      <c r="G4243" s="1" t="str">
        <f>LOOKUP(B4243, Maps!A:A, Maps!B:B)</f>
        <v>Pumpkin Grove</v>
      </c>
    </row>
    <row r="4244" ht="15.75" customHeight="1">
      <c r="A4244" s="1">
        <v>168.0</v>
      </c>
      <c r="B4244" s="1">
        <v>38.0</v>
      </c>
      <c r="C4244" s="1">
        <v>26.0</v>
      </c>
      <c r="D4244" s="1">
        <v>18.0</v>
      </c>
      <c r="F4244" s="1" t="str">
        <f>LOOKUP(A4244, NPCs!A:A, NPCs!C:C)</f>
        <v>Chief Pumpkin</v>
      </c>
      <c r="G4244" s="1" t="str">
        <f>LOOKUP(B4244, Maps!A:A, Maps!B:B)</f>
        <v>Pumpkin Grove</v>
      </c>
    </row>
    <row r="4245" ht="15.75" customHeight="1">
      <c r="A4245" s="1">
        <v>168.0</v>
      </c>
      <c r="B4245" s="1">
        <v>38.0</v>
      </c>
      <c r="C4245" s="1">
        <v>28.0</v>
      </c>
      <c r="D4245" s="1">
        <v>19.0</v>
      </c>
      <c r="F4245" s="1" t="str">
        <f>LOOKUP(A4245, NPCs!A:A, NPCs!C:C)</f>
        <v>Chief Pumpkin</v>
      </c>
      <c r="G4245" s="1" t="str">
        <f>LOOKUP(B4245, Maps!A:A, Maps!B:B)</f>
        <v>Pumpkin Grove</v>
      </c>
    </row>
    <row r="4246" ht="15.75" customHeight="1">
      <c r="A4246" s="1">
        <v>168.0</v>
      </c>
      <c r="B4246" s="1">
        <v>38.0</v>
      </c>
      <c r="C4246" s="1">
        <v>28.0</v>
      </c>
      <c r="D4246" s="1">
        <v>21.0</v>
      </c>
      <c r="F4246" s="1" t="str">
        <f>LOOKUP(A4246, NPCs!A:A, NPCs!C:C)</f>
        <v>Chief Pumpkin</v>
      </c>
      <c r="G4246" s="1" t="str">
        <f>LOOKUP(B4246, Maps!A:A, Maps!B:B)</f>
        <v>Pumpkin Grove</v>
      </c>
    </row>
    <row r="4247" ht="15.75" customHeight="1">
      <c r="A4247" s="1">
        <v>168.0</v>
      </c>
      <c r="B4247" s="1">
        <v>38.0</v>
      </c>
      <c r="C4247" s="1">
        <v>19.0</v>
      </c>
      <c r="D4247" s="1">
        <v>31.0</v>
      </c>
      <c r="F4247" s="1" t="str">
        <f>LOOKUP(A4247, NPCs!A:A, NPCs!C:C)</f>
        <v>Chief Pumpkin</v>
      </c>
      <c r="G4247" s="1" t="str">
        <f>LOOKUP(B4247, Maps!A:A, Maps!B:B)</f>
        <v>Pumpkin Grove</v>
      </c>
    </row>
    <row r="4248" ht="15.75" customHeight="1">
      <c r="A4248" s="1">
        <v>168.0</v>
      </c>
      <c r="B4248" s="1">
        <v>38.0</v>
      </c>
      <c r="C4248" s="1">
        <v>20.0</v>
      </c>
      <c r="D4248" s="1">
        <v>31.0</v>
      </c>
      <c r="F4248" s="1" t="str">
        <f>LOOKUP(A4248, NPCs!A:A, NPCs!C:C)</f>
        <v>Chief Pumpkin</v>
      </c>
      <c r="G4248" s="1" t="str">
        <f>LOOKUP(B4248, Maps!A:A, Maps!B:B)</f>
        <v>Pumpkin Grove</v>
      </c>
    </row>
    <row r="4249" ht="15.75" customHeight="1">
      <c r="A4249" s="1">
        <v>168.0</v>
      </c>
      <c r="B4249" s="1">
        <v>38.0</v>
      </c>
      <c r="C4249" s="1">
        <v>22.0</v>
      </c>
      <c r="D4249" s="1">
        <v>31.0</v>
      </c>
      <c r="F4249" s="1" t="str">
        <f>LOOKUP(A4249, NPCs!A:A, NPCs!C:C)</f>
        <v>Chief Pumpkin</v>
      </c>
      <c r="G4249" s="1" t="str">
        <f>LOOKUP(B4249, Maps!A:A, Maps!B:B)</f>
        <v>Pumpkin Grove</v>
      </c>
    </row>
    <row r="4250" ht="15.75" customHeight="1">
      <c r="A4250" s="1">
        <v>168.0</v>
      </c>
      <c r="B4250" s="1">
        <v>38.0</v>
      </c>
      <c r="C4250" s="1">
        <v>23.0</v>
      </c>
      <c r="D4250" s="1">
        <v>32.0</v>
      </c>
      <c r="F4250" s="1" t="str">
        <f>LOOKUP(A4250, NPCs!A:A, NPCs!C:C)</f>
        <v>Chief Pumpkin</v>
      </c>
      <c r="G4250" s="1" t="str">
        <f>LOOKUP(B4250, Maps!A:A, Maps!B:B)</f>
        <v>Pumpkin Grove</v>
      </c>
    </row>
    <row r="4251" ht="15.75" customHeight="1">
      <c r="A4251" s="1">
        <v>168.0</v>
      </c>
      <c r="B4251" s="1">
        <v>38.0</v>
      </c>
      <c r="C4251" s="1">
        <v>19.0</v>
      </c>
      <c r="D4251" s="1">
        <v>33.0</v>
      </c>
      <c r="F4251" s="1" t="str">
        <f>LOOKUP(A4251, NPCs!A:A, NPCs!C:C)</f>
        <v>Chief Pumpkin</v>
      </c>
      <c r="G4251" s="1" t="str">
        <f>LOOKUP(B4251, Maps!A:A, Maps!B:B)</f>
        <v>Pumpkin Grove</v>
      </c>
    </row>
    <row r="4252" ht="15.75" customHeight="1">
      <c r="A4252" s="1">
        <v>168.0</v>
      </c>
      <c r="B4252" s="1">
        <v>38.0</v>
      </c>
      <c r="C4252" s="1">
        <v>21.0</v>
      </c>
      <c r="D4252" s="1">
        <v>35.0</v>
      </c>
      <c r="F4252" s="1" t="str">
        <f>LOOKUP(A4252, NPCs!A:A, NPCs!C:C)</f>
        <v>Chief Pumpkin</v>
      </c>
      <c r="G4252" s="1" t="str">
        <f>LOOKUP(B4252, Maps!A:A, Maps!B:B)</f>
        <v>Pumpkin Grove</v>
      </c>
    </row>
    <row r="4253" ht="15.75" customHeight="1">
      <c r="A4253" s="1">
        <v>168.0</v>
      </c>
      <c r="B4253" s="1">
        <v>38.0</v>
      </c>
      <c r="C4253" s="1">
        <v>27.0</v>
      </c>
      <c r="D4253" s="1">
        <v>25.0</v>
      </c>
      <c r="F4253" s="1" t="str">
        <f>LOOKUP(A4253, NPCs!A:A, NPCs!C:C)</f>
        <v>Chief Pumpkin</v>
      </c>
      <c r="G4253" s="1" t="str">
        <f>LOOKUP(B4253, Maps!A:A, Maps!B:B)</f>
        <v>Pumpkin Grove</v>
      </c>
    </row>
    <row r="4254" ht="15.75" customHeight="1">
      <c r="A4254" s="1">
        <v>168.0</v>
      </c>
      <c r="B4254" s="1">
        <v>38.0</v>
      </c>
      <c r="C4254" s="1">
        <v>33.0</v>
      </c>
      <c r="D4254" s="1">
        <v>23.0</v>
      </c>
      <c r="F4254" s="1" t="str">
        <f>LOOKUP(A4254, NPCs!A:A, NPCs!C:C)</f>
        <v>Chief Pumpkin</v>
      </c>
      <c r="G4254" s="1" t="str">
        <f>LOOKUP(B4254, Maps!A:A, Maps!B:B)</f>
        <v>Pumpkin Grove</v>
      </c>
    </row>
    <row r="4255" ht="15.75" customHeight="1">
      <c r="A4255" s="1">
        <v>168.0</v>
      </c>
      <c r="B4255" s="1">
        <v>38.0</v>
      </c>
      <c r="C4255" s="1">
        <v>44.0</v>
      </c>
      <c r="D4255" s="1">
        <v>10.0</v>
      </c>
      <c r="F4255" s="1" t="str">
        <f>LOOKUP(A4255, NPCs!A:A, NPCs!C:C)</f>
        <v>Chief Pumpkin</v>
      </c>
      <c r="G4255" s="1" t="str">
        <f>LOOKUP(B4255, Maps!A:A, Maps!B:B)</f>
        <v>Pumpkin Grove</v>
      </c>
    </row>
    <row r="4256" ht="15.75" customHeight="1">
      <c r="A4256" s="1">
        <v>168.0</v>
      </c>
      <c r="B4256" s="1">
        <v>38.0</v>
      </c>
      <c r="C4256" s="1">
        <v>45.0</v>
      </c>
      <c r="D4256" s="1">
        <v>15.0</v>
      </c>
      <c r="F4256" s="1" t="str">
        <f>LOOKUP(A4256, NPCs!A:A, NPCs!C:C)</f>
        <v>Chief Pumpkin</v>
      </c>
      <c r="G4256" s="1" t="str">
        <f>LOOKUP(B4256, Maps!A:A, Maps!B:B)</f>
        <v>Pumpkin Grove</v>
      </c>
    </row>
    <row r="4257" ht="15.75" customHeight="1">
      <c r="A4257" s="1">
        <v>168.0</v>
      </c>
      <c r="B4257" s="1">
        <v>38.0</v>
      </c>
      <c r="C4257" s="1">
        <v>45.0</v>
      </c>
      <c r="D4257" s="1">
        <v>19.0</v>
      </c>
      <c r="F4257" s="1" t="str">
        <f>LOOKUP(A4257, NPCs!A:A, NPCs!C:C)</f>
        <v>Chief Pumpkin</v>
      </c>
      <c r="G4257" s="1" t="str">
        <f>LOOKUP(B4257, Maps!A:A, Maps!B:B)</f>
        <v>Pumpkin Grove</v>
      </c>
    </row>
    <row r="4258" ht="15.75" customHeight="1">
      <c r="A4258" s="1">
        <v>168.0</v>
      </c>
      <c r="B4258" s="1">
        <v>38.0</v>
      </c>
      <c r="C4258" s="1">
        <v>46.0</v>
      </c>
      <c r="D4258" s="1">
        <v>20.0</v>
      </c>
      <c r="F4258" s="1" t="str">
        <f>LOOKUP(A4258, NPCs!A:A, NPCs!C:C)</f>
        <v>Chief Pumpkin</v>
      </c>
      <c r="G4258" s="1" t="str">
        <f>LOOKUP(B4258, Maps!A:A, Maps!B:B)</f>
        <v>Pumpkin Grove</v>
      </c>
    </row>
    <row r="4259" ht="15.75" customHeight="1">
      <c r="A4259" s="1">
        <v>168.0</v>
      </c>
      <c r="B4259" s="1">
        <v>38.0</v>
      </c>
      <c r="C4259" s="1">
        <v>47.0</v>
      </c>
      <c r="D4259" s="1">
        <v>23.0</v>
      </c>
      <c r="F4259" s="1" t="str">
        <f>LOOKUP(A4259, NPCs!A:A, NPCs!C:C)</f>
        <v>Chief Pumpkin</v>
      </c>
      <c r="G4259" s="1" t="str">
        <f>LOOKUP(B4259, Maps!A:A, Maps!B:B)</f>
        <v>Pumpkin Grove</v>
      </c>
    </row>
    <row r="4260" ht="15.75" customHeight="1">
      <c r="A4260" s="1">
        <v>168.0</v>
      </c>
      <c r="B4260" s="1">
        <v>38.0</v>
      </c>
      <c r="C4260" s="1">
        <v>48.0</v>
      </c>
      <c r="D4260" s="1">
        <v>25.0</v>
      </c>
      <c r="F4260" s="1" t="str">
        <f>LOOKUP(A4260, NPCs!A:A, NPCs!C:C)</f>
        <v>Chief Pumpkin</v>
      </c>
      <c r="G4260" s="1" t="str">
        <f>LOOKUP(B4260, Maps!A:A, Maps!B:B)</f>
        <v>Pumpkin Grove</v>
      </c>
    </row>
    <row r="4261" ht="15.75" customHeight="1">
      <c r="A4261" s="1">
        <v>168.0</v>
      </c>
      <c r="B4261" s="1">
        <v>38.0</v>
      </c>
      <c r="C4261" s="1">
        <v>46.0</v>
      </c>
      <c r="D4261" s="1">
        <v>27.0</v>
      </c>
      <c r="F4261" s="1" t="str">
        <f>LOOKUP(A4261, NPCs!A:A, NPCs!C:C)</f>
        <v>Chief Pumpkin</v>
      </c>
      <c r="G4261" s="1" t="str">
        <f>LOOKUP(B4261, Maps!A:A, Maps!B:B)</f>
        <v>Pumpkin Grove</v>
      </c>
    </row>
    <row r="4262" ht="15.75" customHeight="1">
      <c r="A4262" s="1">
        <v>168.0</v>
      </c>
      <c r="B4262" s="1">
        <v>38.0</v>
      </c>
      <c r="C4262" s="1">
        <v>41.0</v>
      </c>
      <c r="D4262" s="1">
        <v>26.0</v>
      </c>
      <c r="F4262" s="1" t="str">
        <f>LOOKUP(A4262, NPCs!A:A, NPCs!C:C)</f>
        <v>Chief Pumpkin</v>
      </c>
      <c r="G4262" s="1" t="str">
        <f>LOOKUP(B4262, Maps!A:A, Maps!B:B)</f>
        <v>Pumpkin Grove</v>
      </c>
    </row>
    <row r="4263" ht="15.75" customHeight="1">
      <c r="A4263" s="1">
        <v>168.0</v>
      </c>
      <c r="B4263" s="1">
        <v>38.0</v>
      </c>
      <c r="C4263" s="1">
        <v>43.0</v>
      </c>
      <c r="D4263" s="1">
        <v>23.0</v>
      </c>
      <c r="F4263" s="1" t="str">
        <f>LOOKUP(A4263, NPCs!A:A, NPCs!C:C)</f>
        <v>Chief Pumpkin</v>
      </c>
      <c r="G4263" s="1" t="str">
        <f>LOOKUP(B4263, Maps!A:A, Maps!B:B)</f>
        <v>Pumpkin Grove</v>
      </c>
    </row>
    <row r="4264" ht="15.75" customHeight="1">
      <c r="A4264" s="1">
        <v>168.0</v>
      </c>
      <c r="B4264" s="1">
        <v>38.0</v>
      </c>
      <c r="C4264" s="1">
        <v>44.0</v>
      </c>
      <c r="D4264" s="1">
        <v>22.0</v>
      </c>
      <c r="F4264" s="1" t="str">
        <f>LOOKUP(A4264, NPCs!A:A, NPCs!C:C)</f>
        <v>Chief Pumpkin</v>
      </c>
      <c r="G4264" s="1" t="str">
        <f>LOOKUP(B4264, Maps!A:A, Maps!B:B)</f>
        <v>Pumpkin Grove</v>
      </c>
    </row>
    <row r="4265" ht="15.75" customHeight="1">
      <c r="A4265" s="1">
        <v>168.0</v>
      </c>
      <c r="B4265" s="1">
        <v>38.0</v>
      </c>
      <c r="C4265" s="1">
        <v>38.0</v>
      </c>
      <c r="D4265" s="1">
        <v>20.0</v>
      </c>
      <c r="F4265" s="1" t="str">
        <f>LOOKUP(A4265, NPCs!A:A, NPCs!C:C)</f>
        <v>Chief Pumpkin</v>
      </c>
      <c r="G4265" s="1" t="str">
        <f>LOOKUP(B4265, Maps!A:A, Maps!B:B)</f>
        <v>Pumpkin Grove</v>
      </c>
    </row>
    <row r="4266" ht="15.75" customHeight="1">
      <c r="A4266" s="1">
        <v>168.0</v>
      </c>
      <c r="B4266" s="1">
        <v>38.0</v>
      </c>
      <c r="C4266" s="1">
        <v>39.0</v>
      </c>
      <c r="D4266" s="1">
        <v>18.0</v>
      </c>
      <c r="F4266" s="1" t="str">
        <f>LOOKUP(A4266, NPCs!A:A, NPCs!C:C)</f>
        <v>Chief Pumpkin</v>
      </c>
      <c r="G4266" s="1" t="str">
        <f>LOOKUP(B4266, Maps!A:A, Maps!B:B)</f>
        <v>Pumpkin Grove</v>
      </c>
    </row>
    <row r="4267" ht="15.75" customHeight="1">
      <c r="A4267" s="1">
        <v>168.0</v>
      </c>
      <c r="B4267" s="1">
        <v>38.0</v>
      </c>
      <c r="C4267" s="1">
        <v>36.0</v>
      </c>
      <c r="D4267" s="1">
        <v>18.0</v>
      </c>
      <c r="F4267" s="1" t="str">
        <f>LOOKUP(A4267, NPCs!A:A, NPCs!C:C)</f>
        <v>Chief Pumpkin</v>
      </c>
      <c r="G4267" s="1" t="str">
        <f>LOOKUP(B4267, Maps!A:A, Maps!B:B)</f>
        <v>Pumpkin Grove</v>
      </c>
    </row>
    <row r="4268" ht="15.75" customHeight="1">
      <c r="A4268" s="1">
        <v>168.0</v>
      </c>
      <c r="B4268" s="1">
        <v>38.0</v>
      </c>
      <c r="C4268" s="1">
        <v>48.0</v>
      </c>
      <c r="D4268" s="1">
        <v>32.0</v>
      </c>
      <c r="F4268" s="1" t="str">
        <f>LOOKUP(A4268, NPCs!A:A, NPCs!C:C)</f>
        <v>Chief Pumpkin</v>
      </c>
      <c r="G4268" s="1" t="str">
        <f>LOOKUP(B4268, Maps!A:A, Maps!B:B)</f>
        <v>Pumpkin Grove</v>
      </c>
    </row>
    <row r="4269" ht="15.75" customHeight="1">
      <c r="A4269" s="1">
        <v>168.0</v>
      </c>
      <c r="B4269" s="1">
        <v>38.0</v>
      </c>
      <c r="C4269" s="1">
        <v>47.0</v>
      </c>
      <c r="D4269" s="1">
        <v>35.0</v>
      </c>
      <c r="F4269" s="1" t="str">
        <f>LOOKUP(A4269, NPCs!A:A, NPCs!C:C)</f>
        <v>Chief Pumpkin</v>
      </c>
      <c r="G4269" s="1" t="str">
        <f>LOOKUP(B4269, Maps!A:A, Maps!B:B)</f>
        <v>Pumpkin Grove</v>
      </c>
    </row>
    <row r="4270" ht="15.75" customHeight="1">
      <c r="A4270" s="1">
        <v>168.0</v>
      </c>
      <c r="B4270" s="1">
        <v>38.0</v>
      </c>
      <c r="C4270" s="1">
        <v>47.0</v>
      </c>
      <c r="D4270" s="1">
        <v>39.0</v>
      </c>
      <c r="F4270" s="1" t="str">
        <f>LOOKUP(A4270, NPCs!A:A, NPCs!C:C)</f>
        <v>Chief Pumpkin</v>
      </c>
      <c r="G4270" s="1" t="str">
        <f>LOOKUP(B4270, Maps!A:A, Maps!B:B)</f>
        <v>Pumpkin Grove</v>
      </c>
    </row>
    <row r="4271" ht="15.75" customHeight="1">
      <c r="A4271" s="1">
        <v>168.0</v>
      </c>
      <c r="B4271" s="1">
        <v>38.0</v>
      </c>
      <c r="C4271" s="1">
        <v>46.0</v>
      </c>
      <c r="D4271" s="1">
        <v>40.0</v>
      </c>
      <c r="F4271" s="1" t="str">
        <f>LOOKUP(A4271, NPCs!A:A, NPCs!C:C)</f>
        <v>Chief Pumpkin</v>
      </c>
      <c r="G4271" s="1" t="str">
        <f>LOOKUP(B4271, Maps!A:A, Maps!B:B)</f>
        <v>Pumpkin Grove</v>
      </c>
    </row>
    <row r="4272" ht="15.75" customHeight="1">
      <c r="A4272" s="1">
        <v>168.0</v>
      </c>
      <c r="B4272" s="1">
        <v>38.0</v>
      </c>
      <c r="C4272" s="1">
        <v>41.0</v>
      </c>
      <c r="D4272" s="1">
        <v>41.0</v>
      </c>
      <c r="F4272" s="1" t="str">
        <f>LOOKUP(A4272, NPCs!A:A, NPCs!C:C)</f>
        <v>Chief Pumpkin</v>
      </c>
      <c r="G4272" s="1" t="str">
        <f>LOOKUP(B4272, Maps!A:A, Maps!B:B)</f>
        <v>Pumpkin Grove</v>
      </c>
    </row>
    <row r="4273" ht="15.75" customHeight="1">
      <c r="A4273" s="1">
        <v>168.0</v>
      </c>
      <c r="B4273" s="1">
        <v>38.0</v>
      </c>
      <c r="C4273" s="1">
        <v>40.0</v>
      </c>
      <c r="D4273" s="1">
        <v>42.0</v>
      </c>
      <c r="F4273" s="1" t="str">
        <f>LOOKUP(A4273, NPCs!A:A, NPCs!C:C)</f>
        <v>Chief Pumpkin</v>
      </c>
      <c r="G4273" s="1" t="str">
        <f>LOOKUP(B4273, Maps!A:A, Maps!B:B)</f>
        <v>Pumpkin Grove</v>
      </c>
    </row>
    <row r="4274" ht="15.75" customHeight="1">
      <c r="A4274" s="1">
        <v>168.0</v>
      </c>
      <c r="B4274" s="1">
        <v>38.0</v>
      </c>
      <c r="C4274" s="1">
        <v>37.0</v>
      </c>
      <c r="D4274" s="1">
        <v>42.0</v>
      </c>
      <c r="F4274" s="1" t="str">
        <f>LOOKUP(A4274, NPCs!A:A, NPCs!C:C)</f>
        <v>Chief Pumpkin</v>
      </c>
      <c r="G4274" s="1" t="str">
        <f>LOOKUP(B4274, Maps!A:A, Maps!B:B)</f>
        <v>Pumpkin Grove</v>
      </c>
    </row>
    <row r="4275" ht="15.75" customHeight="1">
      <c r="A4275" s="1">
        <v>168.0</v>
      </c>
      <c r="B4275" s="1">
        <v>38.0</v>
      </c>
      <c r="C4275" s="1">
        <v>34.0</v>
      </c>
      <c r="D4275" s="1">
        <v>40.0</v>
      </c>
      <c r="F4275" s="1" t="str">
        <f>LOOKUP(A4275, NPCs!A:A, NPCs!C:C)</f>
        <v>Chief Pumpkin</v>
      </c>
      <c r="G4275" s="1" t="str">
        <f>LOOKUP(B4275, Maps!A:A, Maps!B:B)</f>
        <v>Pumpkin Grove</v>
      </c>
    </row>
    <row r="4276" ht="15.75" customHeight="1">
      <c r="A4276" s="1">
        <v>168.0</v>
      </c>
      <c r="B4276" s="1">
        <v>38.0</v>
      </c>
      <c r="C4276" s="1">
        <v>33.0</v>
      </c>
      <c r="D4276" s="1">
        <v>41.0</v>
      </c>
      <c r="F4276" s="1" t="str">
        <f>LOOKUP(A4276, NPCs!A:A, NPCs!C:C)</f>
        <v>Chief Pumpkin</v>
      </c>
      <c r="G4276" s="1" t="str">
        <f>LOOKUP(B4276, Maps!A:A, Maps!B:B)</f>
        <v>Pumpkin Grove</v>
      </c>
    </row>
    <row r="4277" ht="15.75" customHeight="1">
      <c r="A4277" s="1">
        <v>168.0</v>
      </c>
      <c r="B4277" s="1">
        <v>38.0</v>
      </c>
      <c r="C4277" s="1">
        <v>32.0</v>
      </c>
      <c r="D4277" s="1">
        <v>43.0</v>
      </c>
      <c r="F4277" s="1" t="str">
        <f>LOOKUP(A4277, NPCs!A:A, NPCs!C:C)</f>
        <v>Chief Pumpkin</v>
      </c>
      <c r="G4277" s="1" t="str">
        <f>LOOKUP(B4277, Maps!A:A, Maps!B:B)</f>
        <v>Pumpkin Grove</v>
      </c>
    </row>
    <row r="4278" ht="15.75" customHeight="1">
      <c r="A4278" s="1">
        <v>168.0</v>
      </c>
      <c r="B4278" s="1">
        <v>38.0</v>
      </c>
      <c r="C4278" s="1">
        <v>28.0</v>
      </c>
      <c r="D4278" s="1">
        <v>43.0</v>
      </c>
      <c r="F4278" s="1" t="str">
        <f>LOOKUP(A4278, NPCs!A:A, NPCs!C:C)</f>
        <v>Chief Pumpkin</v>
      </c>
      <c r="G4278" s="1" t="str">
        <f>LOOKUP(B4278, Maps!A:A, Maps!B:B)</f>
        <v>Pumpkin Grove</v>
      </c>
    </row>
    <row r="4279" ht="15.75" customHeight="1">
      <c r="A4279" s="1">
        <v>168.0</v>
      </c>
      <c r="B4279" s="1">
        <v>38.0</v>
      </c>
      <c r="C4279" s="1">
        <v>22.0</v>
      </c>
      <c r="D4279" s="1">
        <v>44.0</v>
      </c>
      <c r="F4279" s="1" t="str">
        <f>LOOKUP(A4279, NPCs!A:A, NPCs!C:C)</f>
        <v>Chief Pumpkin</v>
      </c>
      <c r="G4279" s="1" t="str">
        <f>LOOKUP(B4279, Maps!A:A, Maps!B:B)</f>
        <v>Pumpkin Grove</v>
      </c>
    </row>
    <row r="4280" ht="15.75" customHeight="1">
      <c r="A4280" s="1">
        <v>168.0</v>
      </c>
      <c r="B4280" s="1">
        <v>38.0</v>
      </c>
      <c r="C4280" s="1">
        <v>21.0</v>
      </c>
      <c r="D4280" s="1">
        <v>43.0</v>
      </c>
      <c r="F4280" s="1" t="str">
        <f>LOOKUP(A4280, NPCs!A:A, NPCs!C:C)</f>
        <v>Chief Pumpkin</v>
      </c>
      <c r="G4280" s="1" t="str">
        <f>LOOKUP(B4280, Maps!A:A, Maps!B:B)</f>
        <v>Pumpkin Grove</v>
      </c>
    </row>
    <row r="4281" ht="15.75" customHeight="1">
      <c r="A4281" s="1">
        <v>168.0</v>
      </c>
      <c r="B4281" s="1">
        <v>38.0</v>
      </c>
      <c r="C4281" s="1">
        <v>19.0</v>
      </c>
      <c r="D4281" s="1">
        <v>41.0</v>
      </c>
      <c r="F4281" s="1" t="str">
        <f>LOOKUP(A4281, NPCs!A:A, NPCs!C:C)</f>
        <v>Chief Pumpkin</v>
      </c>
      <c r="G4281" s="1" t="str">
        <f>LOOKUP(B4281, Maps!A:A, Maps!B:B)</f>
        <v>Pumpkin Grove</v>
      </c>
    </row>
    <row r="4282" ht="15.75" customHeight="1">
      <c r="A4282" s="1">
        <v>168.0</v>
      </c>
      <c r="B4282" s="1">
        <v>38.0</v>
      </c>
      <c r="C4282" s="1">
        <v>23.0</v>
      </c>
      <c r="D4282" s="1">
        <v>41.0</v>
      </c>
      <c r="F4282" s="1" t="str">
        <f>LOOKUP(A4282, NPCs!A:A, NPCs!C:C)</f>
        <v>Chief Pumpkin</v>
      </c>
      <c r="G4282" s="1" t="str">
        <f>LOOKUP(B4282, Maps!A:A, Maps!B:B)</f>
        <v>Pumpkin Grove</v>
      </c>
    </row>
    <row r="4283" ht="15.75" customHeight="1">
      <c r="A4283" s="1">
        <v>168.0</v>
      </c>
      <c r="B4283" s="1">
        <v>38.0</v>
      </c>
      <c r="C4283" s="1">
        <v>26.0</v>
      </c>
      <c r="D4283" s="1">
        <v>41.0</v>
      </c>
      <c r="F4283" s="1" t="str">
        <f>LOOKUP(A4283, NPCs!A:A, NPCs!C:C)</f>
        <v>Chief Pumpkin</v>
      </c>
      <c r="G4283" s="1" t="str">
        <f>LOOKUP(B4283, Maps!A:A, Maps!B:B)</f>
        <v>Pumpkin Grove</v>
      </c>
    </row>
    <row r="4284" ht="15.75" customHeight="1">
      <c r="A4284" s="1">
        <v>168.0</v>
      </c>
      <c r="B4284" s="1">
        <v>38.0</v>
      </c>
      <c r="C4284" s="1">
        <v>24.0</v>
      </c>
      <c r="D4284" s="1">
        <v>40.0</v>
      </c>
      <c r="F4284" s="1" t="str">
        <f>LOOKUP(A4284, NPCs!A:A, NPCs!C:C)</f>
        <v>Chief Pumpkin</v>
      </c>
      <c r="G4284" s="1" t="str">
        <f>LOOKUP(B4284, Maps!A:A, Maps!B:B)</f>
        <v>Pumpkin Grove</v>
      </c>
    </row>
    <row r="4285" ht="15.75" customHeight="1">
      <c r="A4285" s="1">
        <v>168.0</v>
      </c>
      <c r="B4285" s="1">
        <v>38.0</v>
      </c>
      <c r="C4285" s="1">
        <v>41.0</v>
      </c>
      <c r="D4285" s="1">
        <v>14.0</v>
      </c>
      <c r="F4285" s="1" t="str">
        <f>LOOKUP(A4285, NPCs!A:A, NPCs!C:C)</f>
        <v>Chief Pumpkin</v>
      </c>
      <c r="G4285" s="1" t="str">
        <f>LOOKUP(B4285, Maps!A:A, Maps!B:B)</f>
        <v>Pumpkin Grove</v>
      </c>
    </row>
    <row r="4286" ht="15.75" customHeight="1">
      <c r="A4286" s="1">
        <v>168.0</v>
      </c>
      <c r="B4286" s="1">
        <v>38.0</v>
      </c>
      <c r="C4286" s="1">
        <v>42.0</v>
      </c>
      <c r="D4286" s="1">
        <v>14.0</v>
      </c>
      <c r="F4286" s="1" t="str">
        <f>LOOKUP(A4286, NPCs!A:A, NPCs!C:C)</f>
        <v>Chief Pumpkin</v>
      </c>
      <c r="G4286" s="1" t="str">
        <f>LOOKUP(B4286, Maps!A:A, Maps!B:B)</f>
        <v>Pumpkin Grove</v>
      </c>
    </row>
    <row r="4287" ht="15.75" customHeight="1">
      <c r="A4287" s="1">
        <v>168.0</v>
      </c>
      <c r="B4287" s="1">
        <v>38.0</v>
      </c>
      <c r="C4287" s="1">
        <v>43.0</v>
      </c>
      <c r="D4287" s="1">
        <v>14.0</v>
      </c>
      <c r="F4287" s="1" t="str">
        <f>LOOKUP(A4287, NPCs!A:A, NPCs!C:C)</f>
        <v>Chief Pumpkin</v>
      </c>
      <c r="G4287" s="1" t="str">
        <f>LOOKUP(B4287, Maps!A:A, Maps!B:B)</f>
        <v>Pumpkin Grove</v>
      </c>
    </row>
    <row r="4288" ht="15.75" customHeight="1">
      <c r="A4288" s="1">
        <v>168.0</v>
      </c>
      <c r="B4288" s="1">
        <v>38.0</v>
      </c>
      <c r="C4288" s="1">
        <v>44.0</v>
      </c>
      <c r="D4288" s="1">
        <v>14.0</v>
      </c>
      <c r="F4288" s="1" t="str">
        <f>LOOKUP(A4288, NPCs!A:A, NPCs!C:C)</f>
        <v>Chief Pumpkin</v>
      </c>
      <c r="G4288" s="1" t="str">
        <f>LOOKUP(B4288, Maps!A:A, Maps!B:B)</f>
        <v>Pumpkin Grove</v>
      </c>
    </row>
    <row r="4289" ht="15.75" customHeight="1">
      <c r="A4289" s="1">
        <v>168.0</v>
      </c>
      <c r="B4289" s="1">
        <v>38.0</v>
      </c>
      <c r="C4289" s="1">
        <v>43.0</v>
      </c>
      <c r="D4289" s="1">
        <v>10.0</v>
      </c>
      <c r="F4289" s="1" t="str">
        <f>LOOKUP(A4289, NPCs!A:A, NPCs!C:C)</f>
        <v>Chief Pumpkin</v>
      </c>
      <c r="G4289" s="1" t="str">
        <f>LOOKUP(B4289, Maps!A:A, Maps!B:B)</f>
        <v>Pumpkin Grove</v>
      </c>
    </row>
    <row r="4290" ht="15.75" customHeight="1">
      <c r="A4290" s="1">
        <v>168.0</v>
      </c>
      <c r="B4290" s="1">
        <v>38.0</v>
      </c>
      <c r="C4290" s="1">
        <v>42.0</v>
      </c>
      <c r="D4290" s="1">
        <v>10.0</v>
      </c>
      <c r="F4290" s="1" t="str">
        <f>LOOKUP(A4290, NPCs!A:A, NPCs!C:C)</f>
        <v>Chief Pumpkin</v>
      </c>
      <c r="G4290" s="1" t="str">
        <f>LOOKUP(B4290, Maps!A:A, Maps!B:B)</f>
        <v>Pumpkin Grove</v>
      </c>
    </row>
    <row r="4291" ht="15.75" customHeight="1">
      <c r="A4291" s="1">
        <v>168.0</v>
      </c>
      <c r="B4291" s="1">
        <v>38.0</v>
      </c>
      <c r="C4291" s="1">
        <v>41.0</v>
      </c>
      <c r="D4291" s="1">
        <v>10.0</v>
      </c>
      <c r="F4291" s="1" t="str">
        <f>LOOKUP(A4291, NPCs!A:A, NPCs!C:C)</f>
        <v>Chief Pumpkin</v>
      </c>
      <c r="G4291" s="1" t="str">
        <f>LOOKUP(B4291, Maps!A:A, Maps!B:B)</f>
        <v>Pumpkin Grove</v>
      </c>
    </row>
    <row r="4292" ht="15.75" customHeight="1">
      <c r="A4292" s="1">
        <v>168.0</v>
      </c>
      <c r="B4292" s="1">
        <v>38.0</v>
      </c>
      <c r="C4292" s="1">
        <v>41.0</v>
      </c>
      <c r="D4292" s="1">
        <v>11.0</v>
      </c>
      <c r="F4292" s="1" t="str">
        <f>LOOKUP(A4292, NPCs!A:A, NPCs!C:C)</f>
        <v>Chief Pumpkin</v>
      </c>
      <c r="G4292" s="1" t="str">
        <f>LOOKUP(B4292, Maps!A:A, Maps!B:B)</f>
        <v>Pumpkin Grove</v>
      </c>
    </row>
    <row r="4293" ht="15.75" customHeight="1">
      <c r="A4293" s="1">
        <v>168.0</v>
      </c>
      <c r="B4293" s="1">
        <v>38.0</v>
      </c>
      <c r="C4293" s="1">
        <v>41.0</v>
      </c>
      <c r="D4293" s="1">
        <v>12.0</v>
      </c>
      <c r="F4293" s="1" t="str">
        <f>LOOKUP(A4293, NPCs!A:A, NPCs!C:C)</f>
        <v>Chief Pumpkin</v>
      </c>
      <c r="G4293" s="1" t="str">
        <f>LOOKUP(B4293, Maps!A:A, Maps!B:B)</f>
        <v>Pumpkin Grove</v>
      </c>
    </row>
    <row r="4294" ht="15.75" customHeight="1">
      <c r="A4294" s="1">
        <v>168.0</v>
      </c>
      <c r="B4294" s="1">
        <v>38.0</v>
      </c>
      <c r="C4294" s="1">
        <v>41.0</v>
      </c>
      <c r="D4294" s="1">
        <v>13.0</v>
      </c>
      <c r="F4294" s="1" t="str">
        <f>LOOKUP(A4294, NPCs!A:A, NPCs!C:C)</f>
        <v>Chief Pumpkin</v>
      </c>
      <c r="G4294" s="1" t="str">
        <f>LOOKUP(B4294, Maps!A:A, Maps!B:B)</f>
        <v>Pumpkin Grove</v>
      </c>
    </row>
    <row r="4295" ht="15.75" customHeight="1">
      <c r="A4295" s="1">
        <v>168.0</v>
      </c>
      <c r="B4295" s="1">
        <v>38.0</v>
      </c>
      <c r="C4295" s="1">
        <v>45.0</v>
      </c>
      <c r="D4295" s="1">
        <v>10.0</v>
      </c>
      <c r="F4295" s="1" t="str">
        <f>LOOKUP(A4295, NPCs!A:A, NPCs!C:C)</f>
        <v>Chief Pumpkin</v>
      </c>
      <c r="G4295" s="1" t="str">
        <f>LOOKUP(B4295, Maps!A:A, Maps!B:B)</f>
        <v>Pumpkin Grove</v>
      </c>
    </row>
    <row r="4296" ht="15.75" customHeight="1">
      <c r="A4296" s="1">
        <v>168.0</v>
      </c>
      <c r="B4296" s="1">
        <v>38.0</v>
      </c>
      <c r="C4296" s="1">
        <v>45.0</v>
      </c>
      <c r="D4296" s="1">
        <v>11.0</v>
      </c>
      <c r="F4296" s="1" t="str">
        <f>LOOKUP(A4296, NPCs!A:A, NPCs!C:C)</f>
        <v>Chief Pumpkin</v>
      </c>
      <c r="G4296" s="1" t="str">
        <f>LOOKUP(B4296, Maps!A:A, Maps!B:B)</f>
        <v>Pumpkin Grove</v>
      </c>
    </row>
    <row r="4297" ht="15.75" customHeight="1">
      <c r="A4297" s="1">
        <v>168.0</v>
      </c>
      <c r="B4297" s="1">
        <v>38.0</v>
      </c>
      <c r="C4297" s="1">
        <v>45.0</v>
      </c>
      <c r="D4297" s="1">
        <v>12.0</v>
      </c>
      <c r="F4297" s="1" t="str">
        <f>LOOKUP(A4297, NPCs!A:A, NPCs!C:C)</f>
        <v>Chief Pumpkin</v>
      </c>
      <c r="G4297" s="1" t="str">
        <f>LOOKUP(B4297, Maps!A:A, Maps!B:B)</f>
        <v>Pumpkin Grove</v>
      </c>
    </row>
    <row r="4298" ht="15.75" customHeight="1">
      <c r="A4298" s="1">
        <v>168.0</v>
      </c>
      <c r="B4298" s="1">
        <v>38.0</v>
      </c>
      <c r="C4298" s="1">
        <v>45.0</v>
      </c>
      <c r="D4298" s="1">
        <v>13.0</v>
      </c>
      <c r="F4298" s="1" t="str">
        <f>LOOKUP(A4298, NPCs!A:A, NPCs!C:C)</f>
        <v>Chief Pumpkin</v>
      </c>
      <c r="G4298" s="1" t="str">
        <f>LOOKUP(B4298, Maps!A:A, Maps!B:B)</f>
        <v>Pumpkin Grove</v>
      </c>
    </row>
    <row r="4299" ht="15.75" customHeight="1">
      <c r="A4299" s="1">
        <v>168.0</v>
      </c>
      <c r="B4299" s="1">
        <v>38.0</v>
      </c>
      <c r="C4299" s="1">
        <v>45.0</v>
      </c>
      <c r="D4299" s="1">
        <v>14.0</v>
      </c>
      <c r="F4299" s="1" t="str">
        <f>LOOKUP(A4299, NPCs!A:A, NPCs!C:C)</f>
        <v>Chief Pumpkin</v>
      </c>
      <c r="G4299" s="1" t="str">
        <f>LOOKUP(B4299, Maps!A:A, Maps!B:B)</f>
        <v>Pumpkin Grove</v>
      </c>
    </row>
    <row r="4300" ht="15.75" customHeight="1">
      <c r="A4300" s="1">
        <v>168.0</v>
      </c>
      <c r="B4300" s="1">
        <v>38.0</v>
      </c>
      <c r="C4300" s="1">
        <v>40.0</v>
      </c>
      <c r="D4300" s="1">
        <v>12.0</v>
      </c>
      <c r="F4300" s="1" t="str">
        <f>LOOKUP(A4300, NPCs!A:A, NPCs!C:C)</f>
        <v>Chief Pumpkin</v>
      </c>
      <c r="G4300" s="1" t="str">
        <f>LOOKUP(B4300, Maps!A:A, Maps!B:B)</f>
        <v>Pumpkin Grove</v>
      </c>
    </row>
    <row r="4301" ht="15.75" customHeight="1">
      <c r="A4301" s="1">
        <v>168.0</v>
      </c>
      <c r="B4301" s="1">
        <v>38.0</v>
      </c>
      <c r="C4301" s="1">
        <v>43.0</v>
      </c>
      <c r="D4301" s="1">
        <v>9.0</v>
      </c>
      <c r="F4301" s="1" t="str">
        <f>LOOKUP(A4301, NPCs!A:A, NPCs!C:C)</f>
        <v>Chief Pumpkin</v>
      </c>
      <c r="G4301" s="1" t="str">
        <f>LOOKUP(B4301, Maps!A:A, Maps!B:B)</f>
        <v>Pumpkin Grove</v>
      </c>
    </row>
    <row r="4302" ht="15.75" customHeight="1">
      <c r="A4302" s="1">
        <v>168.0</v>
      </c>
      <c r="B4302" s="1">
        <v>38.0</v>
      </c>
      <c r="C4302" s="1">
        <v>43.0</v>
      </c>
      <c r="D4302" s="1">
        <v>15.0</v>
      </c>
      <c r="F4302" s="1" t="str">
        <f>LOOKUP(A4302, NPCs!A:A, NPCs!C:C)</f>
        <v>Chief Pumpkin</v>
      </c>
      <c r="G4302" s="1" t="str">
        <f>LOOKUP(B4302, Maps!A:A, Maps!B:B)</f>
        <v>Pumpkin Grove</v>
      </c>
    </row>
    <row r="4303" ht="15.75" customHeight="1">
      <c r="A4303" s="1">
        <v>168.0</v>
      </c>
      <c r="B4303" s="1">
        <v>38.0</v>
      </c>
      <c r="C4303" s="1">
        <v>31.0</v>
      </c>
      <c r="D4303" s="1">
        <v>12.0</v>
      </c>
      <c r="F4303" s="1" t="str">
        <f>LOOKUP(A4303, NPCs!A:A, NPCs!C:C)</f>
        <v>Chief Pumpkin</v>
      </c>
      <c r="G4303" s="1" t="str">
        <f>LOOKUP(B4303, Maps!A:A, Maps!B:B)</f>
        <v>Pumpkin Grove</v>
      </c>
    </row>
    <row r="4304" ht="15.75" customHeight="1">
      <c r="A4304" s="1">
        <v>168.0</v>
      </c>
      <c r="B4304" s="1">
        <v>38.0</v>
      </c>
      <c r="C4304" s="1">
        <v>32.0</v>
      </c>
      <c r="D4304" s="1">
        <v>12.0</v>
      </c>
      <c r="F4304" s="1" t="str">
        <f>LOOKUP(A4304, NPCs!A:A, NPCs!C:C)</f>
        <v>Chief Pumpkin</v>
      </c>
      <c r="G4304" s="1" t="str">
        <f>LOOKUP(B4304, Maps!A:A, Maps!B:B)</f>
        <v>Pumpkin Grove</v>
      </c>
    </row>
    <row r="4305" ht="15.75" customHeight="1">
      <c r="A4305" s="1">
        <v>168.0</v>
      </c>
      <c r="B4305" s="1">
        <v>38.0</v>
      </c>
      <c r="C4305" s="1">
        <v>33.0</v>
      </c>
      <c r="D4305" s="1">
        <v>12.0</v>
      </c>
      <c r="F4305" s="1" t="str">
        <f>LOOKUP(A4305, NPCs!A:A, NPCs!C:C)</f>
        <v>Chief Pumpkin</v>
      </c>
      <c r="G4305" s="1" t="str">
        <f>LOOKUP(B4305, Maps!A:A, Maps!B:B)</f>
        <v>Pumpkin Grove</v>
      </c>
    </row>
    <row r="4306" ht="15.75" customHeight="1">
      <c r="A4306" s="1">
        <v>168.0</v>
      </c>
      <c r="B4306" s="1">
        <v>38.0</v>
      </c>
      <c r="C4306" s="1">
        <v>32.0</v>
      </c>
      <c r="D4306" s="1">
        <v>10.0</v>
      </c>
      <c r="F4306" s="1" t="str">
        <f>LOOKUP(A4306, NPCs!A:A, NPCs!C:C)</f>
        <v>Chief Pumpkin</v>
      </c>
      <c r="G4306" s="1" t="str">
        <f>LOOKUP(B4306, Maps!A:A, Maps!B:B)</f>
        <v>Pumpkin Grove</v>
      </c>
    </row>
    <row r="4307" ht="15.75" customHeight="1">
      <c r="A4307" s="1">
        <v>168.0</v>
      </c>
      <c r="B4307" s="1">
        <v>38.0</v>
      </c>
      <c r="C4307" s="1">
        <v>33.0</v>
      </c>
      <c r="D4307" s="1">
        <v>11.0</v>
      </c>
      <c r="F4307" s="1" t="str">
        <f>LOOKUP(A4307, NPCs!A:A, NPCs!C:C)</f>
        <v>Chief Pumpkin</v>
      </c>
      <c r="G4307" s="1" t="str">
        <f>LOOKUP(B4307, Maps!A:A, Maps!B:B)</f>
        <v>Pumpkin Grove</v>
      </c>
    </row>
    <row r="4308" ht="15.75" customHeight="1">
      <c r="A4308" s="1">
        <v>168.0</v>
      </c>
      <c r="B4308" s="1">
        <v>38.0</v>
      </c>
      <c r="C4308" s="1">
        <v>34.0</v>
      </c>
      <c r="D4308" s="1">
        <v>12.0</v>
      </c>
      <c r="F4308" s="1" t="str">
        <f>LOOKUP(A4308, NPCs!A:A, NPCs!C:C)</f>
        <v>Chief Pumpkin</v>
      </c>
      <c r="G4308" s="1" t="str">
        <f>LOOKUP(B4308, Maps!A:A, Maps!B:B)</f>
        <v>Pumpkin Grove</v>
      </c>
    </row>
    <row r="4309" ht="15.75" customHeight="1">
      <c r="A4309" s="1">
        <v>168.0</v>
      </c>
      <c r="B4309" s="1">
        <v>38.0</v>
      </c>
      <c r="C4309" s="1">
        <v>33.0</v>
      </c>
      <c r="D4309" s="1">
        <v>13.0</v>
      </c>
      <c r="F4309" s="1" t="str">
        <f>LOOKUP(A4309, NPCs!A:A, NPCs!C:C)</f>
        <v>Chief Pumpkin</v>
      </c>
      <c r="G4309" s="1" t="str">
        <f>LOOKUP(B4309, Maps!A:A, Maps!B:B)</f>
        <v>Pumpkin Grove</v>
      </c>
    </row>
    <row r="4310" ht="15.75" customHeight="1">
      <c r="A4310" s="1">
        <v>168.0</v>
      </c>
      <c r="B4310" s="1">
        <v>38.0</v>
      </c>
      <c r="C4310" s="1">
        <v>32.0</v>
      </c>
      <c r="D4310" s="1">
        <v>14.0</v>
      </c>
      <c r="F4310" s="1" t="str">
        <f>LOOKUP(A4310, NPCs!A:A, NPCs!C:C)</f>
        <v>Chief Pumpkin</v>
      </c>
      <c r="G4310" s="1" t="str">
        <f>LOOKUP(B4310, Maps!A:A, Maps!B:B)</f>
        <v>Pumpkin Grove</v>
      </c>
    </row>
    <row r="4311" ht="15.75" customHeight="1">
      <c r="A4311" s="1">
        <v>168.0</v>
      </c>
      <c r="B4311" s="1">
        <v>38.0</v>
      </c>
      <c r="C4311" s="1">
        <v>29.0</v>
      </c>
      <c r="D4311" s="1">
        <v>12.0</v>
      </c>
      <c r="F4311" s="1" t="str">
        <f>LOOKUP(A4311, NPCs!A:A, NPCs!C:C)</f>
        <v>Chief Pumpkin</v>
      </c>
      <c r="G4311" s="1" t="str">
        <f>LOOKUP(B4311, Maps!A:A, Maps!B:B)</f>
        <v>Pumpkin Grove</v>
      </c>
    </row>
    <row r="4312" ht="15.75" customHeight="1">
      <c r="A4312" s="1">
        <v>169.0</v>
      </c>
      <c r="B4312" s="1">
        <v>38.0</v>
      </c>
      <c r="C4312" s="1">
        <v>43.0</v>
      </c>
      <c r="D4312" s="1">
        <v>12.0</v>
      </c>
      <c r="F4312" s="1" t="str">
        <f>LOOKUP(A4312, NPCs!A:A, NPCs!C:C)</f>
        <v>Boss Pumpkin</v>
      </c>
      <c r="G4312" s="1" t="str">
        <f>LOOKUP(B4312, Maps!A:A, Maps!B:B)</f>
        <v>Pumpkin Grove</v>
      </c>
    </row>
    <row r="4313" ht="15.75" customHeight="1">
      <c r="A4313" s="1">
        <v>180.0</v>
      </c>
      <c r="B4313" s="1">
        <v>36.0</v>
      </c>
      <c r="C4313" s="1">
        <v>58.0</v>
      </c>
      <c r="D4313" s="1">
        <v>78.0</v>
      </c>
      <c r="F4313" s="1" t="str">
        <f>LOOKUP(A4313, NPCs!A:A, NPCs!C:C)</f>
        <v>Credit Exchange</v>
      </c>
      <c r="G4313" s="1" t="str">
        <f>LOOKUP(B4313, Maps!A:A, Maps!B:B)</f>
        <v>Shops</v>
      </c>
    </row>
    <row r="4314" ht="15.75" customHeight="1">
      <c r="A4314" s="1">
        <v>181.0</v>
      </c>
      <c r="B4314" s="1">
        <v>36.0</v>
      </c>
      <c r="C4314" s="1">
        <v>58.0</v>
      </c>
      <c r="D4314" s="1">
        <v>74.0</v>
      </c>
      <c r="F4314" s="1" t="str">
        <f>LOOKUP(A4314, NPCs!A:A, NPCs!C:C)</f>
        <v>Pet Trainer</v>
      </c>
      <c r="G4314" s="1" t="str">
        <f>LOOKUP(B4314, Maps!A:A, Maps!B:B)</f>
        <v>Shops</v>
      </c>
    </row>
    <row r="4315" ht="15.75" customHeight="1">
      <c r="A4315" s="1">
        <v>182.0</v>
      </c>
      <c r="B4315" s="1">
        <v>36.0</v>
      </c>
      <c r="C4315" s="1">
        <v>96.0</v>
      </c>
      <c r="D4315" s="1">
        <v>6.0</v>
      </c>
      <c r="F4315" s="1" t="str">
        <f>LOOKUP(A4315, NPCs!A:A, NPCs!C:C)</f>
        <v>Alchemy Supplier Guy</v>
      </c>
      <c r="G4315" s="1" t="str">
        <f>LOOKUP(B4315, Maps!A:A, Maps!B:B)</f>
        <v>Shops</v>
      </c>
    </row>
    <row r="4316" ht="15.75" customHeight="1">
      <c r="A4316" s="1">
        <v>183.0</v>
      </c>
      <c r="B4316" s="1">
        <v>36.0</v>
      </c>
      <c r="C4316" s="1">
        <v>60.0</v>
      </c>
      <c r="D4316" s="1">
        <v>72.0</v>
      </c>
      <c r="F4316" s="1" t="str">
        <f>VLOOKUP(A7410,NPCs!A:C,3,0)</f>
        <v>#N/A</v>
      </c>
      <c r="G4316" s="1" t="str">
        <f>VLOOKUP(B7410,Maps!A:B,2,0)</f>
        <v>#N/A</v>
      </c>
    </row>
    <row r="4317" ht="15.75" customHeight="1">
      <c r="A4317" s="1">
        <v>184.0</v>
      </c>
      <c r="B4317" s="1">
        <v>36.0</v>
      </c>
      <c r="C4317" s="1">
        <v>65.0</v>
      </c>
      <c r="D4317" s="1">
        <v>72.0</v>
      </c>
      <c r="F4317" s="1" t="str">
        <f>VLOOKUP(A7411,NPCs!A:C,3,0)</f>
        <v>#N/A</v>
      </c>
      <c r="G4317" s="1" t="str">
        <f>VLOOKUP(B7411,Maps!A:B,2,0)</f>
        <v>#N/A</v>
      </c>
    </row>
    <row r="4318" ht="15.75" customHeight="1">
      <c r="A4318" s="1">
        <v>185.0</v>
      </c>
      <c r="B4318" s="1">
        <v>1.0</v>
      </c>
      <c r="C4318" s="1">
        <v>73.0</v>
      </c>
      <c r="D4318" s="1">
        <v>54.0</v>
      </c>
      <c r="F4318" s="1" t="str">
        <f>VLOOKUP(A7412,NPCs!A:C,3,0)</f>
        <v>#N/A</v>
      </c>
      <c r="G4318" s="1" t="str">
        <f>VLOOKUP(B7412,Maps!A:B,2,0)</f>
        <v>#N/A</v>
      </c>
    </row>
    <row r="4319" ht="15.75" customHeight="1">
      <c r="A4319" s="1">
        <v>186.0</v>
      </c>
      <c r="B4319" s="1">
        <v>1.0</v>
      </c>
      <c r="C4319" s="1">
        <v>73.0</v>
      </c>
      <c r="D4319" s="1">
        <v>25.0</v>
      </c>
      <c r="F4319" s="1" t="str">
        <f>VLOOKUP(A7413,NPCs!A:C,3,0)</f>
        <v>#N/A</v>
      </c>
      <c r="G4319" s="1" t="str">
        <f>VLOOKUP(B7413,Maps!A:B,2,0)</f>
        <v>#N/A</v>
      </c>
    </row>
    <row r="4320" ht="15.75" customHeight="1">
      <c r="A4320" s="1">
        <v>187.0</v>
      </c>
      <c r="B4320" s="1">
        <v>16.0</v>
      </c>
      <c r="C4320" s="1">
        <v>51.0</v>
      </c>
      <c r="D4320" s="1">
        <v>97.0</v>
      </c>
      <c r="F4320" s="1" t="str">
        <f>VLOOKUP(A7414,NPCs!A:C,3,0)</f>
        <v>#N/A</v>
      </c>
      <c r="G4320" s="1" t="str">
        <f>VLOOKUP(B7414,Maps!A:B,2,0)</f>
        <v>#N/A</v>
      </c>
    </row>
    <row r="4321" ht="15.75" customHeight="1">
      <c r="A4321" s="1">
        <v>188.0</v>
      </c>
      <c r="B4321" s="1">
        <v>16.0</v>
      </c>
      <c r="C4321" s="1">
        <v>66.0</v>
      </c>
      <c r="D4321" s="1">
        <v>54.0</v>
      </c>
      <c r="F4321" s="1" t="str">
        <f>VLOOKUP(A7415,NPCs!A:C,3,0)</f>
        <v>#N/A</v>
      </c>
      <c r="G4321" s="1" t="str">
        <f>VLOOKUP(B7415,Maps!A:B,2,0)</f>
        <v>#N/A</v>
      </c>
    </row>
    <row r="4322" ht="15.75" customHeight="1">
      <c r="A4322" s="1">
        <v>189.0</v>
      </c>
      <c r="B4322" s="1">
        <v>8.0</v>
      </c>
      <c r="C4322" s="1">
        <v>83.0</v>
      </c>
      <c r="D4322" s="1">
        <v>25.0</v>
      </c>
      <c r="F4322" s="1" t="str">
        <f>VLOOKUP(A7416,NPCs!A:C,3,0)</f>
        <v>#N/A</v>
      </c>
      <c r="G4322" s="1" t="str">
        <f>VLOOKUP(B7416,Maps!A:B,2,0)</f>
        <v>#N/A</v>
      </c>
    </row>
    <row r="4323" ht="15.75" customHeight="1">
      <c r="A4323" s="1">
        <v>190.0</v>
      </c>
      <c r="B4323" s="1">
        <v>2.0</v>
      </c>
      <c r="C4323" s="1">
        <v>14.0</v>
      </c>
      <c r="D4323" s="1">
        <v>10.0</v>
      </c>
      <c r="F4323" s="1" t="str">
        <f>VLOOKUP(A7417,NPCs!A:C,3,0)</f>
        <v>#N/A</v>
      </c>
      <c r="G4323" s="1" t="str">
        <f>VLOOKUP(B7417,Maps!A:B,2,0)</f>
        <v>#N/A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1043</v>
      </c>
      <c r="B1" s="1" t="s">
        <v>1127</v>
      </c>
      <c r="C1" s="1" t="s">
        <v>1128</v>
      </c>
      <c r="D1" s="1" t="s">
        <v>1129</v>
      </c>
      <c r="F1" s="1" t="s">
        <v>1047</v>
      </c>
      <c r="G1" s="1" t="s">
        <v>1130</v>
      </c>
    </row>
    <row r="2">
      <c r="A2" s="1">
        <v>1.0</v>
      </c>
      <c r="B2" s="1">
        <v>1.0</v>
      </c>
      <c r="C2" s="1">
        <v>10.0</v>
      </c>
      <c r="D2" s="1">
        <v>10.0</v>
      </c>
      <c r="F2" s="1" t="str">
        <f>LOOKUP(A2, NPCs!A:A, NPCs!C:C)</f>
        <v>Mouse</v>
      </c>
      <c r="G2" s="1" t="str">
        <f>LOOKUP(B2, Items!A:A, Items!C:C)</f>
        <v>Gold</v>
      </c>
    </row>
    <row r="3">
      <c r="A3" s="1">
        <v>1.0</v>
      </c>
      <c r="B3" s="1">
        <v>2.0</v>
      </c>
      <c r="C3" s="1">
        <v>1.0</v>
      </c>
      <c r="D3" s="1">
        <v>5.0</v>
      </c>
      <c r="F3" s="1" t="str">
        <f>LOOKUP(A3, NPCs!A:A, NPCs!C:C)</f>
        <v>Mouse</v>
      </c>
      <c r="G3" s="1" t="str">
        <f>LOOKUP(B3, Items!A:A, Items!C:C)</f>
        <v>Old Rags</v>
      </c>
    </row>
    <row r="4">
      <c r="A4" s="1">
        <v>1.0</v>
      </c>
      <c r="B4" s="1">
        <v>3.0</v>
      </c>
      <c r="C4" s="1">
        <v>1.0</v>
      </c>
      <c r="D4" s="1">
        <v>5.0</v>
      </c>
      <c r="F4" s="1" t="str">
        <f>LOOKUP(A4, NPCs!A:A, NPCs!C:C)</f>
        <v>Mouse</v>
      </c>
      <c r="G4" s="1" t="str">
        <f>LOOKUP(B4, Items!A:A, Items!C:C)</f>
        <v>Stick</v>
      </c>
    </row>
    <row r="5">
      <c r="A5" s="1">
        <v>1.0</v>
      </c>
      <c r="B5" s="1">
        <v>4.0</v>
      </c>
      <c r="C5" s="1">
        <v>1.0</v>
      </c>
      <c r="D5" s="1">
        <v>5.0</v>
      </c>
      <c r="F5" s="1" t="str">
        <f>LOOKUP(A5, NPCs!A:A, NPCs!C:C)</f>
        <v>Mouse</v>
      </c>
      <c r="G5" s="1" t="str">
        <f>LOOKUP(B5, Items!A:A, Items!C:C)</f>
        <v>Small Health Potion</v>
      </c>
    </row>
    <row r="6">
      <c r="A6" s="1">
        <v>1.0</v>
      </c>
      <c r="B6" s="1">
        <v>5.0</v>
      </c>
      <c r="C6" s="1">
        <v>1.0</v>
      </c>
      <c r="D6" s="1">
        <v>5.0</v>
      </c>
      <c r="F6" s="1" t="str">
        <f>LOOKUP(A6, NPCs!A:A, NPCs!C:C)</f>
        <v>Mouse</v>
      </c>
      <c r="G6" s="1" t="str">
        <f>LOOKUP(B6, Items!A:A, Items!C:C)</f>
        <v>Small Mana Potion</v>
      </c>
    </row>
    <row r="7">
      <c r="A7" s="1">
        <v>2.0</v>
      </c>
      <c r="B7" s="1">
        <v>1.0</v>
      </c>
      <c r="C7" s="1">
        <v>10.0</v>
      </c>
      <c r="D7" s="1">
        <v>10.0</v>
      </c>
      <c r="F7" s="1" t="str">
        <f>LOOKUP(A7, NPCs!A:A, NPCs!C:C)</f>
        <v>Lamb</v>
      </c>
      <c r="G7" s="1" t="str">
        <f>LOOKUP(B7, Items!A:A, Items!C:C)</f>
        <v>Gold</v>
      </c>
    </row>
    <row r="8">
      <c r="A8" s="1">
        <v>2.0</v>
      </c>
      <c r="B8" s="1">
        <v>2.0</v>
      </c>
      <c r="C8" s="1">
        <v>1.0</v>
      </c>
      <c r="D8" s="1">
        <v>5.0</v>
      </c>
      <c r="F8" s="1" t="str">
        <f>LOOKUP(A8, NPCs!A:A, NPCs!C:C)</f>
        <v>Lamb</v>
      </c>
      <c r="G8" s="1" t="str">
        <f>LOOKUP(B8, Items!A:A, Items!C:C)</f>
        <v>Old Rags</v>
      </c>
    </row>
    <row r="9">
      <c r="A9" s="1">
        <v>2.0</v>
      </c>
      <c r="B9" s="1">
        <v>3.0</v>
      </c>
      <c r="C9" s="1">
        <v>1.0</v>
      </c>
      <c r="D9" s="1">
        <v>5.0</v>
      </c>
      <c r="F9" s="1" t="str">
        <f>LOOKUP(A9, NPCs!A:A, NPCs!C:C)</f>
        <v>Lamb</v>
      </c>
      <c r="G9" s="1" t="str">
        <f>LOOKUP(B9, Items!A:A, Items!C:C)</f>
        <v>Stick</v>
      </c>
    </row>
    <row r="10">
      <c r="A10" s="1">
        <v>2.0</v>
      </c>
      <c r="B10" s="1">
        <v>4.0</v>
      </c>
      <c r="C10" s="1">
        <v>1.0</v>
      </c>
      <c r="D10" s="1">
        <v>5.0</v>
      </c>
      <c r="F10" s="1" t="str">
        <f>LOOKUP(A10, NPCs!A:A, NPCs!C:C)</f>
        <v>Lamb</v>
      </c>
      <c r="G10" s="1" t="str">
        <f>LOOKUP(B10, Items!A:A, Items!C:C)</f>
        <v>Small Health Potion</v>
      </c>
    </row>
    <row r="11">
      <c r="A11" s="1">
        <v>2.0</v>
      </c>
      <c r="B11" s="1">
        <v>5.0</v>
      </c>
      <c r="C11" s="1">
        <v>1.0</v>
      </c>
      <c r="D11" s="1">
        <v>5.0</v>
      </c>
      <c r="F11" s="1" t="str">
        <f>LOOKUP(A11, NPCs!A:A, NPCs!C:C)</f>
        <v>Lamb</v>
      </c>
      <c r="G11" s="1" t="str">
        <f>LOOKUP(B11, Items!A:A, Items!C:C)</f>
        <v>Small Mana Potion</v>
      </c>
    </row>
    <row r="12">
      <c r="A12" s="1">
        <v>3.0</v>
      </c>
      <c r="B12" s="1">
        <v>4.0</v>
      </c>
      <c r="C12" s="1">
        <v>1.0</v>
      </c>
      <c r="D12" s="1">
        <v>5.0</v>
      </c>
      <c r="F12" s="1" t="str">
        <f>LOOKUP(A12, NPCs!A:A, NPCs!C:C)</f>
        <v>Fluffy Little Bunny</v>
      </c>
      <c r="G12" s="1" t="str">
        <f>LOOKUP(B12, Items!A:A, Items!C:C)</f>
        <v>Small Health Potion</v>
      </c>
    </row>
    <row r="13">
      <c r="A13" s="1">
        <v>3.0</v>
      </c>
      <c r="B13" s="1">
        <v>5.0</v>
      </c>
      <c r="C13" s="1">
        <v>1.0</v>
      </c>
      <c r="D13" s="1">
        <v>5.0</v>
      </c>
      <c r="F13" s="1" t="str">
        <f>LOOKUP(A13, NPCs!A:A, NPCs!C:C)</f>
        <v>Fluffy Little Bunny</v>
      </c>
      <c r="G13" s="1" t="str">
        <f>LOOKUP(B13, Items!A:A, Items!C:C)</f>
        <v>Small Mana Potion</v>
      </c>
    </row>
    <row r="14">
      <c r="A14" s="1">
        <v>3.0</v>
      </c>
      <c r="B14" s="1">
        <v>7.0</v>
      </c>
      <c r="C14" s="1">
        <v>1.0</v>
      </c>
      <c r="D14" s="1">
        <v>5.0</v>
      </c>
      <c r="F14" s="1" t="str">
        <f>LOOKUP(A14, NPCs!A:A, NPCs!C:C)</f>
        <v>Fluffy Little Bunny</v>
      </c>
      <c r="G14" s="1" t="str">
        <f>LOOKUP(B14, Items!A:A, Items!C:C)</f>
        <v>Rabbit Fur</v>
      </c>
    </row>
    <row r="15">
      <c r="A15" s="1">
        <v>3.0</v>
      </c>
      <c r="B15" s="1">
        <v>8.0</v>
      </c>
      <c r="C15" s="1">
        <v>1.0</v>
      </c>
      <c r="D15" s="1">
        <v>5.0</v>
      </c>
      <c r="F15" s="1" t="str">
        <f>LOOKUP(A15, NPCs!A:A, NPCs!C:C)</f>
        <v>Fluffy Little Bunny</v>
      </c>
      <c r="G15" s="1" t="str">
        <f>LOOKUP(B15, Items!A:A, Items!C:C)</f>
        <v>Rabbit Pelt</v>
      </c>
    </row>
    <row r="16">
      <c r="A16" s="1">
        <v>3.0</v>
      </c>
      <c r="B16" s="1">
        <v>455.0</v>
      </c>
      <c r="C16" s="1">
        <v>1.0</v>
      </c>
      <c r="D16" s="1">
        <v>3.0</v>
      </c>
      <c r="F16" s="1" t="str">
        <f>LOOKUP(A16, NPCs!A:A, NPCs!C:C)</f>
        <v>Fluffy Little Bunny</v>
      </c>
      <c r="G16" s="1" t="str">
        <f>LOOKUP(B16, Items!A:A, Items!C:C)</f>
        <v>Leather Padding</v>
      </c>
    </row>
    <row r="17">
      <c r="A17" s="1">
        <v>4.0</v>
      </c>
      <c r="B17" s="1">
        <v>4.0</v>
      </c>
      <c r="C17" s="1">
        <v>1.0</v>
      </c>
      <c r="D17" s="1">
        <v>5.0</v>
      </c>
      <c r="F17" s="1" t="str">
        <f>LOOKUP(A17, NPCs!A:A, NPCs!C:C)</f>
        <v>Rabid Rabbit</v>
      </c>
      <c r="G17" s="1" t="str">
        <f>LOOKUP(B17, Items!A:A, Items!C:C)</f>
        <v>Small Health Potion</v>
      </c>
    </row>
    <row r="18">
      <c r="A18" s="1">
        <v>4.0</v>
      </c>
      <c r="B18" s="1">
        <v>5.0</v>
      </c>
      <c r="C18" s="1">
        <v>1.0</v>
      </c>
      <c r="D18" s="1">
        <v>5.0</v>
      </c>
      <c r="F18" s="1" t="str">
        <f>LOOKUP(A18, NPCs!A:A, NPCs!C:C)</f>
        <v>Rabid Rabbit</v>
      </c>
      <c r="G18" s="1" t="str">
        <f>LOOKUP(B18, Items!A:A, Items!C:C)</f>
        <v>Small Mana Potion</v>
      </c>
    </row>
    <row r="19">
      <c r="A19" s="1">
        <v>4.0</v>
      </c>
      <c r="B19" s="1">
        <v>7.0</v>
      </c>
      <c r="C19" s="1">
        <v>1.0</v>
      </c>
      <c r="D19" s="1">
        <v>5.0</v>
      </c>
      <c r="F19" s="1" t="str">
        <f>LOOKUP(A19, NPCs!A:A, NPCs!C:C)</f>
        <v>Rabid Rabbit</v>
      </c>
      <c r="G19" s="1" t="str">
        <f>LOOKUP(B19, Items!A:A, Items!C:C)</f>
        <v>Rabbit Fur</v>
      </c>
    </row>
    <row r="20">
      <c r="A20" s="1">
        <v>4.0</v>
      </c>
      <c r="B20" s="1">
        <v>8.0</v>
      </c>
      <c r="C20" s="1">
        <v>1.0</v>
      </c>
      <c r="D20" s="1">
        <v>5.0</v>
      </c>
      <c r="F20" s="1" t="str">
        <f>LOOKUP(A20, NPCs!A:A, NPCs!C:C)</f>
        <v>Rabid Rabbit</v>
      </c>
      <c r="G20" s="1" t="str">
        <f>LOOKUP(B20, Items!A:A, Items!C:C)</f>
        <v>Rabbit Pelt</v>
      </c>
    </row>
    <row r="21" ht="15.75" customHeight="1">
      <c r="A21" s="1">
        <v>4.0</v>
      </c>
      <c r="B21" s="1">
        <v>6.0</v>
      </c>
      <c r="C21" s="1">
        <v>1.0</v>
      </c>
      <c r="D21" s="1">
        <v>3.0</v>
      </c>
      <c r="F21" s="1" t="str">
        <f>LOOKUP(A21, NPCs!A:A, NPCs!C:C)</f>
        <v>Rabid Rabbit</v>
      </c>
      <c r="G21" s="1" t="str">
        <f>LOOKUP(B21, Items!A:A, Items!C:C)</f>
        <v>Tin Can</v>
      </c>
    </row>
    <row r="22" ht="15.75" customHeight="1">
      <c r="A22" s="1">
        <v>4.0</v>
      </c>
      <c r="B22" s="1">
        <v>455.0</v>
      </c>
      <c r="C22" s="1">
        <v>1.0</v>
      </c>
      <c r="D22" s="1">
        <v>3.0</v>
      </c>
      <c r="F22" s="1" t="str">
        <f>LOOKUP(A22, NPCs!A:A, NPCs!C:C)</f>
        <v>Rabid Rabbit</v>
      </c>
      <c r="G22" s="1" t="str">
        <f>LOOKUP(B22, Items!A:A, Items!C:C)</f>
        <v>Leather Padding</v>
      </c>
    </row>
    <row r="23" ht="15.75" customHeight="1">
      <c r="A23" s="1">
        <v>5.0</v>
      </c>
      <c r="B23" s="1">
        <v>7.0</v>
      </c>
      <c r="C23" s="1">
        <v>1.0</v>
      </c>
      <c r="D23" s="1">
        <v>5.0</v>
      </c>
      <c r="F23" s="1" t="str">
        <f>LOOKUP(A23, NPCs!A:A, NPCs!C:C)</f>
        <v>Cottontail</v>
      </c>
      <c r="G23" s="1" t="str">
        <f>LOOKUP(B23, Items!A:A, Items!C:C)</f>
        <v>Rabbit Fur</v>
      </c>
    </row>
    <row r="24" ht="15.75" customHeight="1">
      <c r="A24" s="1">
        <v>5.0</v>
      </c>
      <c r="B24" s="1">
        <v>8.0</v>
      </c>
      <c r="C24" s="1">
        <v>1.0</v>
      </c>
      <c r="D24" s="1">
        <v>5.0</v>
      </c>
      <c r="F24" s="1" t="str">
        <f>LOOKUP(A24, NPCs!A:A, NPCs!C:C)</f>
        <v>Cottontail</v>
      </c>
      <c r="G24" s="1" t="str">
        <f>LOOKUP(B24, Items!A:A, Items!C:C)</f>
        <v>Rabbit Pelt</v>
      </c>
    </row>
    <row r="25" ht="15.75" customHeight="1">
      <c r="A25" s="1">
        <v>5.0</v>
      </c>
      <c r="B25" s="1">
        <v>6.0</v>
      </c>
      <c r="C25" s="1">
        <v>1.0</v>
      </c>
      <c r="D25" s="1">
        <v>3.0</v>
      </c>
      <c r="F25" s="1" t="str">
        <f>LOOKUP(A25, NPCs!A:A, NPCs!C:C)</f>
        <v>Cottontail</v>
      </c>
      <c r="G25" s="1" t="str">
        <f>LOOKUP(B25, Items!A:A, Items!C:C)</f>
        <v>Tin Can</v>
      </c>
    </row>
    <row r="26" ht="15.75" customHeight="1">
      <c r="A26" s="1">
        <v>5.0</v>
      </c>
      <c r="B26" s="1">
        <v>9.0</v>
      </c>
      <c r="C26" s="1">
        <v>1.0</v>
      </c>
      <c r="D26" s="1">
        <v>2.0</v>
      </c>
      <c r="F26" s="1" t="str">
        <f>LOOKUP(A26, NPCs!A:A, NPCs!C:C)</f>
        <v>Cottontail</v>
      </c>
      <c r="G26" s="1" t="str">
        <f>LOOKUP(B26, Items!A:A, Items!C:C)</f>
        <v>Bunny Ears</v>
      </c>
    </row>
    <row r="27" ht="15.75" customHeight="1">
      <c r="A27" s="1">
        <v>5.0</v>
      </c>
      <c r="B27" s="1">
        <v>455.0</v>
      </c>
      <c r="C27" s="1">
        <v>1.0</v>
      </c>
      <c r="D27" s="1">
        <v>10.0</v>
      </c>
      <c r="F27" s="1" t="str">
        <f>LOOKUP(A27, NPCs!A:A, NPCs!C:C)</f>
        <v>Cottontail</v>
      </c>
      <c r="G27" s="1" t="str">
        <f>LOOKUP(B27, Items!A:A, Items!C:C)</f>
        <v>Leather Padding</v>
      </c>
    </row>
    <row r="28" ht="15.75" customHeight="1">
      <c r="A28" s="1">
        <v>6.0</v>
      </c>
      <c r="B28" s="1">
        <v>4.0</v>
      </c>
      <c r="C28" s="1">
        <v>1.0</v>
      </c>
      <c r="D28" s="1">
        <v>5.0</v>
      </c>
      <c r="F28" s="1" t="str">
        <f>LOOKUP(A28, NPCs!A:A, NPCs!C:C)</f>
        <v>Asp</v>
      </c>
      <c r="G28" s="1" t="str">
        <f>LOOKUP(B28, Items!A:A, Items!C:C)</f>
        <v>Small Health Potion</v>
      </c>
    </row>
    <row r="29" ht="15.75" customHeight="1">
      <c r="A29" s="1">
        <v>6.0</v>
      </c>
      <c r="B29" s="1">
        <v>5.0</v>
      </c>
      <c r="C29" s="1">
        <v>1.0</v>
      </c>
      <c r="D29" s="1">
        <v>5.0</v>
      </c>
      <c r="F29" s="1" t="str">
        <f>LOOKUP(A29, NPCs!A:A, NPCs!C:C)</f>
        <v>Asp</v>
      </c>
      <c r="G29" s="1" t="str">
        <f>LOOKUP(B29, Items!A:A, Items!C:C)</f>
        <v>Small Mana Potion</v>
      </c>
    </row>
    <row r="30" ht="15.75" customHeight="1">
      <c r="A30" s="1">
        <v>6.0</v>
      </c>
      <c r="B30" s="1">
        <v>11.0</v>
      </c>
      <c r="C30" s="1">
        <v>1.0</v>
      </c>
      <c r="D30" s="1">
        <v>3.0</v>
      </c>
      <c r="F30" s="1" t="str">
        <f>LOOKUP(A30, NPCs!A:A, NPCs!C:C)</f>
        <v>Asp</v>
      </c>
      <c r="G30" s="1" t="str">
        <f>LOOKUP(B30, Items!A:A, Items!C:C)</f>
        <v>Small Hammer</v>
      </c>
    </row>
    <row r="31" ht="15.75" customHeight="1">
      <c r="A31" s="1">
        <v>6.0</v>
      </c>
      <c r="B31" s="1">
        <v>12.0</v>
      </c>
      <c r="C31" s="1">
        <v>1.0</v>
      </c>
      <c r="D31" s="1">
        <v>3.0</v>
      </c>
      <c r="F31" s="1" t="str">
        <f>LOOKUP(A31, NPCs!A:A, NPCs!C:C)</f>
        <v>Asp</v>
      </c>
      <c r="G31" s="1" t="str">
        <f>LOOKUP(B31, Items!A:A, Items!C:C)</f>
        <v>Wooden Stave</v>
      </c>
    </row>
    <row r="32" ht="15.75" customHeight="1">
      <c r="A32" s="1">
        <v>6.0</v>
      </c>
      <c r="B32" s="1">
        <v>13.0</v>
      </c>
      <c r="C32" s="1">
        <v>1.0</v>
      </c>
      <c r="D32" s="1">
        <v>3.0</v>
      </c>
      <c r="F32" s="1" t="str">
        <f>LOOKUP(A32, NPCs!A:A, NPCs!C:C)</f>
        <v>Asp</v>
      </c>
      <c r="G32" s="1" t="str">
        <f>LOOKUP(B32, Items!A:A, Items!C:C)</f>
        <v>Small Dagger</v>
      </c>
    </row>
    <row r="33" ht="15.75" customHeight="1">
      <c r="A33" s="1">
        <v>6.0</v>
      </c>
      <c r="B33" s="1">
        <v>14.0</v>
      </c>
      <c r="C33" s="1">
        <v>1.0</v>
      </c>
      <c r="D33" s="1">
        <v>3.0</v>
      </c>
      <c r="F33" s="1" t="str">
        <f>LOOKUP(A33, NPCs!A:A, NPCs!C:C)</f>
        <v>Asp</v>
      </c>
      <c r="G33" s="1" t="str">
        <f>LOOKUP(B33, Items!A:A, Items!C:C)</f>
        <v>Small Sword</v>
      </c>
    </row>
    <row r="34" ht="15.75" customHeight="1">
      <c r="A34" s="1">
        <v>7.0</v>
      </c>
      <c r="B34" s="1">
        <v>4.0</v>
      </c>
      <c r="C34" s="1">
        <v>1.0</v>
      </c>
      <c r="D34" s="1">
        <v>5.0</v>
      </c>
      <c r="F34" s="1" t="str">
        <f>LOOKUP(A34, NPCs!A:A, NPCs!C:C)</f>
        <v>Bat</v>
      </c>
      <c r="G34" s="1" t="str">
        <f>LOOKUP(B34, Items!A:A, Items!C:C)</f>
        <v>Small Health Potion</v>
      </c>
    </row>
    <row r="35" ht="15.75" customHeight="1">
      <c r="A35" s="1">
        <v>7.0</v>
      </c>
      <c r="B35" s="1">
        <v>5.0</v>
      </c>
      <c r="C35" s="1">
        <v>1.0</v>
      </c>
      <c r="D35" s="1">
        <v>5.0</v>
      </c>
      <c r="F35" s="1" t="str">
        <f>LOOKUP(A35, NPCs!A:A, NPCs!C:C)</f>
        <v>Bat</v>
      </c>
      <c r="G35" s="1" t="str">
        <f>LOOKUP(B35, Items!A:A, Items!C:C)</f>
        <v>Small Mana Potion</v>
      </c>
    </row>
    <row r="36" ht="15.75" customHeight="1">
      <c r="A36" s="1">
        <v>7.0</v>
      </c>
      <c r="B36" s="1">
        <v>15.0</v>
      </c>
      <c r="C36" s="1">
        <v>1.0</v>
      </c>
      <c r="D36" s="1">
        <v>3.0</v>
      </c>
      <c r="F36" s="1" t="str">
        <f>LOOKUP(A36, NPCs!A:A, NPCs!C:C)</f>
        <v>Bat</v>
      </c>
      <c r="G36" s="1" t="str">
        <f>LOOKUP(B36, Items!A:A, Items!C:C)</f>
        <v>Stone Hammer</v>
      </c>
    </row>
    <row r="37" ht="15.75" customHeight="1">
      <c r="A37" s="1">
        <v>7.0</v>
      </c>
      <c r="B37" s="1">
        <v>16.0</v>
      </c>
      <c r="C37" s="1">
        <v>1.0</v>
      </c>
      <c r="D37" s="1">
        <v>3.0</v>
      </c>
      <c r="F37" s="1" t="str">
        <f>LOOKUP(A37, NPCs!A:A, NPCs!C:C)</f>
        <v>Bat</v>
      </c>
      <c r="G37" s="1" t="str">
        <f>LOOKUP(B37, Items!A:A, Items!C:C)</f>
        <v>Hardwood Stave</v>
      </c>
    </row>
    <row r="38" ht="15.75" customHeight="1">
      <c r="A38" s="1">
        <v>7.0</v>
      </c>
      <c r="B38" s="1">
        <v>17.0</v>
      </c>
      <c r="C38" s="1">
        <v>1.0</v>
      </c>
      <c r="D38" s="1">
        <v>3.0</v>
      </c>
      <c r="F38" s="1" t="str">
        <f>LOOKUP(A38, NPCs!A:A, NPCs!C:C)</f>
        <v>Bat</v>
      </c>
      <c r="G38" s="1" t="str">
        <f>LOOKUP(B38, Items!A:A, Items!C:C)</f>
        <v>Grim Dagger</v>
      </c>
    </row>
    <row r="39" ht="15.75" customHeight="1">
      <c r="A39" s="1">
        <v>7.0</v>
      </c>
      <c r="B39" s="1">
        <v>18.0</v>
      </c>
      <c r="C39" s="1">
        <v>1.0</v>
      </c>
      <c r="D39" s="1">
        <v>3.0</v>
      </c>
      <c r="F39" s="1" t="str">
        <f>LOOKUP(A39, NPCs!A:A, NPCs!C:C)</f>
        <v>Bat</v>
      </c>
      <c r="G39" s="1" t="str">
        <f>LOOKUP(B39, Items!A:A, Items!C:C)</f>
        <v>Long Sword</v>
      </c>
    </row>
    <row r="40" ht="15.75" customHeight="1">
      <c r="A40" s="1">
        <v>7.0</v>
      </c>
      <c r="B40" s="1">
        <v>333.0</v>
      </c>
      <c r="C40" s="1">
        <v>1.0</v>
      </c>
      <c r="D40" s="1">
        <v>3.0</v>
      </c>
      <c r="F40" s="1" t="str">
        <f>LOOKUP(A40, NPCs!A:A, NPCs!C:C)</f>
        <v>Bat</v>
      </c>
      <c r="G40" s="1" t="str">
        <f>LOOKUP(B40, Items!A:A, Items!C:C)</f>
        <v>Garlic</v>
      </c>
    </row>
    <row r="41" ht="15.75" customHeight="1">
      <c r="A41" s="1">
        <v>8.0</v>
      </c>
      <c r="B41" s="1">
        <v>19.0</v>
      </c>
      <c r="C41" s="1">
        <v>1.0</v>
      </c>
      <c r="D41" s="1">
        <v>5.0</v>
      </c>
      <c r="F41" s="1" t="str">
        <f>LOOKUP(A41, NPCs!A:A, NPCs!C:C)</f>
        <v>Cow</v>
      </c>
      <c r="G41" s="1" t="str">
        <f>LOOKUP(B41, Items!A:A, Items!C:C)</f>
        <v>Sun Flower</v>
      </c>
    </row>
    <row r="42" ht="15.75" customHeight="1">
      <c r="A42" s="1">
        <v>8.0</v>
      </c>
      <c r="B42" s="1">
        <v>20.0</v>
      </c>
      <c r="C42" s="1">
        <v>1.0</v>
      </c>
      <c r="D42" s="1">
        <v>10.0</v>
      </c>
      <c r="F42" s="1" t="str">
        <f>LOOKUP(A42, NPCs!A:A, NPCs!C:C)</f>
        <v>Cow</v>
      </c>
      <c r="G42" s="1" t="str">
        <f>LOOKUP(B42, Items!A:A, Items!C:C)</f>
        <v>Pile of Crap</v>
      </c>
    </row>
    <row r="43" ht="15.75" customHeight="1">
      <c r="A43" s="1">
        <v>8.0</v>
      </c>
      <c r="B43" s="1">
        <v>455.0</v>
      </c>
      <c r="C43" s="1">
        <v>1.0</v>
      </c>
      <c r="D43" s="1">
        <v>3.0</v>
      </c>
      <c r="F43" s="1" t="str">
        <f>LOOKUP(A43, NPCs!A:A, NPCs!C:C)</f>
        <v>Cow</v>
      </c>
      <c r="G43" s="1" t="str">
        <f>LOOKUP(B43, Items!A:A, Items!C:C)</f>
        <v>Leather Padding</v>
      </c>
    </row>
    <row r="44" ht="15.75" customHeight="1">
      <c r="A44" s="1">
        <v>10.0</v>
      </c>
      <c r="B44" s="1">
        <v>4.0</v>
      </c>
      <c r="C44" s="1">
        <v>1.0</v>
      </c>
      <c r="D44" s="1">
        <v>5.0</v>
      </c>
      <c r="F44" s="1" t="str">
        <f>LOOKUP(A44, NPCs!A:A, NPCs!C:C)</f>
        <v>Weak Zombie</v>
      </c>
      <c r="G44" s="1" t="str">
        <f>LOOKUP(B44, Items!A:A, Items!C:C)</f>
        <v>Small Health Potion</v>
      </c>
    </row>
    <row r="45" ht="15.75" customHeight="1">
      <c r="A45" s="1">
        <v>10.0</v>
      </c>
      <c r="B45" s="1">
        <v>5.0</v>
      </c>
      <c r="C45" s="1">
        <v>1.0</v>
      </c>
      <c r="D45" s="1">
        <v>5.0</v>
      </c>
      <c r="F45" s="1" t="str">
        <f>LOOKUP(A45, NPCs!A:A, NPCs!C:C)</f>
        <v>Weak Zombie</v>
      </c>
      <c r="G45" s="1" t="str">
        <f>LOOKUP(B45, Items!A:A, Items!C:C)</f>
        <v>Small Mana Potion</v>
      </c>
    </row>
    <row r="46" ht="15.75" customHeight="1">
      <c r="A46" s="1">
        <v>10.0</v>
      </c>
      <c r="B46" s="1">
        <v>21.0</v>
      </c>
      <c r="C46" s="1">
        <v>1.0</v>
      </c>
      <c r="D46" s="1">
        <v>5.0</v>
      </c>
      <c r="F46" s="1" t="str">
        <f>LOOKUP(A46, NPCs!A:A, NPCs!C:C)</f>
        <v>Weak Zombie</v>
      </c>
      <c r="G46" s="1" t="str">
        <f>LOOKUP(B46, Items!A:A, Items!C:C)</f>
        <v>Rubber Ducky</v>
      </c>
    </row>
    <row r="47" ht="15.75" customHeight="1">
      <c r="A47" s="1">
        <v>13.0</v>
      </c>
      <c r="B47" s="1">
        <v>80.0</v>
      </c>
      <c r="C47" s="1">
        <v>1.0</v>
      </c>
      <c r="D47" s="1">
        <v>5.0</v>
      </c>
      <c r="F47" s="1" t="str">
        <f>LOOKUP(A47, NPCs!A:A, NPCs!C:C)</f>
        <v>Skeleton</v>
      </c>
      <c r="G47" s="1" t="str">
        <f>LOOKUP(B47, Items!A:A, Items!C:C)</f>
        <v>Scroll: Dexterity 1</v>
      </c>
    </row>
    <row r="48" ht="15.75" customHeight="1">
      <c r="A48" s="1">
        <v>13.0</v>
      </c>
      <c r="B48" s="1">
        <v>67.0</v>
      </c>
      <c r="C48" s="1">
        <v>1.0</v>
      </c>
      <c r="D48" s="1">
        <v>5.0</v>
      </c>
      <c r="F48" s="1" t="str">
        <f>LOOKUP(A48, NPCs!A:A, NPCs!C:C)</f>
        <v>Skeleton</v>
      </c>
      <c r="G48" s="1" t="str">
        <f>LOOKUP(B48, Items!A:A, Items!C:C)</f>
        <v>Scroll: Fortify 4</v>
      </c>
    </row>
    <row r="49" ht="15.75" customHeight="1">
      <c r="A49" s="1">
        <v>13.0</v>
      </c>
      <c r="B49" s="1">
        <v>195.0</v>
      </c>
      <c r="C49" s="1">
        <v>1.0</v>
      </c>
      <c r="D49" s="1">
        <v>5.0</v>
      </c>
      <c r="F49" s="1" t="str">
        <f>LOOKUP(A49, NPCs!A:A, NPCs!C:C)</f>
        <v>Skeleton</v>
      </c>
      <c r="G49" s="1" t="str">
        <f>LOOKUP(B49, Items!A:A, Items!C:C)</f>
        <v>Scroll: Elemental Strike 8</v>
      </c>
    </row>
    <row r="50" ht="15.75" customHeight="1">
      <c r="A50" s="1">
        <v>13.0</v>
      </c>
      <c r="B50" s="1">
        <v>196.0</v>
      </c>
      <c r="C50" s="1">
        <v>1.0</v>
      </c>
      <c r="D50" s="1">
        <v>5.0</v>
      </c>
      <c r="F50" s="1" t="str">
        <f>LOOKUP(A50, NPCs!A:A, NPCs!C:C)</f>
        <v>Skeleton</v>
      </c>
      <c r="G50" s="1" t="str">
        <f>LOOKUP(B50, Items!A:A, Items!C:C)</f>
        <v>Scroll: Arcane Shield 4</v>
      </c>
    </row>
    <row r="51" ht="15.75" customHeight="1">
      <c r="A51" s="1">
        <v>14.0</v>
      </c>
      <c r="B51" s="1">
        <v>489.0</v>
      </c>
      <c r="C51" s="1">
        <v>1.0</v>
      </c>
      <c r="D51" s="1">
        <v>3.0</v>
      </c>
      <c r="F51" s="1" t="str">
        <f>LOOKUP(A51, NPCs!A:A, NPCs!C:C)</f>
        <v>Servant of the Dead</v>
      </c>
      <c r="G51" s="1" t="str">
        <f>LOOKUP(B51, Items!A:A, Items!C:C)</f>
        <v>Potion of Restoration</v>
      </c>
    </row>
    <row r="52" ht="15.75" customHeight="1">
      <c r="A52" s="1">
        <v>15.0</v>
      </c>
      <c r="B52" s="1">
        <v>225.0</v>
      </c>
      <c r="C52" s="1">
        <v>1.0</v>
      </c>
      <c r="D52" s="1">
        <v>7.0</v>
      </c>
      <c r="F52" s="1" t="str">
        <f>LOOKUP(A52, NPCs!A:A, NPCs!C:C)</f>
        <v>Boney</v>
      </c>
      <c r="G52" s="1" t="str">
        <f>LOOKUP(B52, Items!A:A, Items!C:C)</f>
        <v>Priests Shoes</v>
      </c>
    </row>
    <row r="53" ht="15.75" customHeight="1">
      <c r="A53" s="1">
        <v>15.0</v>
      </c>
      <c r="B53" s="1">
        <v>228.0</v>
      </c>
      <c r="C53" s="1">
        <v>1.0</v>
      </c>
      <c r="D53" s="1">
        <v>7.0</v>
      </c>
      <c r="F53" s="1" t="str">
        <f>LOOKUP(A53, NPCs!A:A, NPCs!C:C)</f>
        <v>Boney</v>
      </c>
      <c r="G53" s="1" t="str">
        <f>LOOKUP(B53, Items!A:A, Items!C:C)</f>
        <v>Magus Shoes</v>
      </c>
    </row>
    <row r="54" ht="15.75" customHeight="1">
      <c r="A54" s="1">
        <v>15.0</v>
      </c>
      <c r="B54" s="1">
        <v>233.0</v>
      </c>
      <c r="C54" s="1">
        <v>1.0</v>
      </c>
      <c r="D54" s="1">
        <v>7.0</v>
      </c>
      <c r="F54" s="1" t="str">
        <f>LOOKUP(A54, NPCs!A:A, NPCs!C:C)</f>
        <v>Boney</v>
      </c>
      <c r="G54" s="1" t="str">
        <f>LOOKUP(B54, Items!A:A, Items!C:C)</f>
        <v>Warriors Boots</v>
      </c>
    </row>
    <row r="55" ht="15.75" customHeight="1">
      <c r="A55" s="1">
        <v>15.0</v>
      </c>
      <c r="B55" s="1">
        <v>237.0</v>
      </c>
      <c r="C55" s="1">
        <v>1.0</v>
      </c>
      <c r="D55" s="1">
        <v>7.0</v>
      </c>
      <c r="F55" s="1" t="str">
        <f>LOOKUP(A55, NPCs!A:A, NPCs!C:C)</f>
        <v>Boney</v>
      </c>
      <c r="G55" s="1" t="str">
        <f>LOOKUP(B55, Items!A:A, Items!C:C)</f>
        <v>Rogues Boots</v>
      </c>
    </row>
    <row r="56" ht="15.75" customHeight="1">
      <c r="A56" s="1">
        <v>16.0</v>
      </c>
      <c r="B56" s="1">
        <v>213.0</v>
      </c>
      <c r="C56" s="1">
        <v>1.0</v>
      </c>
      <c r="D56" s="1">
        <v>5.0</v>
      </c>
      <c r="F56" s="1" t="str">
        <f>LOOKUP(A56, NPCs!A:A, NPCs!C:C)</f>
        <v>Misplaced Spouse</v>
      </c>
      <c r="G56" s="1" t="str">
        <f>LOOKUP(B56, Items!A:A, Items!C:C)</f>
        <v>Scythe</v>
      </c>
    </row>
    <row r="57" ht="15.75" customHeight="1">
      <c r="A57" s="1">
        <v>16.0</v>
      </c>
      <c r="B57" s="1">
        <v>100.0</v>
      </c>
      <c r="C57" s="1">
        <v>1.0</v>
      </c>
      <c r="D57" s="1">
        <v>7.0</v>
      </c>
      <c r="F57" s="1" t="str">
        <f>LOOKUP(A57, NPCs!A:A, NPCs!C:C)</f>
        <v>Misplaced Spouse</v>
      </c>
      <c r="G57" s="1" t="str">
        <f>LOOKUP(B57, Items!A:A, Items!C:C)</f>
        <v>Priests Crown</v>
      </c>
    </row>
    <row r="58" ht="15.75" customHeight="1">
      <c r="A58" s="1">
        <v>16.0</v>
      </c>
      <c r="B58" s="1">
        <v>230.0</v>
      </c>
      <c r="C58" s="1">
        <v>1.0</v>
      </c>
      <c r="D58" s="1">
        <v>7.0</v>
      </c>
      <c r="F58" s="1" t="str">
        <f>LOOKUP(A58, NPCs!A:A, NPCs!C:C)</f>
        <v>Misplaced Spouse</v>
      </c>
      <c r="G58" s="1" t="str">
        <f>LOOKUP(B58, Items!A:A, Items!C:C)</f>
        <v>Magus Crown</v>
      </c>
    </row>
    <row r="59" ht="15.75" customHeight="1">
      <c r="A59" s="1">
        <v>16.0</v>
      </c>
      <c r="B59" s="1">
        <v>231.0</v>
      </c>
      <c r="C59" s="1">
        <v>1.0</v>
      </c>
      <c r="D59" s="1">
        <v>7.0</v>
      </c>
      <c r="F59" s="1" t="str">
        <f>LOOKUP(A59, NPCs!A:A, NPCs!C:C)</f>
        <v>Misplaced Spouse</v>
      </c>
      <c r="G59" s="1" t="str">
        <f>LOOKUP(B59, Items!A:A, Items!C:C)</f>
        <v>Warriors Helmet</v>
      </c>
    </row>
    <row r="60" ht="15.75" customHeight="1">
      <c r="A60" s="1">
        <v>16.0</v>
      </c>
      <c r="B60" s="1">
        <v>235.0</v>
      </c>
      <c r="C60" s="1">
        <v>1.0</v>
      </c>
      <c r="D60" s="1">
        <v>7.0</v>
      </c>
      <c r="F60" s="1" t="str">
        <f>LOOKUP(A60, NPCs!A:A, NPCs!C:C)</f>
        <v>Misplaced Spouse</v>
      </c>
      <c r="G60" s="1" t="str">
        <f>LOOKUP(B60, Items!A:A, Items!C:C)</f>
        <v>Rogues Helmet</v>
      </c>
    </row>
    <row r="61" ht="15.75" customHeight="1">
      <c r="A61" s="1">
        <v>16.0</v>
      </c>
      <c r="B61" s="1">
        <v>264.0</v>
      </c>
      <c r="C61" s="1">
        <v>1.0</v>
      </c>
      <c r="D61" s="1">
        <v>7.0</v>
      </c>
      <c r="F61" s="1" t="str">
        <f>LOOKUP(A61, NPCs!A:A, NPCs!C:C)</f>
        <v>Misplaced Spouse</v>
      </c>
      <c r="G61" s="1" t="str">
        <f>LOOKUP(B61, Items!A:A, Items!C:C)</f>
        <v>Lesser Essence of Fire</v>
      </c>
    </row>
    <row r="62" ht="15.75" customHeight="1">
      <c r="A62" s="1">
        <v>16.0</v>
      </c>
      <c r="B62" s="1">
        <v>268.0</v>
      </c>
      <c r="C62" s="1">
        <v>1.0</v>
      </c>
      <c r="D62" s="1">
        <v>7.0</v>
      </c>
      <c r="F62" s="1" t="str">
        <f>LOOKUP(A62, NPCs!A:A, NPCs!C:C)</f>
        <v>Misplaced Spouse</v>
      </c>
      <c r="G62" s="1" t="str">
        <f>LOOKUP(B62, Items!A:A, Items!C:C)</f>
        <v>Present 1</v>
      </c>
    </row>
    <row r="63" ht="15.75" customHeight="1">
      <c r="A63" s="1">
        <v>16.0</v>
      </c>
      <c r="B63" s="1">
        <v>269.0</v>
      </c>
      <c r="C63" s="1">
        <v>1.0</v>
      </c>
      <c r="D63" s="1">
        <v>7.0</v>
      </c>
      <c r="F63" s="1" t="str">
        <f>LOOKUP(A63, NPCs!A:A, NPCs!C:C)</f>
        <v>Misplaced Spouse</v>
      </c>
      <c r="G63" s="1" t="str">
        <f>LOOKUP(B63, Items!A:A, Items!C:C)</f>
        <v>Present 2</v>
      </c>
    </row>
    <row r="64" ht="15.75" customHeight="1">
      <c r="A64" s="1">
        <v>17.0</v>
      </c>
      <c r="B64" s="1">
        <v>64.0</v>
      </c>
      <c r="C64" s="1">
        <v>1.0</v>
      </c>
      <c r="D64" s="1">
        <v>20.0</v>
      </c>
      <c r="F64" s="1" t="str">
        <f>LOOKUP(A64, NPCs!A:A, NPCs!C:C)</f>
        <v>Record Keeper</v>
      </c>
      <c r="G64" s="1" t="str">
        <f>LOOKUP(B64, Items!A:A, Items!C:C)</f>
        <v>Scroll: Healing 5</v>
      </c>
    </row>
    <row r="65" ht="15.75" customHeight="1">
      <c r="A65" s="1">
        <v>17.0</v>
      </c>
      <c r="B65" s="1">
        <v>77.0</v>
      </c>
      <c r="C65" s="1">
        <v>1.0</v>
      </c>
      <c r="D65" s="1">
        <v>15.0</v>
      </c>
      <c r="F65" s="1" t="str">
        <f>LOOKUP(A65, NPCs!A:A, NPCs!C:C)</f>
        <v>Record Keeper</v>
      </c>
      <c r="G65" s="1" t="str">
        <f>LOOKUP(B65, Items!A:A, Items!C:C)</f>
        <v>Scroll: Stamina 4</v>
      </c>
    </row>
    <row r="66" ht="15.75" customHeight="1">
      <c r="A66" s="1">
        <v>17.0</v>
      </c>
      <c r="B66" s="1">
        <v>72.0</v>
      </c>
      <c r="C66" s="1">
        <v>1.0</v>
      </c>
      <c r="D66" s="1">
        <v>10.0</v>
      </c>
      <c r="F66" s="1" t="str">
        <f>LOOKUP(A66, NPCs!A:A, NPCs!C:C)</f>
        <v>Record Keeper</v>
      </c>
      <c r="G66" s="1" t="str">
        <f>LOOKUP(B66, Items!A:A, Items!C:C)</f>
        <v>Scroll: Strength 4</v>
      </c>
    </row>
    <row r="67" ht="15.75" customHeight="1">
      <c r="A67" s="1">
        <v>17.0</v>
      </c>
      <c r="B67" s="1">
        <v>198.0</v>
      </c>
      <c r="C67" s="1">
        <v>1.0</v>
      </c>
      <c r="D67" s="1">
        <v>15.0</v>
      </c>
      <c r="F67" s="1" t="str">
        <f>LOOKUP(A67, NPCs!A:A, NPCs!C:C)</f>
        <v>Record Keeper</v>
      </c>
      <c r="G67" s="1" t="str">
        <f>LOOKUP(B67, Items!A:A, Items!C:C)</f>
        <v>Scroll: Regeneration 3</v>
      </c>
    </row>
    <row r="68" ht="15.75" customHeight="1">
      <c r="A68" s="1">
        <v>17.0</v>
      </c>
      <c r="B68" s="1">
        <v>197.0</v>
      </c>
      <c r="C68" s="1">
        <v>1.0</v>
      </c>
      <c r="D68" s="1">
        <v>15.0</v>
      </c>
      <c r="F68" s="1" t="str">
        <f>LOOKUP(A68, NPCs!A:A, NPCs!C:C)</f>
        <v>Record Keeper</v>
      </c>
      <c r="G68" s="1" t="str">
        <f>LOOKUP(B68, Items!A:A, Items!C:C)</f>
        <v>Scroll: Elemental Strike 9</v>
      </c>
    </row>
    <row r="69" ht="15.75" customHeight="1">
      <c r="A69" s="1">
        <v>17.0</v>
      </c>
      <c r="B69" s="1">
        <v>81.0</v>
      </c>
      <c r="C69" s="1">
        <v>1.0</v>
      </c>
      <c r="D69" s="1">
        <v>10.0</v>
      </c>
      <c r="F69" s="1" t="str">
        <f>LOOKUP(A69, NPCs!A:A, NPCs!C:C)</f>
        <v>Record Keeper</v>
      </c>
      <c r="G69" s="1" t="str">
        <f>LOOKUP(B69, Items!A:A, Items!C:C)</f>
        <v>Scroll: Dexterity 2</v>
      </c>
    </row>
    <row r="70" ht="15.75" customHeight="1">
      <c r="A70" s="1">
        <v>17.0</v>
      </c>
      <c r="B70" s="1">
        <v>224.0</v>
      </c>
      <c r="C70" s="1">
        <v>1.0</v>
      </c>
      <c r="D70" s="1">
        <v>7.0</v>
      </c>
      <c r="F70" s="1" t="str">
        <f>LOOKUP(A70, NPCs!A:A, NPCs!C:C)</f>
        <v>Record Keeper</v>
      </c>
      <c r="G70" s="1" t="str">
        <f>LOOKUP(B70, Items!A:A, Items!C:C)</f>
        <v>Priests Leggings</v>
      </c>
    </row>
    <row r="71" ht="15.75" customHeight="1">
      <c r="A71" s="1">
        <v>17.0</v>
      </c>
      <c r="B71" s="1">
        <v>227.0</v>
      </c>
      <c r="C71" s="1">
        <v>1.0</v>
      </c>
      <c r="D71" s="1">
        <v>7.0</v>
      </c>
      <c r="F71" s="1" t="str">
        <f>LOOKUP(A71, NPCs!A:A, NPCs!C:C)</f>
        <v>Record Keeper</v>
      </c>
      <c r="G71" s="1" t="str">
        <f>LOOKUP(B71, Items!A:A, Items!C:C)</f>
        <v>Magus Leggings</v>
      </c>
    </row>
    <row r="72" ht="15.75" customHeight="1">
      <c r="A72" s="1">
        <v>17.0</v>
      </c>
      <c r="B72" s="1">
        <v>232.0</v>
      </c>
      <c r="C72" s="1">
        <v>1.0</v>
      </c>
      <c r="D72" s="1">
        <v>7.0</v>
      </c>
      <c r="F72" s="1" t="str">
        <f>LOOKUP(A72, NPCs!A:A, NPCs!C:C)</f>
        <v>Record Keeper</v>
      </c>
      <c r="G72" s="1" t="str">
        <f>LOOKUP(B72, Items!A:A, Items!C:C)</f>
        <v>Warriors Legplates</v>
      </c>
    </row>
    <row r="73" ht="15.75" customHeight="1">
      <c r="A73" s="1">
        <v>17.0</v>
      </c>
      <c r="B73" s="1">
        <v>236.0</v>
      </c>
      <c r="C73" s="1">
        <v>1.0</v>
      </c>
      <c r="D73" s="1">
        <v>7.0</v>
      </c>
      <c r="F73" s="1" t="str">
        <f>LOOKUP(A73, NPCs!A:A, NPCs!C:C)</f>
        <v>Record Keeper</v>
      </c>
      <c r="G73" s="1" t="str">
        <f>LOOKUP(B73, Items!A:A, Items!C:C)</f>
        <v>Rogues Legplates</v>
      </c>
    </row>
    <row r="74" ht="15.75" customHeight="1">
      <c r="A74" s="1">
        <v>26.0</v>
      </c>
      <c r="B74" s="1">
        <v>214.0</v>
      </c>
      <c r="C74" s="1">
        <v>1.0</v>
      </c>
      <c r="D74" s="1">
        <v>4.0</v>
      </c>
      <c r="F74" s="1" t="str">
        <f>LOOKUP(A74, NPCs!A:A, NPCs!C:C)</f>
        <v>Fire Asp</v>
      </c>
      <c r="G74" s="1" t="str">
        <f>LOOKUP(B74, Items!A:A, Items!C:C)</f>
        <v>Searing Whip</v>
      </c>
    </row>
    <row r="75" ht="15.75" customHeight="1">
      <c r="A75" s="1">
        <v>26.0</v>
      </c>
      <c r="B75" s="1">
        <v>355.0</v>
      </c>
      <c r="C75" s="1">
        <v>1.0</v>
      </c>
      <c r="D75" s="1">
        <v>2.0</v>
      </c>
      <c r="F75" s="1" t="str">
        <f>LOOKUP(A75, NPCs!A:A, NPCs!C:C)</f>
        <v>Fire Asp</v>
      </c>
      <c r="G75" s="1" t="str">
        <f>LOOKUP(B75, Items!A:A, Items!C:C)</f>
        <v>Cats Hair</v>
      </c>
    </row>
    <row r="76" ht="15.75" customHeight="1">
      <c r="A76" s="1">
        <v>26.0</v>
      </c>
      <c r="B76" s="1">
        <v>623.0</v>
      </c>
      <c r="C76" s="1">
        <v>1.0</v>
      </c>
      <c r="D76" s="1">
        <v>4.0</v>
      </c>
      <c r="F76" s="1" t="str">
        <f>LOOKUP(A76, NPCs!A:A, NPCs!C:C)</f>
        <v>Fire Asp</v>
      </c>
      <c r="G76" s="1" t="str">
        <f>LOOKUP(B76, Items!A:A, Items!C:C)</f>
        <v>Red Droplet</v>
      </c>
    </row>
    <row r="77" ht="15.75" customHeight="1">
      <c r="A77" s="1">
        <v>27.0</v>
      </c>
      <c r="B77" s="1">
        <v>623.0</v>
      </c>
      <c r="C77" s="1">
        <v>1.0</v>
      </c>
      <c r="D77" s="1">
        <v>4.0</v>
      </c>
      <c r="F77" s="1" t="str">
        <f>LOOKUP(A77, NPCs!A:A, NPCs!C:C)</f>
        <v>Naga Warrior</v>
      </c>
      <c r="G77" s="1" t="str">
        <f>LOOKUP(B77, Items!A:A, Items!C:C)</f>
        <v>Red Droplet</v>
      </c>
    </row>
    <row r="78" ht="15.75" customHeight="1">
      <c r="A78" s="1">
        <v>28.0</v>
      </c>
      <c r="B78" s="1">
        <v>623.0</v>
      </c>
      <c r="C78" s="1">
        <v>1.0</v>
      </c>
      <c r="D78" s="1">
        <v>4.0</v>
      </c>
      <c r="F78" s="1" t="str">
        <f>LOOKUP(A78, NPCs!A:A, NPCs!C:C)</f>
        <v>Naga Rogue</v>
      </c>
      <c r="G78" s="1" t="str">
        <f>LOOKUP(B78, Items!A:A, Items!C:C)</f>
        <v>Red Droplet</v>
      </c>
    </row>
    <row r="79" ht="15.75" customHeight="1">
      <c r="A79" s="1">
        <v>56.0</v>
      </c>
      <c r="B79" s="1">
        <v>623.0</v>
      </c>
      <c r="C79" s="1">
        <v>1.0</v>
      </c>
      <c r="D79" s="1">
        <v>2.0</v>
      </c>
      <c r="F79" s="1" t="str">
        <f>LOOKUP(A79, NPCs!A:A, NPCs!C:C)</f>
        <v>Spook</v>
      </c>
      <c r="G79" s="1" t="str">
        <f>LOOKUP(B79, Items!A:A, Items!C:C)</f>
        <v>Red Droplet</v>
      </c>
    </row>
    <row r="80" ht="15.75" customHeight="1">
      <c r="A80" s="1">
        <v>56.0</v>
      </c>
      <c r="B80" s="1">
        <v>624.0</v>
      </c>
      <c r="C80" s="1">
        <v>1.0</v>
      </c>
      <c r="D80" s="1">
        <v>2.0</v>
      </c>
      <c r="F80" s="1" t="str">
        <f>LOOKUP(A80, NPCs!A:A, NPCs!C:C)</f>
        <v>Spook</v>
      </c>
      <c r="G80" s="1" t="str">
        <f>LOOKUP(B80, Items!A:A, Items!C:C)</f>
        <v>Blue Droplet</v>
      </c>
    </row>
    <row r="81" ht="15.75" customHeight="1">
      <c r="A81" s="1">
        <v>57.0</v>
      </c>
      <c r="B81" s="1">
        <v>623.0</v>
      </c>
      <c r="C81" s="1">
        <v>1.0</v>
      </c>
      <c r="D81" s="1">
        <v>2.0</v>
      </c>
      <c r="F81" s="1" t="str">
        <f>LOOKUP(A81, NPCs!A:A, NPCs!C:C)</f>
        <v>Ghast</v>
      </c>
      <c r="G81" s="1" t="str">
        <f>LOOKUP(B81, Items!A:A, Items!C:C)</f>
        <v>Red Droplet</v>
      </c>
    </row>
    <row r="82" ht="15.75" customHeight="1">
      <c r="A82" s="1">
        <v>57.0</v>
      </c>
      <c r="B82" s="1">
        <v>624.0</v>
      </c>
      <c r="C82" s="1">
        <v>1.0</v>
      </c>
      <c r="D82" s="1">
        <v>2.0</v>
      </c>
      <c r="F82" s="1" t="str">
        <f>LOOKUP(A82, NPCs!A:A, NPCs!C:C)</f>
        <v>Ghast</v>
      </c>
      <c r="G82" s="1" t="str">
        <f>LOOKUP(B82, Items!A:A, Items!C:C)</f>
        <v>Blue Droplet</v>
      </c>
    </row>
    <row r="83" ht="15.75" customHeight="1">
      <c r="A83" s="1">
        <v>56.0</v>
      </c>
      <c r="B83" s="1">
        <v>44.0</v>
      </c>
      <c r="C83" s="1">
        <v>1.0</v>
      </c>
      <c r="D83" s="1">
        <v>10.0</v>
      </c>
      <c r="F83" s="1" t="str">
        <f>LOOKUP(A83, NPCs!A:A, NPCs!C:C)</f>
        <v>Spook</v>
      </c>
      <c r="G83" s="1" t="str">
        <f>LOOKUP(B83, Items!A:A, Items!C:C)</f>
        <v>Large Health Potion</v>
      </c>
    </row>
    <row r="84" ht="15.75" customHeight="1">
      <c r="A84" s="1">
        <v>56.0</v>
      </c>
      <c r="B84" s="1">
        <v>45.0</v>
      </c>
      <c r="C84" s="1">
        <v>1.0</v>
      </c>
      <c r="D84" s="1">
        <v>10.0</v>
      </c>
      <c r="F84" s="1" t="str">
        <f>LOOKUP(A84, NPCs!A:A, NPCs!C:C)</f>
        <v>Spook</v>
      </c>
      <c r="G84" s="1" t="str">
        <f>LOOKUP(B84, Items!A:A, Items!C:C)</f>
        <v>Large Mana Potion</v>
      </c>
    </row>
    <row r="85" ht="15.75" customHeight="1">
      <c r="A85" s="1">
        <v>57.0</v>
      </c>
      <c r="B85" s="1">
        <v>44.0</v>
      </c>
      <c r="C85" s="1">
        <v>1.0</v>
      </c>
      <c r="D85" s="1">
        <v>10.0</v>
      </c>
      <c r="F85" s="1" t="str">
        <f>LOOKUP(A85, NPCs!A:A, NPCs!C:C)</f>
        <v>Ghast</v>
      </c>
      <c r="G85" s="1" t="str">
        <f>LOOKUP(B85, Items!A:A, Items!C:C)</f>
        <v>Large Health Potion</v>
      </c>
    </row>
    <row r="86" ht="15.75" customHeight="1">
      <c r="A86" s="1">
        <v>57.0</v>
      </c>
      <c r="B86" s="1">
        <v>45.0</v>
      </c>
      <c r="C86" s="1">
        <v>1.0</v>
      </c>
      <c r="D86" s="1">
        <v>10.0</v>
      </c>
      <c r="F86" s="1" t="str">
        <f>LOOKUP(A86, NPCs!A:A, NPCs!C:C)</f>
        <v>Ghast</v>
      </c>
      <c r="G86" s="1" t="str">
        <f>LOOKUP(B86, Items!A:A, Items!C:C)</f>
        <v>Large Mana Potion</v>
      </c>
    </row>
    <row r="87" ht="15.75" customHeight="1">
      <c r="A87" s="1">
        <v>58.0</v>
      </c>
      <c r="B87" s="1">
        <v>212.0</v>
      </c>
      <c r="C87" s="1">
        <v>1.0</v>
      </c>
      <c r="D87" s="1">
        <v>5.0</v>
      </c>
      <c r="F87" s="1" t="str">
        <f>LOOKUP(A87, NPCs!A:A, NPCs!C:C)</f>
        <v>ImaBitStale</v>
      </c>
      <c r="G87" s="1" t="str">
        <f>LOOKUP(B87, Items!A:A, Items!C:C)</f>
        <v>Priests Hammer</v>
      </c>
    </row>
    <row r="88" ht="15.75" customHeight="1">
      <c r="A88" s="1">
        <v>58.0</v>
      </c>
      <c r="B88" s="1">
        <v>68.0</v>
      </c>
      <c r="C88" s="1">
        <v>1.0</v>
      </c>
      <c r="D88" s="1">
        <v>10.0</v>
      </c>
      <c r="F88" s="1" t="str">
        <f>LOOKUP(A88, NPCs!A:A, NPCs!C:C)</f>
        <v>ImaBitStale</v>
      </c>
      <c r="G88" s="1" t="str">
        <f>LOOKUP(B88, Items!A:A, Items!C:C)</f>
        <v>Scroll: Fortify 5</v>
      </c>
    </row>
    <row r="89" ht="15.75" customHeight="1">
      <c r="A89" s="1">
        <v>58.0</v>
      </c>
      <c r="B89" s="1">
        <v>83.0</v>
      </c>
      <c r="C89" s="1">
        <v>1.0</v>
      </c>
      <c r="D89" s="1">
        <v>10.0</v>
      </c>
      <c r="F89" s="1" t="str">
        <f>LOOKUP(A89, NPCs!A:A, NPCs!C:C)</f>
        <v>ImaBitStale</v>
      </c>
      <c r="G89" s="1" t="str">
        <f>LOOKUP(B89, Items!A:A, Items!C:C)</f>
        <v>Scroll: Mana Regeneration 2</v>
      </c>
    </row>
    <row r="90" ht="15.75" customHeight="1">
      <c r="A90" s="1">
        <v>58.0</v>
      </c>
      <c r="B90" s="1">
        <v>73.0</v>
      </c>
      <c r="C90" s="1">
        <v>1.0</v>
      </c>
      <c r="D90" s="1">
        <v>10.0</v>
      </c>
      <c r="F90" s="1" t="str">
        <f>LOOKUP(A90, NPCs!A:A, NPCs!C:C)</f>
        <v>ImaBitStale</v>
      </c>
      <c r="G90" s="1" t="str">
        <f>LOOKUP(B90, Items!A:A, Items!C:C)</f>
        <v>Scroll: Strength 5</v>
      </c>
    </row>
    <row r="91" ht="15.75" customHeight="1">
      <c r="A91" s="1">
        <v>58.0</v>
      </c>
      <c r="B91" s="1">
        <v>200.0</v>
      </c>
      <c r="C91" s="1">
        <v>1.0</v>
      </c>
      <c r="D91" s="1">
        <v>10.0</v>
      </c>
      <c r="F91" s="1" t="str">
        <f>LOOKUP(A91, NPCs!A:A, NPCs!C:C)</f>
        <v>ImaBitStale</v>
      </c>
      <c r="G91" s="1" t="str">
        <f>LOOKUP(B91, Items!A:A, Items!C:C)</f>
        <v>Scroll: Arcane Shield 5</v>
      </c>
    </row>
    <row r="92" ht="15.75" customHeight="1">
      <c r="A92" s="1">
        <v>58.0</v>
      </c>
      <c r="B92" s="1">
        <v>199.0</v>
      </c>
      <c r="C92" s="1">
        <v>1.0</v>
      </c>
      <c r="D92" s="1">
        <v>10.0</v>
      </c>
      <c r="F92" s="1" t="str">
        <f>LOOKUP(A92, NPCs!A:A, NPCs!C:C)</f>
        <v>ImaBitStale</v>
      </c>
      <c r="G92" s="1" t="str">
        <f>LOOKUP(B92, Items!A:A, Items!C:C)</f>
        <v>Scroll: Elemental Strike 10</v>
      </c>
    </row>
    <row r="93" ht="15.75" customHeight="1">
      <c r="A93" s="1">
        <v>58.0</v>
      </c>
      <c r="B93" s="1">
        <v>259.0</v>
      </c>
      <c r="C93" s="1">
        <v>1.0</v>
      </c>
      <c r="D93" s="1">
        <v>5.0</v>
      </c>
      <c r="F93" s="1" t="str">
        <f>LOOKUP(A93, NPCs!A:A, NPCs!C:C)</f>
        <v>ImaBitStale</v>
      </c>
      <c r="G93" s="1" t="str">
        <f>LOOKUP(B93, Items!A:A, Items!C:C)</f>
        <v>Rusty Claw</v>
      </c>
    </row>
    <row r="94" ht="15.75" customHeight="1">
      <c r="A94" s="1">
        <v>58.0</v>
      </c>
      <c r="B94" s="1">
        <v>273.0</v>
      </c>
      <c r="C94" s="1">
        <v>1.0</v>
      </c>
      <c r="D94" s="1">
        <v>10.0</v>
      </c>
      <c r="F94" s="1" t="str">
        <f>LOOKUP(A94, NPCs!A:A, NPCs!C:C)</f>
        <v>ImaBitStale</v>
      </c>
      <c r="G94" s="1" t="str">
        <f>LOOKUP(B94, Items!A:A, Items!C:C)</f>
        <v>Scroll: Arcane Blast</v>
      </c>
    </row>
    <row r="95" ht="15.75" customHeight="1">
      <c r="A95" s="1">
        <v>58.0</v>
      </c>
      <c r="B95" s="1">
        <v>277.0</v>
      </c>
      <c r="C95" s="1">
        <v>1.0</v>
      </c>
      <c r="D95" s="1">
        <v>10.0</v>
      </c>
      <c r="F95" s="1" t="str">
        <f>LOOKUP(A95, NPCs!A:A, NPCs!C:C)</f>
        <v>ImaBitStale</v>
      </c>
      <c r="G95" s="1" t="str">
        <f>LOOKUP(B95, Items!A:A, Items!C:C)</f>
        <v>Scroll: Rejuvination</v>
      </c>
    </row>
    <row r="96" ht="15.75" customHeight="1">
      <c r="A96" s="1">
        <v>58.0</v>
      </c>
      <c r="B96" s="1">
        <v>420.0</v>
      </c>
      <c r="C96" s="1">
        <v>1.0</v>
      </c>
      <c r="D96" s="1">
        <v>7.0</v>
      </c>
      <c r="F96" s="1" t="str">
        <f>LOOKUP(A96, NPCs!A:A, NPCs!C:C)</f>
        <v>ImaBitStale</v>
      </c>
      <c r="G96" s="1" t="str">
        <f>LOOKUP(B96, Items!A:A, Items!C:C)</f>
        <v>Scroll: Spiritual Blessings</v>
      </c>
    </row>
    <row r="97" ht="15.75" customHeight="1">
      <c r="A97" s="1">
        <v>58.0</v>
      </c>
      <c r="B97" s="1">
        <v>64.0</v>
      </c>
      <c r="C97" s="1">
        <v>1.0</v>
      </c>
      <c r="D97" s="1">
        <v>10.0</v>
      </c>
      <c r="F97" s="1" t="str">
        <f>LOOKUP(A97, NPCs!A:A, NPCs!C:C)</f>
        <v>ImaBitStale</v>
      </c>
      <c r="G97" s="1" t="str">
        <f>LOOKUP(B97, Items!A:A, Items!C:C)</f>
        <v>Scroll: Healing 5</v>
      </c>
    </row>
    <row r="98" ht="15.75" customHeight="1">
      <c r="A98" s="1">
        <v>59.0</v>
      </c>
      <c r="B98" s="1">
        <v>68.0</v>
      </c>
      <c r="C98" s="1">
        <v>1.0</v>
      </c>
      <c r="D98" s="1">
        <v>10.0</v>
      </c>
      <c r="F98" s="1" t="str">
        <f>LOOKUP(A98, NPCs!A:A, NPCs!C:C)</f>
        <v>Ecto</v>
      </c>
      <c r="G98" s="1" t="str">
        <f>LOOKUP(B98, Items!A:A, Items!C:C)</f>
        <v>Scroll: Fortify 5</v>
      </c>
    </row>
    <row r="99" ht="15.75" customHeight="1">
      <c r="A99" s="1">
        <v>59.0</v>
      </c>
      <c r="B99" s="1">
        <v>83.0</v>
      </c>
      <c r="C99" s="1">
        <v>1.0</v>
      </c>
      <c r="D99" s="1">
        <v>10.0</v>
      </c>
      <c r="F99" s="1" t="str">
        <f>LOOKUP(A99, NPCs!A:A, NPCs!C:C)</f>
        <v>Ecto</v>
      </c>
      <c r="G99" s="1" t="str">
        <f>LOOKUP(B99, Items!A:A, Items!C:C)</f>
        <v>Scroll: Mana Regeneration 2</v>
      </c>
    </row>
    <row r="100" ht="15.75" customHeight="1">
      <c r="A100" s="1">
        <v>59.0</v>
      </c>
      <c r="B100" s="1">
        <v>73.0</v>
      </c>
      <c r="C100" s="1">
        <v>1.0</v>
      </c>
      <c r="D100" s="1">
        <v>10.0</v>
      </c>
      <c r="F100" s="1" t="str">
        <f>LOOKUP(A100, NPCs!A:A, NPCs!C:C)</f>
        <v>Ecto</v>
      </c>
      <c r="G100" s="1" t="str">
        <f>LOOKUP(B100, Items!A:A, Items!C:C)</f>
        <v>Scroll: Strength 5</v>
      </c>
    </row>
    <row r="101" ht="15.75" customHeight="1">
      <c r="A101" s="1">
        <v>59.0</v>
      </c>
      <c r="B101" s="1">
        <v>200.0</v>
      </c>
      <c r="C101" s="1">
        <v>1.0</v>
      </c>
      <c r="D101" s="1">
        <v>10.0</v>
      </c>
      <c r="F101" s="1" t="str">
        <f>LOOKUP(A101, NPCs!A:A, NPCs!C:C)</f>
        <v>Ecto</v>
      </c>
      <c r="G101" s="1" t="str">
        <f>LOOKUP(B101, Items!A:A, Items!C:C)</f>
        <v>Scroll: Arcane Shield 5</v>
      </c>
    </row>
    <row r="102" ht="15.75" customHeight="1">
      <c r="A102" s="1">
        <v>59.0</v>
      </c>
      <c r="B102" s="1">
        <v>199.0</v>
      </c>
      <c r="C102" s="1">
        <v>1.0</v>
      </c>
      <c r="D102" s="1">
        <v>10.0</v>
      </c>
      <c r="F102" s="1" t="str">
        <f>LOOKUP(A102, NPCs!A:A, NPCs!C:C)</f>
        <v>Ecto</v>
      </c>
      <c r="G102" s="1" t="str">
        <f>LOOKUP(B102, Items!A:A, Items!C:C)</f>
        <v>Scroll: Elemental Strike 10</v>
      </c>
    </row>
    <row r="103" ht="15.75" customHeight="1">
      <c r="A103" s="1">
        <v>59.0</v>
      </c>
      <c r="B103" s="1">
        <v>226.0</v>
      </c>
      <c r="C103" s="1">
        <v>1.0</v>
      </c>
      <c r="D103" s="1">
        <v>7.0</v>
      </c>
      <c r="F103" s="1" t="str">
        <f>LOOKUP(A103, NPCs!A:A, NPCs!C:C)</f>
        <v>Ecto</v>
      </c>
      <c r="G103" s="1" t="str">
        <f>LOOKUP(B103, Items!A:A, Items!C:C)</f>
        <v>Priests Tunic</v>
      </c>
    </row>
    <row r="104" ht="15.75" customHeight="1">
      <c r="A104" s="1">
        <v>59.0</v>
      </c>
      <c r="B104" s="1">
        <v>230.0</v>
      </c>
      <c r="C104" s="1">
        <v>1.0</v>
      </c>
      <c r="D104" s="1">
        <v>7.0</v>
      </c>
      <c r="F104" s="1" t="str">
        <f>LOOKUP(A104, NPCs!A:A, NPCs!C:C)</f>
        <v>Ecto</v>
      </c>
      <c r="G104" s="1" t="str">
        <f>LOOKUP(B104, Items!A:A, Items!C:C)</f>
        <v>Magus Crown</v>
      </c>
    </row>
    <row r="105" ht="15.75" customHeight="1">
      <c r="A105" s="1">
        <v>59.0</v>
      </c>
      <c r="B105" s="1">
        <v>234.0</v>
      </c>
      <c r="C105" s="1">
        <v>1.0</v>
      </c>
      <c r="D105" s="1">
        <v>7.0</v>
      </c>
      <c r="F105" s="1" t="str">
        <f>LOOKUP(A105, NPCs!A:A, NPCs!C:C)</f>
        <v>Ecto</v>
      </c>
      <c r="G105" s="1" t="str">
        <f>LOOKUP(B105, Items!A:A, Items!C:C)</f>
        <v>Warriors Chestplate</v>
      </c>
    </row>
    <row r="106" ht="15.75" customHeight="1">
      <c r="A106" s="1">
        <v>59.0</v>
      </c>
      <c r="B106" s="1">
        <v>238.0</v>
      </c>
      <c r="C106" s="1">
        <v>1.0</v>
      </c>
      <c r="D106" s="1">
        <v>7.0</v>
      </c>
      <c r="F106" s="1" t="str">
        <f>LOOKUP(A106, NPCs!A:A, NPCs!C:C)</f>
        <v>Ecto</v>
      </c>
      <c r="G106" s="1" t="str">
        <f>LOOKUP(B106, Items!A:A, Items!C:C)</f>
        <v>Rogues Chestplate</v>
      </c>
    </row>
    <row r="107" ht="15.75" customHeight="1">
      <c r="A107" s="1">
        <v>59.0</v>
      </c>
      <c r="B107" s="1">
        <v>270.0</v>
      </c>
      <c r="C107" s="1">
        <v>1.0</v>
      </c>
      <c r="D107" s="1">
        <v>5.0</v>
      </c>
      <c r="F107" s="1" t="str">
        <f>LOOKUP(A107, NPCs!A:A, NPCs!C:C)</f>
        <v>Ecto</v>
      </c>
      <c r="G107" s="1" t="str">
        <f>LOOKUP(B107, Items!A:A, Items!C:C)</f>
        <v>Present 3</v>
      </c>
    </row>
    <row r="108" ht="15.75" customHeight="1">
      <c r="A108" s="1">
        <v>59.0</v>
      </c>
      <c r="B108" s="1">
        <v>275.0</v>
      </c>
      <c r="C108" s="1">
        <v>1.0</v>
      </c>
      <c r="D108" s="1">
        <v>10.0</v>
      </c>
      <c r="F108" s="1" t="str">
        <f>LOOKUP(A108, NPCs!A:A, NPCs!C:C)</f>
        <v>Ecto</v>
      </c>
      <c r="G108" s="1" t="str">
        <f>LOOKUP(B108, Items!A:A, Items!C:C)</f>
        <v>Scroll: Spirit Strike</v>
      </c>
    </row>
    <row r="109" ht="15.75" customHeight="1">
      <c r="A109" s="1">
        <v>59.0</v>
      </c>
      <c r="B109" s="1">
        <v>276.0</v>
      </c>
      <c r="C109" s="1">
        <v>1.0</v>
      </c>
      <c r="D109" s="1">
        <v>10.0</v>
      </c>
      <c r="F109" s="1" t="str">
        <f>LOOKUP(A109, NPCs!A:A, NPCs!C:C)</f>
        <v>Ecto</v>
      </c>
      <c r="G109" s="1" t="str">
        <f>LOOKUP(B109, Items!A:A, Items!C:C)</f>
        <v>Scroll: Critical Strike</v>
      </c>
    </row>
    <row r="110" ht="15.75" customHeight="1">
      <c r="A110" s="1">
        <v>60.0</v>
      </c>
      <c r="B110" s="1">
        <v>68.0</v>
      </c>
      <c r="C110" s="1">
        <v>1.0</v>
      </c>
      <c r="D110" s="1">
        <v>10.0</v>
      </c>
      <c r="F110" s="1" t="str">
        <f>LOOKUP(A110, NPCs!A:A, NPCs!C:C)</f>
        <v>Punchy</v>
      </c>
      <c r="G110" s="1" t="str">
        <f>LOOKUP(B110, Items!A:A, Items!C:C)</f>
        <v>Scroll: Fortify 5</v>
      </c>
    </row>
    <row r="111" ht="15.75" customHeight="1">
      <c r="A111" s="1">
        <v>60.0</v>
      </c>
      <c r="B111" s="1">
        <v>83.0</v>
      </c>
      <c r="C111" s="1">
        <v>1.0</v>
      </c>
      <c r="D111" s="1">
        <v>10.0</v>
      </c>
      <c r="F111" s="1" t="str">
        <f>LOOKUP(A111, NPCs!A:A, NPCs!C:C)</f>
        <v>Punchy</v>
      </c>
      <c r="G111" s="1" t="str">
        <f>LOOKUP(B111, Items!A:A, Items!C:C)</f>
        <v>Scroll: Mana Regeneration 2</v>
      </c>
    </row>
    <row r="112" ht="15.75" customHeight="1">
      <c r="A112" s="1">
        <v>60.0</v>
      </c>
      <c r="B112" s="1">
        <v>73.0</v>
      </c>
      <c r="C112" s="1">
        <v>1.0</v>
      </c>
      <c r="D112" s="1">
        <v>10.0</v>
      </c>
      <c r="F112" s="1" t="str">
        <f>LOOKUP(A112, NPCs!A:A, NPCs!C:C)</f>
        <v>Punchy</v>
      </c>
      <c r="G112" s="1" t="str">
        <f>LOOKUP(B112, Items!A:A, Items!C:C)</f>
        <v>Scroll: Strength 5</v>
      </c>
    </row>
    <row r="113" ht="15.75" customHeight="1">
      <c r="A113" s="1">
        <v>60.0</v>
      </c>
      <c r="B113" s="1">
        <v>200.0</v>
      </c>
      <c r="C113" s="1">
        <v>1.0</v>
      </c>
      <c r="D113" s="1">
        <v>10.0</v>
      </c>
      <c r="F113" s="1" t="str">
        <f>LOOKUP(A113, NPCs!A:A, NPCs!C:C)</f>
        <v>Punchy</v>
      </c>
      <c r="G113" s="1" t="str">
        <f>LOOKUP(B113, Items!A:A, Items!C:C)</f>
        <v>Scroll: Arcane Shield 5</v>
      </c>
    </row>
    <row r="114" ht="15.75" customHeight="1">
      <c r="A114" s="1">
        <v>60.0</v>
      </c>
      <c r="B114" s="1">
        <v>199.0</v>
      </c>
      <c r="C114" s="1">
        <v>1.0</v>
      </c>
      <c r="D114" s="1">
        <v>10.0</v>
      </c>
      <c r="F114" s="1" t="str">
        <f>LOOKUP(A114, NPCs!A:A, NPCs!C:C)</f>
        <v>Punchy</v>
      </c>
      <c r="G114" s="1" t="str">
        <f>LOOKUP(B114, Items!A:A, Items!C:C)</f>
        <v>Scroll: Elemental Strike 10</v>
      </c>
    </row>
    <row r="115" ht="15.75" customHeight="1">
      <c r="A115" s="1">
        <v>60.0</v>
      </c>
      <c r="B115" s="1">
        <v>90.0</v>
      </c>
      <c r="C115" s="1">
        <v>1.0</v>
      </c>
      <c r="D115" s="1">
        <v>7.0</v>
      </c>
      <c r="F115" s="1" t="str">
        <f>LOOKUP(A115, NPCs!A:A, NPCs!C:C)</f>
        <v>Punchy</v>
      </c>
      <c r="G115" s="1" t="str">
        <f>LOOKUP(B115, Items!A:A, Items!C:C)</f>
        <v>Champions Helmet</v>
      </c>
    </row>
    <row r="116" ht="15.75" customHeight="1">
      <c r="A116" s="1">
        <v>60.0</v>
      </c>
      <c r="B116" s="1">
        <v>107.0</v>
      </c>
      <c r="C116" s="1">
        <v>1.0</v>
      </c>
      <c r="D116" s="1">
        <v>7.0</v>
      </c>
      <c r="F116" s="1" t="str">
        <f>LOOKUP(A116, NPCs!A:A, NPCs!C:C)</f>
        <v>Punchy</v>
      </c>
      <c r="G116" s="1" t="str">
        <f>LOOKUP(B116, Items!A:A, Items!C:C)</f>
        <v>Champions Legplates</v>
      </c>
    </row>
    <row r="117" ht="15.75" customHeight="1">
      <c r="A117" s="1">
        <v>60.0</v>
      </c>
      <c r="B117" s="1">
        <v>164.0</v>
      </c>
      <c r="C117" s="1">
        <v>1.0</v>
      </c>
      <c r="D117" s="1">
        <v>7.0</v>
      </c>
      <c r="F117" s="1" t="str">
        <f>LOOKUP(A117, NPCs!A:A, NPCs!C:C)</f>
        <v>Punchy</v>
      </c>
      <c r="G117" s="1" t="str">
        <f>LOOKUP(B117, Items!A:A, Items!C:C)</f>
        <v>Champions Boots</v>
      </c>
    </row>
    <row r="118" ht="15.75" customHeight="1">
      <c r="A118" s="1">
        <v>60.0</v>
      </c>
      <c r="B118" s="1">
        <v>149.0</v>
      </c>
      <c r="C118" s="1">
        <v>1.0</v>
      </c>
      <c r="D118" s="1">
        <v>7.0</v>
      </c>
      <c r="F118" s="1" t="str">
        <f>LOOKUP(A118, NPCs!A:A, NPCs!C:C)</f>
        <v>Punchy</v>
      </c>
      <c r="G118" s="1" t="str">
        <f>LOOKUP(B118, Items!A:A, Items!C:C)</f>
        <v>Champions Chestplate</v>
      </c>
    </row>
    <row r="119" ht="15.75" customHeight="1">
      <c r="A119" s="1">
        <v>60.0</v>
      </c>
      <c r="B119" s="1">
        <v>93.0</v>
      </c>
      <c r="C119" s="1">
        <v>1.0</v>
      </c>
      <c r="D119" s="1">
        <v>7.0</v>
      </c>
      <c r="F119" s="1" t="str">
        <f>LOOKUP(A119, NPCs!A:A, NPCs!C:C)</f>
        <v>Punchy</v>
      </c>
      <c r="G119" s="1" t="str">
        <f>LOOKUP(B119, Items!A:A, Items!C:C)</f>
        <v>Deceivers Helmet</v>
      </c>
    </row>
    <row r="120" ht="15.75" customHeight="1">
      <c r="A120" s="1">
        <v>60.0</v>
      </c>
      <c r="B120" s="1">
        <v>165.0</v>
      </c>
      <c r="C120" s="1">
        <v>1.0</v>
      </c>
      <c r="D120" s="1">
        <v>7.0</v>
      </c>
      <c r="F120" s="1" t="str">
        <f>LOOKUP(A120, NPCs!A:A, NPCs!C:C)</f>
        <v>Punchy</v>
      </c>
      <c r="G120" s="1" t="str">
        <f>LOOKUP(B120, Items!A:A, Items!C:C)</f>
        <v>Deceivers Legplates</v>
      </c>
    </row>
    <row r="121" ht="15.75" customHeight="1">
      <c r="A121" s="1">
        <v>60.0</v>
      </c>
      <c r="B121" s="1">
        <v>125.0</v>
      </c>
      <c r="C121" s="1">
        <v>1.0</v>
      </c>
      <c r="D121" s="1">
        <v>7.0</v>
      </c>
      <c r="F121" s="1" t="str">
        <f>LOOKUP(A121, NPCs!A:A, NPCs!C:C)</f>
        <v>Punchy</v>
      </c>
      <c r="G121" s="1" t="str">
        <f>LOOKUP(B121, Items!A:A, Items!C:C)</f>
        <v>Deceivers Boots</v>
      </c>
    </row>
    <row r="122" ht="15.75" customHeight="1">
      <c r="A122" s="1">
        <v>60.0</v>
      </c>
      <c r="B122" s="1">
        <v>168.0</v>
      </c>
      <c r="C122" s="1">
        <v>1.0</v>
      </c>
      <c r="D122" s="1">
        <v>7.0</v>
      </c>
      <c r="F122" s="1" t="str">
        <f>LOOKUP(A122, NPCs!A:A, NPCs!C:C)</f>
        <v>Punchy</v>
      </c>
      <c r="G122" s="1" t="str">
        <f>LOOKUP(B122, Items!A:A, Items!C:C)</f>
        <v>Deceivers Chestplate</v>
      </c>
    </row>
    <row r="123" ht="15.75" customHeight="1">
      <c r="A123" s="1">
        <v>60.0</v>
      </c>
      <c r="B123" s="1">
        <v>239.0</v>
      </c>
      <c r="C123" s="1">
        <v>1.0</v>
      </c>
      <c r="D123" s="1">
        <v>7.0</v>
      </c>
      <c r="F123" s="1" t="str">
        <f>LOOKUP(A123, NPCs!A:A, NPCs!C:C)</f>
        <v>Punchy</v>
      </c>
      <c r="G123" s="1" t="str">
        <f>LOOKUP(B123, Items!A:A, Items!C:C)</f>
        <v>High Priests Leggings</v>
      </c>
    </row>
    <row r="124" ht="15.75" customHeight="1">
      <c r="A124" s="1">
        <v>60.0</v>
      </c>
      <c r="B124" s="1">
        <v>240.0</v>
      </c>
      <c r="C124" s="1">
        <v>1.0</v>
      </c>
      <c r="D124" s="1">
        <v>7.0</v>
      </c>
      <c r="F124" s="1" t="str">
        <f>LOOKUP(A124, NPCs!A:A, NPCs!C:C)</f>
        <v>Punchy</v>
      </c>
      <c r="G124" s="1" t="str">
        <f>LOOKUP(B124, Items!A:A, Items!C:C)</f>
        <v>High Priests Shoes</v>
      </c>
    </row>
    <row r="125" ht="15.75" customHeight="1">
      <c r="A125" s="1">
        <v>60.0</v>
      </c>
      <c r="B125" s="1">
        <v>241.0</v>
      </c>
      <c r="C125" s="1">
        <v>1.0</v>
      </c>
      <c r="D125" s="1">
        <v>7.0</v>
      </c>
      <c r="F125" s="1" t="str">
        <f>LOOKUP(A125, NPCs!A:A, NPCs!C:C)</f>
        <v>Punchy</v>
      </c>
      <c r="G125" s="1" t="str">
        <f>LOOKUP(B125, Items!A:A, Items!C:C)</f>
        <v>High Priests Crown</v>
      </c>
    </row>
    <row r="126" ht="15.75" customHeight="1">
      <c r="A126" s="1">
        <v>60.0</v>
      </c>
      <c r="B126" s="1">
        <v>242.0</v>
      </c>
      <c r="C126" s="1">
        <v>1.0</v>
      </c>
      <c r="D126" s="1">
        <v>7.0</v>
      </c>
      <c r="F126" s="1" t="str">
        <f>LOOKUP(A126, NPCs!A:A, NPCs!C:C)</f>
        <v>Punchy</v>
      </c>
      <c r="G126" s="1" t="str">
        <f>LOOKUP(B126, Items!A:A, Items!C:C)</f>
        <v>High Priests Tunic</v>
      </c>
    </row>
    <row r="127" ht="15.75" customHeight="1">
      <c r="A127" s="1">
        <v>60.0</v>
      </c>
      <c r="B127" s="1">
        <v>243.0</v>
      </c>
      <c r="C127" s="1">
        <v>1.0</v>
      </c>
      <c r="D127" s="1">
        <v>7.0</v>
      </c>
      <c r="F127" s="1" t="str">
        <f>LOOKUP(A127, NPCs!A:A, NPCs!C:C)</f>
        <v>Punchy</v>
      </c>
      <c r="G127" s="1" t="str">
        <f>LOOKUP(B127, Items!A:A, Items!C:C)</f>
        <v>Elemental Leggings</v>
      </c>
    </row>
    <row r="128" ht="15.75" customHeight="1">
      <c r="A128" s="1">
        <v>60.0</v>
      </c>
      <c r="B128" s="1">
        <v>244.0</v>
      </c>
      <c r="C128" s="1">
        <v>1.0</v>
      </c>
      <c r="D128" s="1">
        <v>7.0</v>
      </c>
      <c r="F128" s="1" t="str">
        <f>LOOKUP(A128, NPCs!A:A, NPCs!C:C)</f>
        <v>Punchy</v>
      </c>
      <c r="G128" s="1" t="str">
        <f>LOOKUP(B128, Items!A:A, Items!C:C)</f>
        <v>Elemental Shoes</v>
      </c>
    </row>
    <row r="129" ht="15.75" customHeight="1">
      <c r="A129" s="1">
        <v>60.0</v>
      </c>
      <c r="B129" s="1">
        <v>245.0</v>
      </c>
      <c r="C129" s="1">
        <v>1.0</v>
      </c>
      <c r="D129" s="1">
        <v>7.0</v>
      </c>
      <c r="F129" s="1" t="str">
        <f>LOOKUP(A129, NPCs!A:A, NPCs!C:C)</f>
        <v>Punchy</v>
      </c>
      <c r="G129" s="1" t="str">
        <f>LOOKUP(B129, Items!A:A, Items!C:C)</f>
        <v>Elemental Tunic</v>
      </c>
    </row>
    <row r="130" ht="15.75" customHeight="1">
      <c r="A130" s="1">
        <v>60.0</v>
      </c>
      <c r="B130" s="1">
        <v>246.0</v>
      </c>
      <c r="C130" s="1">
        <v>1.0</v>
      </c>
      <c r="D130" s="1">
        <v>7.0</v>
      </c>
      <c r="F130" s="1" t="str">
        <f>LOOKUP(A130, NPCs!A:A, NPCs!C:C)</f>
        <v>Punchy</v>
      </c>
      <c r="G130" s="1" t="str">
        <f>LOOKUP(B130, Items!A:A, Items!C:C)</f>
        <v>Elemental Crown</v>
      </c>
    </row>
    <row r="131" ht="15.75" customHeight="1">
      <c r="A131" s="1">
        <v>60.0</v>
      </c>
      <c r="B131" s="1">
        <v>258.0</v>
      </c>
      <c r="C131" s="1">
        <v>1.0</v>
      </c>
      <c r="D131" s="1">
        <v>6.0</v>
      </c>
      <c r="F131" s="1" t="str">
        <f>LOOKUP(A131, NPCs!A:A, NPCs!C:C)</f>
        <v>Punchy</v>
      </c>
      <c r="G131" s="1" t="str">
        <f>LOOKUP(B131, Items!A:A, Items!C:C)</f>
        <v>Bear Claw</v>
      </c>
    </row>
    <row r="132" ht="15.75" customHeight="1">
      <c r="A132" s="1">
        <v>60.0</v>
      </c>
      <c r="B132" s="1">
        <v>253.0</v>
      </c>
      <c r="C132" s="1">
        <v>1.0</v>
      </c>
      <c r="D132" s="1">
        <v>6.0</v>
      </c>
      <c r="F132" s="1" t="str">
        <f>LOOKUP(A132, NPCs!A:A, NPCs!C:C)</f>
        <v>Punchy</v>
      </c>
      <c r="G132" s="1" t="str">
        <f>LOOKUP(B132, Items!A:A, Items!C:C)</f>
        <v>Champions Blade</v>
      </c>
    </row>
    <row r="133" ht="15.75" customHeight="1">
      <c r="A133" s="1">
        <v>60.0</v>
      </c>
      <c r="B133" s="1">
        <v>205.0</v>
      </c>
      <c r="C133" s="1">
        <v>1.0</v>
      </c>
      <c r="D133" s="1">
        <v>6.0</v>
      </c>
      <c r="F133" s="1" t="str">
        <f>LOOKUP(A133, NPCs!A:A, NPCs!C:C)</f>
        <v>Punchy</v>
      </c>
      <c r="G133" s="1" t="str">
        <f>LOOKUP(B133, Items!A:A, Items!C:C)</f>
        <v>Deceivers Dagger</v>
      </c>
    </row>
    <row r="134" ht="15.75" customHeight="1">
      <c r="A134" s="1">
        <v>60.0</v>
      </c>
      <c r="B134" s="1">
        <v>273.0</v>
      </c>
      <c r="C134" s="1">
        <v>1.0</v>
      </c>
      <c r="D134" s="1">
        <v>10.0</v>
      </c>
      <c r="F134" s="1" t="str">
        <f>LOOKUP(A134, NPCs!A:A, NPCs!C:C)</f>
        <v>Punchy</v>
      </c>
      <c r="G134" s="1" t="str">
        <f>LOOKUP(B134, Items!A:A, Items!C:C)</f>
        <v>Scroll: Arcane Blast</v>
      </c>
    </row>
    <row r="135" ht="15.75" customHeight="1">
      <c r="A135" s="1">
        <v>60.0</v>
      </c>
      <c r="B135" s="1">
        <v>277.0</v>
      </c>
      <c r="C135" s="1">
        <v>1.0</v>
      </c>
      <c r="D135" s="1">
        <v>10.0</v>
      </c>
      <c r="F135" s="1" t="str">
        <f>LOOKUP(A135, NPCs!A:A, NPCs!C:C)</f>
        <v>Punchy</v>
      </c>
      <c r="G135" s="1" t="str">
        <f>LOOKUP(B135, Items!A:A, Items!C:C)</f>
        <v>Scroll: Rejuvination</v>
      </c>
    </row>
    <row r="136" ht="15.75" customHeight="1">
      <c r="A136" s="1">
        <v>60.0</v>
      </c>
      <c r="B136" s="1">
        <v>275.0</v>
      </c>
      <c r="C136" s="1">
        <v>1.0</v>
      </c>
      <c r="D136" s="1">
        <v>10.0</v>
      </c>
      <c r="F136" s="1" t="str">
        <f>LOOKUP(A136, NPCs!A:A, NPCs!C:C)</f>
        <v>Punchy</v>
      </c>
      <c r="G136" s="1" t="str">
        <f>LOOKUP(B136, Items!A:A, Items!C:C)</f>
        <v>Scroll: Spirit Strike</v>
      </c>
    </row>
    <row r="137" ht="15.75" customHeight="1">
      <c r="A137" s="1">
        <v>60.0</v>
      </c>
      <c r="B137" s="1">
        <v>276.0</v>
      </c>
      <c r="C137" s="1">
        <v>1.0</v>
      </c>
      <c r="D137" s="1">
        <v>10.0</v>
      </c>
      <c r="F137" s="1" t="str">
        <f>LOOKUP(A137, NPCs!A:A, NPCs!C:C)</f>
        <v>Punchy</v>
      </c>
      <c r="G137" s="1" t="str">
        <f>LOOKUP(B137, Items!A:A, Items!C:C)</f>
        <v>Scroll: Critical Strike</v>
      </c>
    </row>
    <row r="138" ht="15.75" customHeight="1">
      <c r="A138" s="1">
        <v>60.0</v>
      </c>
      <c r="B138" s="1">
        <v>302.0</v>
      </c>
      <c r="C138" s="1">
        <v>1.0</v>
      </c>
      <c r="D138" s="1">
        <v>5.0</v>
      </c>
      <c r="F138" s="1" t="str">
        <f>LOOKUP(A138, NPCs!A:A, NPCs!C:C)</f>
        <v>Punchy</v>
      </c>
      <c r="G138" s="1" t="str">
        <f>LOOKUP(B138, Items!A:A, Items!C:C)</f>
        <v>Scroll: Group Teleport Paradise</v>
      </c>
    </row>
    <row r="139" ht="15.75" customHeight="1">
      <c r="A139" s="1">
        <v>60.0</v>
      </c>
      <c r="B139" s="1">
        <v>420.0</v>
      </c>
      <c r="C139" s="1">
        <v>1.0</v>
      </c>
      <c r="D139" s="1">
        <v>7.0</v>
      </c>
      <c r="F139" s="1" t="str">
        <f>LOOKUP(A139, NPCs!A:A, NPCs!C:C)</f>
        <v>Punchy</v>
      </c>
      <c r="G139" s="1" t="str">
        <f>LOOKUP(B139, Items!A:A, Items!C:C)</f>
        <v>Scroll: Spiritual Blessings</v>
      </c>
    </row>
    <row r="140" ht="15.75" customHeight="1">
      <c r="A140" s="1">
        <v>60.0</v>
      </c>
      <c r="B140" s="1">
        <v>266.0</v>
      </c>
      <c r="C140" s="1">
        <v>1.0</v>
      </c>
      <c r="D140" s="1">
        <v>10.0</v>
      </c>
      <c r="F140" s="1" t="str">
        <f>LOOKUP(A140, NPCs!A:A, NPCs!C:C)</f>
        <v>Punchy</v>
      </c>
      <c r="G140" s="1" t="str">
        <f>LOOKUP(B140, Items!A:A, Items!C:C)</f>
        <v>Key to the Ancients Dungeon</v>
      </c>
    </row>
    <row r="141" ht="15.75" customHeight="1">
      <c r="A141" s="1">
        <v>60.0</v>
      </c>
      <c r="B141" s="1">
        <v>58.0</v>
      </c>
      <c r="C141" s="1">
        <v>1.0</v>
      </c>
      <c r="D141" s="1">
        <v>5.0</v>
      </c>
      <c r="F141" s="1" t="str">
        <f>LOOKUP(A141, NPCs!A:A, NPCs!C:C)</f>
        <v>Punchy</v>
      </c>
      <c r="G141" s="1" t="str">
        <f>LOOKUP(B141, Items!A:A, Items!C:C)</f>
        <v>Gem of Power</v>
      </c>
    </row>
    <row r="142" ht="15.75" customHeight="1">
      <c r="A142" s="1">
        <v>60.0</v>
      </c>
      <c r="B142" s="1">
        <v>622.0</v>
      </c>
      <c r="C142" s="1">
        <v>2.0</v>
      </c>
      <c r="D142" s="1">
        <v>2.0</v>
      </c>
      <c r="F142" s="1" t="str">
        <f>LOOKUP(A142, NPCs!A:A, NPCs!C:C)</f>
        <v>Punchy</v>
      </c>
      <c r="G142" s="1" t="str">
        <f>LOOKUP(B142, Items!A:A, Items!C:C)</f>
        <v>Magical Liquid</v>
      </c>
    </row>
    <row r="143" ht="15.75" customHeight="1">
      <c r="A143" s="1">
        <v>60.0</v>
      </c>
      <c r="B143" s="1">
        <v>64.0</v>
      </c>
      <c r="C143" s="1">
        <v>1.0</v>
      </c>
      <c r="D143" s="1">
        <v>10.0</v>
      </c>
      <c r="F143" s="1" t="str">
        <f>LOOKUP(A143, NPCs!A:A, NPCs!C:C)</f>
        <v>Punchy</v>
      </c>
      <c r="G143" s="1" t="str">
        <f>LOOKUP(B143, Items!A:A, Items!C:C)</f>
        <v>Scroll: Healing 5</v>
      </c>
    </row>
    <row r="144" ht="15.75" customHeight="1">
      <c r="A144" s="1">
        <v>61.0</v>
      </c>
      <c r="B144" s="1">
        <v>343.0</v>
      </c>
      <c r="C144" s="1">
        <v>1.0</v>
      </c>
      <c r="D144" s="1">
        <v>2.5</v>
      </c>
      <c r="F144" s="1" t="str">
        <f>LOOKUP(A144, NPCs!A:A, NPCs!C:C)</f>
        <v>Rabid Savage</v>
      </c>
      <c r="G144" s="1" t="str">
        <f>LOOKUP(B144, Items!A:A, Items!C:C)</f>
        <v>Pearl</v>
      </c>
    </row>
    <row r="145" ht="15.75" customHeight="1">
      <c r="A145" s="1">
        <v>61.0</v>
      </c>
      <c r="B145" s="1">
        <v>457.0</v>
      </c>
      <c r="C145" s="1">
        <v>1.0</v>
      </c>
      <c r="D145" s="1">
        <v>2.5</v>
      </c>
      <c r="F145" s="1" t="str">
        <f>LOOKUP(A145, NPCs!A:A, NPCs!C:C)</f>
        <v>Rabid Savage</v>
      </c>
      <c r="G145" s="1" t="str">
        <f>LOOKUP(B145, Items!A:A, Items!C:C)</f>
        <v>Red Rope</v>
      </c>
    </row>
    <row r="146" ht="15.75" customHeight="1">
      <c r="A146" s="1">
        <v>61.0</v>
      </c>
      <c r="B146" s="1">
        <v>444.0</v>
      </c>
      <c r="C146" s="1">
        <v>1.0</v>
      </c>
      <c r="D146" s="1">
        <v>2.5</v>
      </c>
      <c r="F146" s="1" t="str">
        <f>LOOKUP(A146, NPCs!A:A, NPCs!C:C)</f>
        <v>Rabid Savage</v>
      </c>
      <c r="G146" s="1" t="str">
        <f>LOOKUP(B146, Items!A:A, Items!C:C)</f>
        <v>Sketch</v>
      </c>
    </row>
    <row r="147" ht="15.75" customHeight="1">
      <c r="A147" s="1">
        <v>61.0</v>
      </c>
      <c r="B147" s="1">
        <v>445.0</v>
      </c>
      <c r="C147" s="1">
        <v>1.0</v>
      </c>
      <c r="D147" s="1">
        <v>2.5</v>
      </c>
      <c r="F147" s="1" t="str">
        <f>LOOKUP(A147, NPCs!A:A, NPCs!C:C)</f>
        <v>Rabid Savage</v>
      </c>
      <c r="G147" s="1" t="str">
        <f>LOOKUP(B147, Items!A:A, Items!C:C)</f>
        <v>Soft Gold Ore</v>
      </c>
    </row>
    <row r="148" ht="15.75" customHeight="1">
      <c r="A148" s="1">
        <v>61.0</v>
      </c>
      <c r="B148" s="1">
        <v>623.0</v>
      </c>
      <c r="C148" s="1">
        <v>1.0</v>
      </c>
      <c r="D148" s="1">
        <v>1.0</v>
      </c>
      <c r="F148" s="1" t="str">
        <f>LOOKUP(A148, NPCs!A:A, NPCs!C:C)</f>
        <v>Rabid Savage</v>
      </c>
      <c r="G148" s="1" t="str">
        <f>LOOKUP(B148, Items!A:A, Items!C:C)</f>
        <v>Red Droplet</v>
      </c>
    </row>
    <row r="149" ht="15.75" customHeight="1">
      <c r="A149" s="1">
        <v>61.0</v>
      </c>
      <c r="B149" s="1">
        <v>624.0</v>
      </c>
      <c r="C149" s="1">
        <v>1.0</v>
      </c>
      <c r="D149" s="1">
        <v>1.0</v>
      </c>
      <c r="F149" s="1" t="str">
        <f>LOOKUP(A149, NPCs!A:A, NPCs!C:C)</f>
        <v>Rabid Savage</v>
      </c>
      <c r="G149" s="1" t="str">
        <f>LOOKUP(B149, Items!A:A, Items!C:C)</f>
        <v>Blue Droplet</v>
      </c>
    </row>
    <row r="150" ht="15.75" customHeight="1">
      <c r="A150" s="1">
        <v>61.0</v>
      </c>
      <c r="B150" s="1">
        <v>626.0</v>
      </c>
      <c r="C150" s="1">
        <v>1.0</v>
      </c>
      <c r="D150" s="1">
        <v>1.0</v>
      </c>
      <c r="F150" s="1" t="str">
        <f>LOOKUP(A150, NPCs!A:A, NPCs!C:C)</f>
        <v>Rabid Savage</v>
      </c>
      <c r="G150" s="1" t="str">
        <f>LOOKUP(B150, Items!A:A, Items!C:C)</f>
        <v>Green Droplet</v>
      </c>
    </row>
    <row r="151" ht="15.75" customHeight="1">
      <c r="A151" s="1">
        <v>61.0</v>
      </c>
      <c r="B151" s="1">
        <v>627.0</v>
      </c>
      <c r="C151" s="1">
        <v>1.0</v>
      </c>
      <c r="D151" s="1">
        <v>1.0</v>
      </c>
      <c r="F151" s="1" t="str">
        <f>LOOKUP(A151, NPCs!A:A, NPCs!C:C)</f>
        <v>Rabid Savage</v>
      </c>
      <c r="G151" s="1" t="str">
        <f>LOOKUP(B151, Items!A:A, Items!C:C)</f>
        <v>Orange Droplet</v>
      </c>
    </row>
    <row r="152" ht="15.75" customHeight="1">
      <c r="A152" s="1">
        <v>62.0</v>
      </c>
      <c r="B152" s="1">
        <v>343.0</v>
      </c>
      <c r="C152" s="1">
        <v>1.0</v>
      </c>
      <c r="D152" s="1">
        <v>2.5</v>
      </c>
      <c r="F152" s="1" t="str">
        <f>LOOKUP(A152, NPCs!A:A, NPCs!C:C)</f>
        <v>Hungry Savage</v>
      </c>
      <c r="G152" s="1" t="str">
        <f>LOOKUP(B152, Items!A:A, Items!C:C)</f>
        <v>Pearl</v>
      </c>
    </row>
    <row r="153" ht="15.75" customHeight="1">
      <c r="A153" s="1">
        <v>62.0</v>
      </c>
      <c r="B153" s="1">
        <v>457.0</v>
      </c>
      <c r="C153" s="1">
        <v>1.0</v>
      </c>
      <c r="D153" s="1">
        <v>2.5</v>
      </c>
      <c r="F153" s="1" t="str">
        <f>LOOKUP(A153, NPCs!A:A, NPCs!C:C)</f>
        <v>Hungry Savage</v>
      </c>
      <c r="G153" s="1" t="str">
        <f>LOOKUP(B153, Items!A:A, Items!C:C)</f>
        <v>Red Rope</v>
      </c>
    </row>
    <row r="154" ht="15.75" customHeight="1">
      <c r="A154" s="1">
        <v>62.0</v>
      </c>
      <c r="B154" s="1">
        <v>444.0</v>
      </c>
      <c r="C154" s="1">
        <v>1.0</v>
      </c>
      <c r="D154" s="1">
        <v>2.5</v>
      </c>
      <c r="F154" s="1" t="str">
        <f>LOOKUP(A154, NPCs!A:A, NPCs!C:C)</f>
        <v>Hungry Savage</v>
      </c>
      <c r="G154" s="1" t="str">
        <f>LOOKUP(B154, Items!A:A, Items!C:C)</f>
        <v>Sketch</v>
      </c>
    </row>
    <row r="155" ht="15.75" customHeight="1">
      <c r="A155" s="1">
        <v>62.0</v>
      </c>
      <c r="B155" s="1">
        <v>445.0</v>
      </c>
      <c r="C155" s="1">
        <v>1.0</v>
      </c>
      <c r="D155" s="1">
        <v>2.5</v>
      </c>
      <c r="F155" s="1" t="str">
        <f>LOOKUP(A155, NPCs!A:A, NPCs!C:C)</f>
        <v>Hungry Savage</v>
      </c>
      <c r="G155" s="1" t="str">
        <f>LOOKUP(B155, Items!A:A, Items!C:C)</f>
        <v>Soft Gold Ore</v>
      </c>
    </row>
    <row r="156" ht="15.75" customHeight="1">
      <c r="A156" s="1">
        <v>62.0</v>
      </c>
      <c r="B156" s="1">
        <v>623.0</v>
      </c>
      <c r="C156" s="1">
        <v>1.0</v>
      </c>
      <c r="D156" s="1">
        <v>1.5</v>
      </c>
      <c r="F156" s="1" t="str">
        <f>LOOKUP(A156, NPCs!A:A, NPCs!C:C)</f>
        <v>Hungry Savage</v>
      </c>
      <c r="G156" s="1" t="str">
        <f>LOOKUP(B156, Items!A:A, Items!C:C)</f>
        <v>Red Droplet</v>
      </c>
    </row>
    <row r="157" ht="15.75" customHeight="1">
      <c r="A157" s="1">
        <v>62.0</v>
      </c>
      <c r="B157" s="1">
        <v>624.0</v>
      </c>
      <c r="C157" s="1">
        <v>1.0</v>
      </c>
      <c r="D157" s="1">
        <v>1.5</v>
      </c>
      <c r="F157" s="1" t="str">
        <f>LOOKUP(A157, NPCs!A:A, NPCs!C:C)</f>
        <v>Hungry Savage</v>
      </c>
      <c r="G157" s="1" t="str">
        <f>LOOKUP(B157, Items!A:A, Items!C:C)</f>
        <v>Blue Droplet</v>
      </c>
    </row>
    <row r="158" ht="15.75" customHeight="1">
      <c r="A158" s="1">
        <v>62.0</v>
      </c>
      <c r="B158" s="1">
        <v>626.0</v>
      </c>
      <c r="C158" s="1">
        <v>1.0</v>
      </c>
      <c r="D158" s="1">
        <v>1.5</v>
      </c>
      <c r="F158" s="1" t="str">
        <f>LOOKUP(A158, NPCs!A:A, NPCs!C:C)</f>
        <v>Hungry Savage</v>
      </c>
      <c r="G158" s="1" t="str">
        <f>LOOKUP(B158, Items!A:A, Items!C:C)</f>
        <v>Green Droplet</v>
      </c>
    </row>
    <row r="159" ht="15.75" customHeight="1">
      <c r="A159" s="1">
        <v>62.0</v>
      </c>
      <c r="B159" s="1">
        <v>627.0</v>
      </c>
      <c r="C159" s="1">
        <v>1.0</v>
      </c>
      <c r="D159" s="1">
        <v>1.5</v>
      </c>
      <c r="F159" s="1" t="str">
        <f>LOOKUP(A159, NPCs!A:A, NPCs!C:C)</f>
        <v>Hungry Savage</v>
      </c>
      <c r="G159" s="1" t="str">
        <f>LOOKUP(B159, Items!A:A, Items!C:C)</f>
        <v>Orange Droplet</v>
      </c>
    </row>
    <row r="160" ht="15.75" customHeight="1">
      <c r="A160" s="1">
        <v>63.0</v>
      </c>
      <c r="B160" s="1">
        <v>343.0</v>
      </c>
      <c r="C160" s="1">
        <v>1.0</v>
      </c>
      <c r="D160" s="1">
        <v>2.5</v>
      </c>
      <c r="F160" s="1" t="str">
        <f>LOOKUP(A160, NPCs!A:A, NPCs!C:C)</f>
        <v>Savage</v>
      </c>
      <c r="G160" s="1" t="str">
        <f>LOOKUP(B160, Items!A:A, Items!C:C)</f>
        <v>Pearl</v>
      </c>
    </row>
    <row r="161" ht="15.75" customHeight="1">
      <c r="A161" s="1">
        <v>63.0</v>
      </c>
      <c r="B161" s="1">
        <v>457.0</v>
      </c>
      <c r="C161" s="1">
        <v>1.0</v>
      </c>
      <c r="D161" s="1">
        <v>2.5</v>
      </c>
      <c r="F161" s="1" t="str">
        <f>LOOKUP(A161, NPCs!A:A, NPCs!C:C)</f>
        <v>Savage</v>
      </c>
      <c r="G161" s="1" t="str">
        <f>LOOKUP(B161, Items!A:A, Items!C:C)</f>
        <v>Red Rope</v>
      </c>
    </row>
    <row r="162" ht="15.75" customHeight="1">
      <c r="A162" s="1">
        <v>63.0</v>
      </c>
      <c r="B162" s="1">
        <v>444.0</v>
      </c>
      <c r="C162" s="1">
        <v>1.0</v>
      </c>
      <c r="D162" s="1">
        <v>2.5</v>
      </c>
      <c r="F162" s="1" t="str">
        <f>LOOKUP(A162, NPCs!A:A, NPCs!C:C)</f>
        <v>Savage</v>
      </c>
      <c r="G162" s="1" t="str">
        <f>LOOKUP(B162, Items!A:A, Items!C:C)</f>
        <v>Sketch</v>
      </c>
    </row>
    <row r="163" ht="15.75" customHeight="1">
      <c r="A163" s="1">
        <v>63.0</v>
      </c>
      <c r="B163" s="1">
        <v>445.0</v>
      </c>
      <c r="C163" s="1">
        <v>1.0</v>
      </c>
      <c r="D163" s="1">
        <v>2.5</v>
      </c>
      <c r="F163" s="1" t="str">
        <f>LOOKUP(A163, NPCs!A:A, NPCs!C:C)</f>
        <v>Savage</v>
      </c>
      <c r="G163" s="1" t="str">
        <f>LOOKUP(B163, Items!A:A, Items!C:C)</f>
        <v>Soft Gold Ore</v>
      </c>
    </row>
    <row r="164" ht="15.75" customHeight="1">
      <c r="A164" s="1">
        <v>63.0</v>
      </c>
      <c r="B164" s="1">
        <v>623.0</v>
      </c>
      <c r="C164" s="1">
        <v>1.0</v>
      </c>
      <c r="D164" s="1">
        <v>1.0</v>
      </c>
      <c r="F164" s="1" t="str">
        <f>LOOKUP(A164, NPCs!A:A, NPCs!C:C)</f>
        <v>Savage</v>
      </c>
      <c r="G164" s="1" t="str">
        <f>LOOKUP(B164, Items!A:A, Items!C:C)</f>
        <v>Red Droplet</v>
      </c>
    </row>
    <row r="165" ht="15.75" customHeight="1">
      <c r="A165" s="1">
        <v>63.0</v>
      </c>
      <c r="B165" s="1">
        <v>624.0</v>
      </c>
      <c r="C165" s="1">
        <v>1.0</v>
      </c>
      <c r="D165" s="1">
        <v>1.0</v>
      </c>
      <c r="F165" s="1" t="str">
        <f>LOOKUP(A165, NPCs!A:A, NPCs!C:C)</f>
        <v>Savage</v>
      </c>
      <c r="G165" s="1" t="str">
        <f>LOOKUP(B165, Items!A:A, Items!C:C)</f>
        <v>Blue Droplet</v>
      </c>
    </row>
    <row r="166" ht="15.75" customHeight="1">
      <c r="A166" s="1">
        <v>64.0</v>
      </c>
      <c r="B166" s="1">
        <v>343.0</v>
      </c>
      <c r="C166" s="1">
        <v>1.0</v>
      </c>
      <c r="D166" s="1">
        <v>2.5</v>
      </c>
      <c r="F166" s="1" t="str">
        <f>LOOKUP(A166, NPCs!A:A, NPCs!C:C)</f>
        <v>Paranoid Savage</v>
      </c>
      <c r="G166" s="1" t="str">
        <f>LOOKUP(B166, Items!A:A, Items!C:C)</f>
        <v>Pearl</v>
      </c>
    </row>
    <row r="167" ht="15.75" customHeight="1">
      <c r="A167" s="1">
        <v>64.0</v>
      </c>
      <c r="B167" s="1">
        <v>457.0</v>
      </c>
      <c r="C167" s="1">
        <v>1.0</v>
      </c>
      <c r="D167" s="1">
        <v>2.5</v>
      </c>
      <c r="F167" s="1" t="str">
        <f>LOOKUP(A167, NPCs!A:A, NPCs!C:C)</f>
        <v>Paranoid Savage</v>
      </c>
      <c r="G167" s="1" t="str">
        <f>LOOKUP(B167, Items!A:A, Items!C:C)</f>
        <v>Red Rope</v>
      </c>
    </row>
    <row r="168" ht="15.75" customHeight="1">
      <c r="A168" s="1">
        <v>64.0</v>
      </c>
      <c r="B168" s="1">
        <v>444.0</v>
      </c>
      <c r="C168" s="1">
        <v>1.0</v>
      </c>
      <c r="D168" s="1">
        <v>2.5</v>
      </c>
      <c r="F168" s="1" t="str">
        <f>LOOKUP(A168, NPCs!A:A, NPCs!C:C)</f>
        <v>Paranoid Savage</v>
      </c>
      <c r="G168" s="1" t="str">
        <f>LOOKUP(B168, Items!A:A, Items!C:C)</f>
        <v>Sketch</v>
      </c>
    </row>
    <row r="169" ht="15.75" customHeight="1">
      <c r="A169" s="1">
        <v>64.0</v>
      </c>
      <c r="B169" s="1">
        <v>445.0</v>
      </c>
      <c r="C169" s="1">
        <v>1.0</v>
      </c>
      <c r="D169" s="1">
        <v>2.5</v>
      </c>
      <c r="F169" s="1" t="str">
        <f>LOOKUP(A169, NPCs!A:A, NPCs!C:C)</f>
        <v>Paranoid Savage</v>
      </c>
      <c r="G169" s="1" t="str">
        <f>LOOKUP(B169, Items!A:A, Items!C:C)</f>
        <v>Soft Gold Ore</v>
      </c>
    </row>
    <row r="170" ht="15.75" customHeight="1">
      <c r="A170" s="1">
        <v>64.0</v>
      </c>
      <c r="B170" s="1">
        <v>623.0</v>
      </c>
      <c r="C170" s="1">
        <v>1.0</v>
      </c>
      <c r="D170" s="1">
        <v>1.5</v>
      </c>
      <c r="F170" s="1" t="str">
        <f>LOOKUP(A170, NPCs!A:A, NPCs!C:C)</f>
        <v>Paranoid Savage</v>
      </c>
      <c r="G170" s="1" t="str">
        <f>LOOKUP(B170, Items!A:A, Items!C:C)</f>
        <v>Red Droplet</v>
      </c>
    </row>
    <row r="171" ht="15.75" customHeight="1">
      <c r="A171" s="1">
        <v>64.0</v>
      </c>
      <c r="B171" s="1">
        <v>624.0</v>
      </c>
      <c r="C171" s="1">
        <v>1.0</v>
      </c>
      <c r="D171" s="1">
        <v>1.5</v>
      </c>
      <c r="F171" s="1" t="str">
        <f>LOOKUP(A171, NPCs!A:A, NPCs!C:C)</f>
        <v>Paranoid Savage</v>
      </c>
      <c r="G171" s="1" t="str">
        <f>LOOKUP(B171, Items!A:A, Items!C:C)</f>
        <v>Blue Droplet</v>
      </c>
    </row>
    <row r="172" ht="15.75" customHeight="1">
      <c r="A172" s="1">
        <v>64.0</v>
      </c>
      <c r="B172" s="1">
        <v>626.0</v>
      </c>
      <c r="C172" s="1">
        <v>1.0</v>
      </c>
      <c r="D172" s="1">
        <v>1.5</v>
      </c>
      <c r="F172" s="1" t="str">
        <f>LOOKUP(A172, NPCs!A:A, NPCs!C:C)</f>
        <v>Paranoid Savage</v>
      </c>
      <c r="G172" s="1" t="str">
        <f>LOOKUP(B172, Items!A:A, Items!C:C)</f>
        <v>Green Droplet</v>
      </c>
    </row>
    <row r="173" ht="15.75" customHeight="1">
      <c r="A173" s="1">
        <v>64.0</v>
      </c>
      <c r="B173" s="1">
        <v>627.0</v>
      </c>
      <c r="C173" s="1">
        <v>1.0</v>
      </c>
      <c r="D173" s="1">
        <v>1.5</v>
      </c>
      <c r="F173" s="1" t="str">
        <f>LOOKUP(A173, NPCs!A:A, NPCs!C:C)</f>
        <v>Paranoid Savage</v>
      </c>
      <c r="G173" s="1" t="str">
        <f>LOOKUP(B173, Items!A:A, Items!C:C)</f>
        <v>Orange Droplet</v>
      </c>
    </row>
    <row r="174" ht="15.75" customHeight="1">
      <c r="A174" s="1">
        <v>18.0</v>
      </c>
      <c r="B174" s="1">
        <v>42.0</v>
      </c>
      <c r="C174" s="1">
        <v>1.0</v>
      </c>
      <c r="D174" s="1">
        <v>10.0</v>
      </c>
      <c r="F174" s="1" t="str">
        <f>LOOKUP(A174, NPCs!A:A, NPCs!C:C)</f>
        <v>Piglet</v>
      </c>
      <c r="G174" s="1" t="str">
        <f>LOOKUP(B174, Items!A:A, Items!C:C)</f>
        <v>Health Potion</v>
      </c>
    </row>
    <row r="175" ht="15.75" customHeight="1">
      <c r="A175" s="1">
        <v>18.0</v>
      </c>
      <c r="B175" s="1">
        <v>43.0</v>
      </c>
      <c r="C175" s="1">
        <v>1.0</v>
      </c>
      <c r="D175" s="1">
        <v>10.0</v>
      </c>
      <c r="F175" s="1" t="str">
        <f>LOOKUP(A175, NPCs!A:A, NPCs!C:C)</f>
        <v>Piglet</v>
      </c>
      <c r="G175" s="1" t="str">
        <f>LOOKUP(B175, Items!A:A, Items!C:C)</f>
        <v>Mana Potion</v>
      </c>
    </row>
    <row r="176" ht="15.75" customHeight="1">
      <c r="A176" s="1">
        <v>19.0</v>
      </c>
      <c r="B176" s="1">
        <v>160.0</v>
      </c>
      <c r="C176" s="1">
        <v>1.0</v>
      </c>
      <c r="D176" s="1">
        <v>6.0</v>
      </c>
      <c r="F176" s="1" t="str">
        <f>LOOKUP(A176, NPCs!A:A, NPCs!C:C)</f>
        <v>Flying Piglet</v>
      </c>
      <c r="G176" s="1" t="str">
        <f>LOOKUP(B176, Items!A:A, Items!C:C)</f>
        <v>Thick Skin of the Boar</v>
      </c>
    </row>
    <row r="177" ht="15.75" customHeight="1">
      <c r="A177" s="1">
        <v>19.0</v>
      </c>
      <c r="B177" s="1">
        <v>1.0</v>
      </c>
      <c r="C177" s="1">
        <v>5000.0</v>
      </c>
      <c r="D177" s="1">
        <v>10.0</v>
      </c>
      <c r="F177" s="1" t="str">
        <f>LOOKUP(A177, NPCs!A:A, NPCs!C:C)</f>
        <v>Flying Piglet</v>
      </c>
      <c r="G177" s="1" t="str">
        <f>LOOKUP(B177, Items!A:A, Items!C:C)</f>
        <v>Gold</v>
      </c>
    </row>
    <row r="178" ht="15.75" customHeight="1">
      <c r="A178" s="1">
        <v>20.0</v>
      </c>
      <c r="B178" s="1">
        <v>4.0</v>
      </c>
      <c r="C178" s="1">
        <v>1.0</v>
      </c>
      <c r="D178" s="1">
        <v>10.0</v>
      </c>
      <c r="F178" s="1" t="str">
        <f>LOOKUP(A178, NPCs!A:A, NPCs!C:C)</f>
        <v>Lost Wabbit</v>
      </c>
      <c r="G178" s="1" t="str">
        <f>LOOKUP(B178, Items!A:A, Items!C:C)</f>
        <v>Small Health Potion</v>
      </c>
    </row>
    <row r="179" ht="15.75" customHeight="1">
      <c r="A179" s="1">
        <v>20.0</v>
      </c>
      <c r="B179" s="1">
        <v>5.0</v>
      </c>
      <c r="C179" s="1">
        <v>1.0</v>
      </c>
      <c r="D179" s="1">
        <v>10.0</v>
      </c>
      <c r="F179" s="1" t="str">
        <f>LOOKUP(A179, NPCs!A:A, NPCs!C:C)</f>
        <v>Lost Wabbit</v>
      </c>
      <c r="G179" s="1" t="str">
        <f>LOOKUP(B179, Items!A:A, Items!C:C)</f>
        <v>Small Mana Potion</v>
      </c>
    </row>
    <row r="180" ht="15.75" customHeight="1">
      <c r="A180" s="1">
        <v>21.0</v>
      </c>
      <c r="B180" s="1">
        <v>4.0</v>
      </c>
      <c r="C180" s="1">
        <v>1.0</v>
      </c>
      <c r="D180" s="1">
        <v>10.0</v>
      </c>
      <c r="F180" s="1" t="str">
        <f>LOOKUP(A180, NPCs!A:A, NPCs!C:C)</f>
        <v>Cute Defenseless Stalker</v>
      </c>
      <c r="G180" s="1" t="str">
        <f>LOOKUP(B180, Items!A:A, Items!C:C)</f>
        <v>Small Health Potion</v>
      </c>
    </row>
    <row r="181" ht="15.75" customHeight="1">
      <c r="A181" s="1">
        <v>21.0</v>
      </c>
      <c r="B181" s="1">
        <v>5.0</v>
      </c>
      <c r="C181" s="1">
        <v>1.0</v>
      </c>
      <c r="D181" s="1">
        <v>10.0</v>
      </c>
      <c r="F181" s="1" t="str">
        <f>LOOKUP(A181, NPCs!A:A, NPCs!C:C)</f>
        <v>Cute Defenseless Stalker</v>
      </c>
      <c r="G181" s="1" t="str">
        <f>LOOKUP(B181, Items!A:A, Items!C:C)</f>
        <v>Small Mana Potion</v>
      </c>
    </row>
    <row r="182" ht="15.75" customHeight="1">
      <c r="A182" s="1">
        <v>22.0</v>
      </c>
      <c r="B182" s="1">
        <v>46.0</v>
      </c>
      <c r="C182" s="1">
        <v>1.0</v>
      </c>
      <c r="D182" s="1">
        <v>6.0</v>
      </c>
      <c r="F182" s="1" t="str">
        <f>LOOKUP(A182, NPCs!A:A, NPCs!C:C)</f>
        <v>Roger</v>
      </c>
      <c r="G182" s="1" t="str">
        <f>LOOKUP(B182, Items!A:A, Items!C:C)</f>
        <v>Frozen Mittens</v>
      </c>
    </row>
    <row r="183" ht="15.75" customHeight="1">
      <c r="A183" s="1">
        <v>22.0</v>
      </c>
      <c r="B183" s="1">
        <v>47.0</v>
      </c>
      <c r="C183" s="1">
        <v>1.0</v>
      </c>
      <c r="D183" s="1">
        <v>6.0</v>
      </c>
      <c r="F183" s="1" t="str">
        <f>LOOKUP(A183, NPCs!A:A, NPCs!C:C)</f>
        <v>Roger</v>
      </c>
      <c r="G183" s="1" t="str">
        <f>LOOKUP(B183, Items!A:A, Items!C:C)</f>
        <v>Cloak of Chilling Speed</v>
      </c>
    </row>
    <row r="184" ht="15.75" customHeight="1">
      <c r="A184" s="1">
        <v>22.0</v>
      </c>
      <c r="B184" s="1">
        <v>265.0</v>
      </c>
      <c r="C184" s="1">
        <v>1.0</v>
      </c>
      <c r="D184" s="1">
        <v>5.0</v>
      </c>
      <c r="F184" s="1" t="str">
        <f>LOOKUP(A184, NPCs!A:A, NPCs!C:C)</f>
        <v>Roger</v>
      </c>
      <c r="G184" s="1" t="str">
        <f>LOOKUP(B184, Items!A:A, Items!C:C)</f>
        <v>Lesser Essence of Air</v>
      </c>
    </row>
    <row r="185" ht="15.75" customHeight="1">
      <c r="A185" s="1">
        <v>23.0</v>
      </c>
      <c r="B185" s="1">
        <v>41.0</v>
      </c>
      <c r="C185" s="1">
        <v>1.0</v>
      </c>
      <c r="D185" s="1">
        <v>4.0</v>
      </c>
      <c r="F185" s="1" t="str">
        <f>LOOKUP(A185, NPCs!A:A, NPCs!C:C)</f>
        <v>Leafeater</v>
      </c>
      <c r="G185" s="1" t="str">
        <f>LOOKUP(B185, Items!A:A, Items!C:C)</f>
        <v>Winter Blade</v>
      </c>
    </row>
    <row r="186" ht="15.75" customHeight="1">
      <c r="A186" s="1">
        <v>23.0</v>
      </c>
      <c r="B186" s="1">
        <v>48.0</v>
      </c>
      <c r="C186" s="1">
        <v>1.0</v>
      </c>
      <c r="D186" s="1">
        <v>4.0</v>
      </c>
      <c r="F186" s="1" t="str">
        <f>LOOKUP(A186, NPCs!A:A, NPCs!C:C)</f>
        <v>Leafeater</v>
      </c>
      <c r="G186" s="1" t="str">
        <f>LOOKUP(B186, Items!A:A, Items!C:C)</f>
        <v>Blizzard Robes</v>
      </c>
    </row>
    <row r="187" ht="15.75" customHeight="1">
      <c r="A187" s="1">
        <v>24.0</v>
      </c>
      <c r="B187" s="1">
        <v>4.0</v>
      </c>
      <c r="C187" s="1">
        <v>1.0</v>
      </c>
      <c r="D187" s="1">
        <v>10.0</v>
      </c>
      <c r="F187" s="1" t="str">
        <f>LOOKUP(A187, NPCs!A:A, NPCs!C:C)</f>
        <v>Pipsqueek</v>
      </c>
      <c r="G187" s="1" t="str">
        <f>LOOKUP(B187, Items!A:A, Items!C:C)</f>
        <v>Small Health Potion</v>
      </c>
    </row>
    <row r="188" ht="15.75" customHeight="1">
      <c r="A188" s="1">
        <v>24.0</v>
      </c>
      <c r="B188" s="1">
        <v>5.0</v>
      </c>
      <c r="C188" s="1">
        <v>1.0</v>
      </c>
      <c r="D188" s="1">
        <v>10.0</v>
      </c>
      <c r="F188" s="1" t="str">
        <f>LOOKUP(A188, NPCs!A:A, NPCs!C:C)</f>
        <v>Pipsqueek</v>
      </c>
      <c r="G188" s="1" t="str">
        <f>LOOKUP(B188, Items!A:A, Items!C:C)</f>
        <v>Small Mana Potion</v>
      </c>
    </row>
    <row r="189" ht="15.75" customHeight="1">
      <c r="A189" s="1">
        <v>25.0</v>
      </c>
      <c r="B189" s="1">
        <v>1.0</v>
      </c>
      <c r="C189" s="1">
        <v>2500.0</v>
      </c>
      <c r="D189" s="1">
        <v>10.0</v>
      </c>
      <c r="F189" s="1" t="str">
        <f>LOOKUP(A189, NPCs!A:A, NPCs!C:C)</f>
        <v>Flying Pipsqueek</v>
      </c>
      <c r="G189" s="1" t="str">
        <f>LOOKUP(B189, Items!A:A, Items!C:C)</f>
        <v>Gold</v>
      </c>
    </row>
    <row r="190" ht="15.75" customHeight="1">
      <c r="A190" s="1">
        <v>25.0</v>
      </c>
      <c r="B190" s="1">
        <v>142.0</v>
      </c>
      <c r="C190" s="1">
        <v>1.0</v>
      </c>
      <c r="D190" s="1">
        <v>10.0</v>
      </c>
      <c r="F190" s="1" t="str">
        <f>LOOKUP(A190, NPCs!A:A, NPCs!C:C)</f>
        <v>Flying Pipsqueek</v>
      </c>
      <c r="G190" s="1" t="str">
        <f>LOOKUP(B190, Items!A:A, Items!C:C)</f>
        <v>Leather Gloves</v>
      </c>
    </row>
    <row r="191" ht="15.75" customHeight="1">
      <c r="A191" s="1">
        <v>34.0</v>
      </c>
      <c r="B191" s="1">
        <v>343.0</v>
      </c>
      <c r="C191" s="1">
        <v>1.0</v>
      </c>
      <c r="D191" s="1">
        <v>3.0</v>
      </c>
      <c r="F191" s="1" t="str">
        <f>LOOKUP(A191, NPCs!A:A, NPCs!C:C)</f>
        <v>Weak Persecution</v>
      </c>
      <c r="G191" s="1" t="str">
        <f>LOOKUP(B191, Items!A:A, Items!C:C)</f>
        <v>Pearl</v>
      </c>
    </row>
    <row r="192" ht="15.75" customHeight="1">
      <c r="A192" s="1">
        <v>35.0</v>
      </c>
      <c r="B192" s="1">
        <v>343.0</v>
      </c>
      <c r="C192" s="1">
        <v>1.0</v>
      </c>
      <c r="D192" s="1">
        <v>3.0</v>
      </c>
      <c r="F192" s="1" t="str">
        <f>LOOKUP(A192, NPCs!A:A, NPCs!C:C)</f>
        <v>Moldy Persecution</v>
      </c>
      <c r="G192" s="1" t="str">
        <f>LOOKUP(B192, Items!A:A, Items!C:C)</f>
        <v>Pearl</v>
      </c>
    </row>
    <row r="193" ht="15.75" customHeight="1">
      <c r="A193" s="1">
        <v>38.0</v>
      </c>
      <c r="B193" s="1">
        <v>354.0</v>
      </c>
      <c r="C193" s="1">
        <v>1.0</v>
      </c>
      <c r="D193" s="1">
        <v>3.0</v>
      </c>
      <c r="F193" s="1" t="str">
        <f>LOOKUP(A193, NPCs!A:A, NPCs!C:C)</f>
        <v>Strong Persecution</v>
      </c>
      <c r="G193" s="1" t="str">
        <f>LOOKUP(B193, Items!A:A, Items!C:C)</f>
        <v>Unrefined Ore</v>
      </c>
    </row>
    <row r="194" ht="15.75" customHeight="1">
      <c r="A194" s="1">
        <v>49.0</v>
      </c>
      <c r="B194" s="1">
        <v>354.0</v>
      </c>
      <c r="C194" s="1">
        <v>1.0</v>
      </c>
      <c r="D194" s="1">
        <v>3.0</v>
      </c>
      <c r="F194" s="1" t="str">
        <f>LOOKUP(A194, NPCs!A:A, NPCs!C:C)</f>
        <v>Strong Persecution</v>
      </c>
      <c r="G194" s="1" t="str">
        <f>LOOKUP(B194, Items!A:A, Items!C:C)</f>
        <v>Unrefined Ore</v>
      </c>
    </row>
    <row r="195" ht="15.75" customHeight="1">
      <c r="A195" s="1">
        <v>39.0</v>
      </c>
      <c r="B195" s="1">
        <v>279.0</v>
      </c>
      <c r="C195" s="1">
        <v>1.0</v>
      </c>
      <c r="D195" s="1">
        <v>3.0</v>
      </c>
      <c r="F195" s="1" t="str">
        <f>LOOKUP(A195, NPCs!A:A, NPCs!C:C)</f>
        <v>Persecution</v>
      </c>
      <c r="G195" s="1" t="str">
        <f>LOOKUP(B195, Items!A:A, Items!C:C)</f>
        <v>Teleport: Minita</v>
      </c>
    </row>
    <row r="196" ht="15.75" customHeight="1">
      <c r="A196" s="1">
        <v>39.0</v>
      </c>
      <c r="B196" s="1">
        <v>280.0</v>
      </c>
      <c r="C196" s="1">
        <v>1.0</v>
      </c>
      <c r="D196" s="1">
        <v>3.0</v>
      </c>
      <c r="F196" s="1" t="str">
        <f>LOOKUP(A196, NPCs!A:A, NPCs!C:C)</f>
        <v>Persecution</v>
      </c>
      <c r="G196" s="1" t="str">
        <f>LOOKUP(B196, Items!A:A, Items!C:C)</f>
        <v>Teleport: Bound</v>
      </c>
    </row>
    <row r="197" ht="15.75" customHeight="1">
      <c r="A197" s="1">
        <v>39.0</v>
      </c>
      <c r="B197" s="1">
        <v>281.0</v>
      </c>
      <c r="C197" s="1">
        <v>1.0</v>
      </c>
      <c r="D197" s="1">
        <v>3.0</v>
      </c>
      <c r="F197" s="1" t="str">
        <f>LOOKUP(A197, NPCs!A:A, NPCs!C:C)</f>
        <v>Persecution</v>
      </c>
      <c r="G197" s="1" t="str">
        <f>LOOKUP(B197, Items!A:A, Items!C:C)</f>
        <v>Teleport: Otherlands</v>
      </c>
    </row>
    <row r="198" ht="15.75" customHeight="1">
      <c r="A198" s="1">
        <v>40.0</v>
      </c>
      <c r="B198" s="1">
        <v>42.0</v>
      </c>
      <c r="C198" s="1">
        <v>1.0</v>
      </c>
      <c r="D198" s="1">
        <v>5.0</v>
      </c>
      <c r="F198" s="1" t="str">
        <f>LOOKUP(A198, NPCs!A:A, NPCs!C:C)</f>
        <v>Green Slime</v>
      </c>
      <c r="G198" s="1" t="str">
        <f>LOOKUP(B198, Items!A:A, Items!C:C)</f>
        <v>Health Potion</v>
      </c>
    </row>
    <row r="199" ht="15.75" customHeight="1">
      <c r="A199" s="1">
        <v>40.0</v>
      </c>
      <c r="B199" s="1">
        <v>43.0</v>
      </c>
      <c r="C199" s="1">
        <v>1.0</v>
      </c>
      <c r="D199" s="1">
        <v>5.0</v>
      </c>
      <c r="F199" s="1" t="str">
        <f>LOOKUP(A199, NPCs!A:A, NPCs!C:C)</f>
        <v>Green Slime</v>
      </c>
      <c r="G199" s="1" t="str">
        <f>LOOKUP(B199, Items!A:A, Items!C:C)</f>
        <v>Mana Potion</v>
      </c>
    </row>
    <row r="200" ht="15.75" customHeight="1">
      <c r="A200" s="1">
        <v>40.0</v>
      </c>
      <c r="B200" s="1">
        <v>44.0</v>
      </c>
      <c r="C200" s="1">
        <v>1.0</v>
      </c>
      <c r="D200" s="1">
        <v>5.0</v>
      </c>
      <c r="F200" s="1" t="str">
        <f>LOOKUP(A200, NPCs!A:A, NPCs!C:C)</f>
        <v>Green Slime</v>
      </c>
      <c r="G200" s="1" t="str">
        <f>LOOKUP(B200, Items!A:A, Items!C:C)</f>
        <v>Large Health Potion</v>
      </c>
    </row>
    <row r="201" ht="15.75" customHeight="1">
      <c r="A201" s="1">
        <v>40.0</v>
      </c>
      <c r="B201" s="1">
        <v>45.0</v>
      </c>
      <c r="C201" s="1">
        <v>1.0</v>
      </c>
      <c r="D201" s="1">
        <v>5.0</v>
      </c>
      <c r="F201" s="1" t="str">
        <f>LOOKUP(A201, NPCs!A:A, NPCs!C:C)</f>
        <v>Green Slime</v>
      </c>
      <c r="G201" s="1" t="str">
        <f>LOOKUP(B201, Items!A:A, Items!C:C)</f>
        <v>Large Mana Potion</v>
      </c>
    </row>
    <row r="202" ht="15.75" customHeight="1">
      <c r="A202" s="1">
        <v>41.0</v>
      </c>
      <c r="B202" s="1">
        <v>42.0</v>
      </c>
      <c r="C202" s="1">
        <v>1.0</v>
      </c>
      <c r="D202" s="1">
        <v>5.0</v>
      </c>
      <c r="F202" s="1" t="str">
        <f>LOOKUP(A202, NPCs!A:A, NPCs!C:C)</f>
        <v>Slime</v>
      </c>
      <c r="G202" s="1" t="str">
        <f>LOOKUP(B202, Items!A:A, Items!C:C)</f>
        <v>Health Potion</v>
      </c>
    </row>
    <row r="203" ht="15.75" customHeight="1">
      <c r="A203" s="1">
        <v>41.0</v>
      </c>
      <c r="B203" s="1">
        <v>43.0</v>
      </c>
      <c r="C203" s="1">
        <v>1.0</v>
      </c>
      <c r="D203" s="1">
        <v>5.0</v>
      </c>
      <c r="F203" s="1" t="str">
        <f>LOOKUP(A203, NPCs!A:A, NPCs!C:C)</f>
        <v>Slime</v>
      </c>
      <c r="G203" s="1" t="str">
        <f>LOOKUP(B203, Items!A:A, Items!C:C)</f>
        <v>Mana Potion</v>
      </c>
    </row>
    <row r="204" ht="15.75" customHeight="1">
      <c r="A204" s="1">
        <v>41.0</v>
      </c>
      <c r="B204" s="1">
        <v>44.0</v>
      </c>
      <c r="C204" s="1">
        <v>1.0</v>
      </c>
      <c r="D204" s="1">
        <v>5.0</v>
      </c>
      <c r="F204" s="1" t="str">
        <f>LOOKUP(A204, NPCs!A:A, NPCs!C:C)</f>
        <v>Slime</v>
      </c>
      <c r="G204" s="1" t="str">
        <f>LOOKUP(B204, Items!A:A, Items!C:C)</f>
        <v>Large Health Potion</v>
      </c>
    </row>
    <row r="205" ht="15.75" customHeight="1">
      <c r="A205" s="1">
        <v>41.0</v>
      </c>
      <c r="B205" s="1">
        <v>45.0</v>
      </c>
      <c r="C205" s="1">
        <v>1.0</v>
      </c>
      <c r="D205" s="1">
        <v>5.0</v>
      </c>
      <c r="F205" s="1" t="str">
        <f>LOOKUP(A205, NPCs!A:A, NPCs!C:C)</f>
        <v>Slime</v>
      </c>
      <c r="G205" s="1" t="str">
        <f>LOOKUP(B205, Items!A:A, Items!C:C)</f>
        <v>Large Mana Potion</v>
      </c>
    </row>
    <row r="206" ht="15.75" customHeight="1">
      <c r="A206" s="1">
        <v>42.0</v>
      </c>
      <c r="B206" s="1">
        <v>42.0</v>
      </c>
      <c r="C206" s="1">
        <v>1.0</v>
      </c>
      <c r="D206" s="1">
        <v>5.0</v>
      </c>
      <c r="F206" s="1" t="str">
        <f>LOOKUP(A206, NPCs!A:A, NPCs!C:C)</f>
        <v>Pink Slime</v>
      </c>
      <c r="G206" s="1" t="str">
        <f>LOOKUP(B206, Items!A:A, Items!C:C)</f>
        <v>Health Potion</v>
      </c>
    </row>
    <row r="207" ht="15.75" customHeight="1">
      <c r="A207" s="1">
        <v>42.0</v>
      </c>
      <c r="B207" s="1">
        <v>43.0</v>
      </c>
      <c r="C207" s="1">
        <v>1.0</v>
      </c>
      <c r="D207" s="1">
        <v>5.0</v>
      </c>
      <c r="F207" s="1" t="str">
        <f>LOOKUP(A207, NPCs!A:A, NPCs!C:C)</f>
        <v>Pink Slime</v>
      </c>
      <c r="G207" s="1" t="str">
        <f>LOOKUP(B207, Items!A:A, Items!C:C)</f>
        <v>Mana Potion</v>
      </c>
    </row>
    <row r="208" ht="15.75" customHeight="1">
      <c r="A208" s="1">
        <v>42.0</v>
      </c>
      <c r="B208" s="1">
        <v>44.0</v>
      </c>
      <c r="C208" s="1">
        <v>1.0</v>
      </c>
      <c r="D208" s="1">
        <v>5.0</v>
      </c>
      <c r="F208" s="1" t="str">
        <f>LOOKUP(A208, NPCs!A:A, NPCs!C:C)</f>
        <v>Pink Slime</v>
      </c>
      <c r="G208" s="1" t="str">
        <f>LOOKUP(B208, Items!A:A, Items!C:C)</f>
        <v>Large Health Potion</v>
      </c>
    </row>
    <row r="209" ht="15.75" customHeight="1">
      <c r="A209" s="1">
        <v>42.0</v>
      </c>
      <c r="B209" s="1">
        <v>45.0</v>
      </c>
      <c r="C209" s="1">
        <v>1.0</v>
      </c>
      <c r="D209" s="1">
        <v>5.0</v>
      </c>
      <c r="F209" s="1" t="str">
        <f>LOOKUP(A209, NPCs!A:A, NPCs!C:C)</f>
        <v>Pink Slime</v>
      </c>
      <c r="G209" s="1" t="str">
        <f>LOOKUP(B209, Items!A:A, Items!C:C)</f>
        <v>Large Mana Potion</v>
      </c>
    </row>
    <row r="210" ht="15.75" customHeight="1">
      <c r="A210" s="1">
        <v>43.0</v>
      </c>
      <c r="B210" s="1">
        <v>42.0</v>
      </c>
      <c r="C210" s="1">
        <v>1.0</v>
      </c>
      <c r="D210" s="1">
        <v>5.0</v>
      </c>
      <c r="F210" s="1" t="str">
        <f>LOOKUP(A210, NPCs!A:A, NPCs!C:C)</f>
        <v>Gold Slime</v>
      </c>
      <c r="G210" s="1" t="str">
        <f>LOOKUP(B210, Items!A:A, Items!C:C)</f>
        <v>Health Potion</v>
      </c>
    </row>
    <row r="211" ht="15.75" customHeight="1">
      <c r="A211" s="1">
        <v>43.0</v>
      </c>
      <c r="B211" s="1">
        <v>43.0</v>
      </c>
      <c r="C211" s="1">
        <v>1.0</v>
      </c>
      <c r="D211" s="1">
        <v>5.0</v>
      </c>
      <c r="F211" s="1" t="str">
        <f>LOOKUP(A211, NPCs!A:A, NPCs!C:C)</f>
        <v>Gold Slime</v>
      </c>
      <c r="G211" s="1" t="str">
        <f>LOOKUP(B211, Items!A:A, Items!C:C)</f>
        <v>Mana Potion</v>
      </c>
    </row>
    <row r="212" ht="15.75" customHeight="1">
      <c r="A212" s="1">
        <v>43.0</v>
      </c>
      <c r="B212" s="1">
        <v>44.0</v>
      </c>
      <c r="C212" s="1">
        <v>1.0</v>
      </c>
      <c r="D212" s="1">
        <v>5.0</v>
      </c>
      <c r="F212" s="1" t="str">
        <f>LOOKUP(A212, NPCs!A:A, NPCs!C:C)</f>
        <v>Gold Slime</v>
      </c>
      <c r="G212" s="1" t="str">
        <f>LOOKUP(B212, Items!A:A, Items!C:C)</f>
        <v>Large Health Potion</v>
      </c>
    </row>
    <row r="213" ht="15.75" customHeight="1">
      <c r="A213" s="1">
        <v>43.0</v>
      </c>
      <c r="B213" s="1">
        <v>45.0</v>
      </c>
      <c r="C213" s="1">
        <v>1.0</v>
      </c>
      <c r="D213" s="1">
        <v>5.0</v>
      </c>
      <c r="F213" s="1" t="str">
        <f>LOOKUP(A213, NPCs!A:A, NPCs!C:C)</f>
        <v>Gold Slime</v>
      </c>
      <c r="G213" s="1" t="str">
        <f>LOOKUP(B213, Items!A:A, Items!C:C)</f>
        <v>Large Mana Potion</v>
      </c>
    </row>
    <row r="214" ht="15.75" customHeight="1">
      <c r="A214" s="1">
        <v>44.0</v>
      </c>
      <c r="B214" s="1">
        <v>42.0</v>
      </c>
      <c r="C214" s="1">
        <v>1.0</v>
      </c>
      <c r="D214" s="1">
        <v>5.0</v>
      </c>
      <c r="F214" s="1" t="str">
        <f>LOOKUP(A214, NPCs!A:A, NPCs!C:C)</f>
        <v>Blue Slime</v>
      </c>
      <c r="G214" s="1" t="str">
        <f>LOOKUP(B214, Items!A:A, Items!C:C)</f>
        <v>Health Potion</v>
      </c>
    </row>
    <row r="215" ht="15.75" customHeight="1">
      <c r="A215" s="1">
        <v>44.0</v>
      </c>
      <c r="B215" s="1">
        <v>43.0</v>
      </c>
      <c r="C215" s="1">
        <v>1.0</v>
      </c>
      <c r="D215" s="1">
        <v>5.0</v>
      </c>
      <c r="F215" s="1" t="str">
        <f>LOOKUP(A215, NPCs!A:A, NPCs!C:C)</f>
        <v>Blue Slime</v>
      </c>
      <c r="G215" s="1" t="str">
        <f>LOOKUP(B215, Items!A:A, Items!C:C)</f>
        <v>Mana Potion</v>
      </c>
    </row>
    <row r="216" ht="15.75" customHeight="1">
      <c r="A216" s="1">
        <v>44.0</v>
      </c>
      <c r="B216" s="1">
        <v>44.0</v>
      </c>
      <c r="C216" s="1">
        <v>1.0</v>
      </c>
      <c r="D216" s="1">
        <v>5.0</v>
      </c>
      <c r="F216" s="1" t="str">
        <f>LOOKUP(A216, NPCs!A:A, NPCs!C:C)</f>
        <v>Blue Slime</v>
      </c>
      <c r="G216" s="1" t="str">
        <f>LOOKUP(B216, Items!A:A, Items!C:C)</f>
        <v>Large Health Potion</v>
      </c>
    </row>
    <row r="217" ht="15.75" customHeight="1">
      <c r="A217" s="1">
        <v>44.0</v>
      </c>
      <c r="B217" s="1">
        <v>45.0</v>
      </c>
      <c r="C217" s="1">
        <v>1.0</v>
      </c>
      <c r="D217" s="1">
        <v>5.0</v>
      </c>
      <c r="F217" s="1" t="str">
        <f>LOOKUP(A217, NPCs!A:A, NPCs!C:C)</f>
        <v>Blue Slime</v>
      </c>
      <c r="G217" s="1" t="str">
        <f>LOOKUP(B217, Items!A:A, Items!C:C)</f>
        <v>Large Mana Potion</v>
      </c>
    </row>
    <row r="218" ht="15.75" customHeight="1">
      <c r="A218" s="1">
        <v>45.0</v>
      </c>
      <c r="B218" s="1">
        <v>42.0</v>
      </c>
      <c r="C218" s="1">
        <v>1.0</v>
      </c>
      <c r="D218" s="1">
        <v>5.0</v>
      </c>
      <c r="F218" s="1" t="str">
        <f>LOOKUP(A218, NPCs!A:A, NPCs!C:C)</f>
        <v>Red Slime</v>
      </c>
      <c r="G218" s="1" t="str">
        <f>LOOKUP(B218, Items!A:A, Items!C:C)</f>
        <v>Health Potion</v>
      </c>
    </row>
    <row r="219" ht="15.75" customHeight="1">
      <c r="A219" s="1">
        <v>45.0</v>
      </c>
      <c r="B219" s="1">
        <v>43.0</v>
      </c>
      <c r="C219" s="1">
        <v>1.0</v>
      </c>
      <c r="D219" s="1">
        <v>5.0</v>
      </c>
      <c r="F219" s="1" t="str">
        <f>LOOKUP(A219, NPCs!A:A, NPCs!C:C)</f>
        <v>Red Slime</v>
      </c>
      <c r="G219" s="1" t="str">
        <f>LOOKUP(B219, Items!A:A, Items!C:C)</f>
        <v>Mana Potion</v>
      </c>
    </row>
    <row r="220" ht="15.75" customHeight="1">
      <c r="A220" s="1">
        <v>45.0</v>
      </c>
      <c r="B220" s="1">
        <v>44.0</v>
      </c>
      <c r="C220" s="1">
        <v>1.0</v>
      </c>
      <c r="D220" s="1">
        <v>5.0</v>
      </c>
      <c r="F220" s="1" t="str">
        <f>LOOKUP(A220, NPCs!A:A, NPCs!C:C)</f>
        <v>Red Slime</v>
      </c>
      <c r="G220" s="1" t="str">
        <f>LOOKUP(B220, Items!A:A, Items!C:C)</f>
        <v>Large Health Potion</v>
      </c>
    </row>
    <row r="221" ht="15.75" customHeight="1">
      <c r="A221" s="1">
        <v>45.0</v>
      </c>
      <c r="B221" s="1">
        <v>45.0</v>
      </c>
      <c r="C221" s="1">
        <v>1.0</v>
      </c>
      <c r="D221" s="1">
        <v>5.0</v>
      </c>
      <c r="F221" s="1" t="str">
        <f>LOOKUP(A221, NPCs!A:A, NPCs!C:C)</f>
        <v>Red Slime</v>
      </c>
      <c r="G221" s="1" t="str">
        <f>LOOKUP(B221, Items!A:A, Items!C:C)</f>
        <v>Large Mana Potion</v>
      </c>
    </row>
    <row r="222" ht="15.75" customHeight="1">
      <c r="A222" s="1">
        <v>40.0</v>
      </c>
      <c r="B222" s="1">
        <v>330.0</v>
      </c>
      <c r="C222" s="1">
        <v>1.0</v>
      </c>
      <c r="D222" s="1">
        <v>5.0</v>
      </c>
      <c r="F222" s="1" t="str">
        <f>LOOKUP(A222, NPCs!A:A, NPCs!C:C)</f>
        <v>Green Slime</v>
      </c>
      <c r="G222" s="1" t="str">
        <f>LOOKUP(B222, Items!A:A, Items!C:C)</f>
        <v>Flint</v>
      </c>
    </row>
    <row r="223" ht="15.75" customHeight="1">
      <c r="A223" s="1">
        <v>41.0</v>
      </c>
      <c r="B223" s="1">
        <v>330.0</v>
      </c>
      <c r="C223" s="1">
        <v>1.0</v>
      </c>
      <c r="D223" s="1">
        <v>5.0</v>
      </c>
      <c r="F223" s="1" t="str">
        <f>LOOKUP(A223, NPCs!A:A, NPCs!C:C)</f>
        <v>Slime</v>
      </c>
      <c r="G223" s="1" t="str">
        <f>LOOKUP(B223, Items!A:A, Items!C:C)</f>
        <v>Flint</v>
      </c>
    </row>
    <row r="224" ht="15.75" customHeight="1">
      <c r="A224" s="1">
        <v>42.0</v>
      </c>
      <c r="B224" s="1">
        <v>330.0</v>
      </c>
      <c r="C224" s="1">
        <v>1.0</v>
      </c>
      <c r="D224" s="1">
        <v>5.0</v>
      </c>
      <c r="F224" s="1" t="str">
        <f>LOOKUP(A224, NPCs!A:A, NPCs!C:C)</f>
        <v>Pink Slime</v>
      </c>
      <c r="G224" s="1" t="str">
        <f>LOOKUP(B224, Items!A:A, Items!C:C)</f>
        <v>Flint</v>
      </c>
    </row>
    <row r="225" ht="15.75" customHeight="1">
      <c r="A225" s="1">
        <v>43.0</v>
      </c>
      <c r="B225" s="1">
        <v>330.0</v>
      </c>
      <c r="C225" s="1">
        <v>1.0</v>
      </c>
      <c r="D225" s="1">
        <v>5.0</v>
      </c>
      <c r="F225" s="1" t="str">
        <f>LOOKUP(A225, NPCs!A:A, NPCs!C:C)</f>
        <v>Gold Slime</v>
      </c>
      <c r="G225" s="1" t="str">
        <f>LOOKUP(B225, Items!A:A, Items!C:C)</f>
        <v>Flint</v>
      </c>
    </row>
    <row r="226" ht="15.75" customHeight="1">
      <c r="A226" s="1">
        <v>44.0</v>
      </c>
      <c r="B226" s="1">
        <v>330.0</v>
      </c>
      <c r="C226" s="1">
        <v>1.0</v>
      </c>
      <c r="D226" s="1">
        <v>5.0</v>
      </c>
      <c r="F226" s="1" t="str">
        <f>LOOKUP(A226, NPCs!A:A, NPCs!C:C)</f>
        <v>Blue Slime</v>
      </c>
      <c r="G226" s="1" t="str">
        <f>LOOKUP(B226, Items!A:A, Items!C:C)</f>
        <v>Flint</v>
      </c>
    </row>
    <row r="227" ht="15.75" customHeight="1">
      <c r="A227" s="1">
        <v>45.0</v>
      </c>
      <c r="B227" s="1">
        <v>330.0</v>
      </c>
      <c r="C227" s="1">
        <v>1.0</v>
      </c>
      <c r="D227" s="1">
        <v>5.0</v>
      </c>
      <c r="F227" s="1" t="str">
        <f>LOOKUP(A227, NPCs!A:A, NPCs!C:C)</f>
        <v>Red Slime</v>
      </c>
      <c r="G227" s="1" t="str">
        <f>LOOKUP(B227, Items!A:A, Items!C:C)</f>
        <v>Flint</v>
      </c>
    </row>
    <row r="228" ht="15.75" customHeight="1">
      <c r="A228" s="1">
        <v>46.0</v>
      </c>
      <c r="B228" s="1">
        <v>45.0</v>
      </c>
      <c r="C228" s="1">
        <v>10.0</v>
      </c>
      <c r="D228" s="1">
        <v>10.0</v>
      </c>
      <c r="F228" s="1" t="str">
        <f>LOOKUP(A228, NPCs!A:A, NPCs!C:C)</f>
        <v>King Goo</v>
      </c>
      <c r="G228" s="1" t="str">
        <f>LOOKUP(B228, Items!A:A, Items!C:C)</f>
        <v>Large Mana Potion</v>
      </c>
    </row>
    <row r="229" ht="15.75" customHeight="1">
      <c r="A229" s="1">
        <v>46.0</v>
      </c>
      <c r="B229" s="1">
        <v>50.0</v>
      </c>
      <c r="C229" s="1">
        <v>1.0</v>
      </c>
      <c r="D229" s="1">
        <v>15.0</v>
      </c>
      <c r="F229" s="1" t="str">
        <f>LOOKUP(A229, NPCs!A:A, NPCs!C:C)</f>
        <v>King Goo</v>
      </c>
      <c r="G229" s="1" t="str">
        <f>LOOKUP(B229, Items!A:A, Items!C:C)</f>
        <v>Cow Skull Helmet</v>
      </c>
    </row>
    <row r="230" ht="15.75" customHeight="1">
      <c r="A230" s="1">
        <v>46.0</v>
      </c>
      <c r="B230" s="1">
        <v>58.0</v>
      </c>
      <c r="C230" s="1">
        <v>1.0</v>
      </c>
      <c r="D230" s="1">
        <v>2.0</v>
      </c>
      <c r="F230" s="1" t="str">
        <f>LOOKUP(A230, NPCs!A:A, NPCs!C:C)</f>
        <v>King Goo</v>
      </c>
      <c r="G230" s="1" t="str">
        <f>LOOKUP(B230, Items!A:A, Items!C:C)</f>
        <v>Gem of Power</v>
      </c>
    </row>
    <row r="231" ht="15.75" customHeight="1">
      <c r="A231" s="1">
        <v>47.0</v>
      </c>
      <c r="B231" s="1">
        <v>45.0</v>
      </c>
      <c r="C231" s="1">
        <v>10.0</v>
      </c>
      <c r="D231" s="1">
        <v>10.0</v>
      </c>
      <c r="F231" s="1" t="str">
        <f>LOOKUP(A231, NPCs!A:A, NPCs!C:C)</f>
        <v>Sliminator</v>
      </c>
      <c r="G231" s="1" t="str">
        <f>LOOKUP(B231, Items!A:A, Items!C:C)</f>
        <v>Large Mana Potion</v>
      </c>
    </row>
    <row r="232" ht="15.75" customHeight="1">
      <c r="A232" s="1">
        <v>47.0</v>
      </c>
      <c r="B232" s="1">
        <v>49.0</v>
      </c>
      <c r="C232" s="1">
        <v>1.0</v>
      </c>
      <c r="D232" s="1">
        <v>15.0</v>
      </c>
      <c r="F232" s="1" t="str">
        <f>LOOKUP(A232, NPCs!A:A, NPCs!C:C)</f>
        <v>Sliminator</v>
      </c>
      <c r="G232" s="1" t="str">
        <f>LOOKUP(B232, Items!A:A, Items!C:C)</f>
        <v>Hair Bow</v>
      </c>
    </row>
    <row r="233" ht="15.75" customHeight="1">
      <c r="A233" s="1">
        <v>47.0</v>
      </c>
      <c r="B233" s="1">
        <v>51.0</v>
      </c>
      <c r="C233" s="1">
        <v>1.0</v>
      </c>
      <c r="D233" s="1">
        <v>15.0</v>
      </c>
      <c r="F233" s="1" t="str">
        <f>LOOKUP(A233, NPCs!A:A, NPCs!C:C)</f>
        <v>Sliminator</v>
      </c>
      <c r="G233" s="1" t="str">
        <f>LOOKUP(B233, Items!A:A, Items!C:C)</f>
        <v>Dollar Bill</v>
      </c>
    </row>
    <row r="234" ht="15.75" customHeight="1">
      <c r="A234" s="1">
        <v>47.0</v>
      </c>
      <c r="B234" s="1">
        <v>263.0</v>
      </c>
      <c r="C234" s="1">
        <v>1.0</v>
      </c>
      <c r="D234" s="1">
        <v>5.0</v>
      </c>
      <c r="F234" s="1" t="str">
        <f>LOOKUP(A234, NPCs!A:A, NPCs!C:C)</f>
        <v>Sliminator</v>
      </c>
      <c r="G234" s="1" t="str">
        <f>LOOKUP(B234, Items!A:A, Items!C:C)</f>
        <v>Lesser Essence of Water</v>
      </c>
    </row>
    <row r="235" ht="15.75" customHeight="1">
      <c r="A235" s="1">
        <v>48.0</v>
      </c>
      <c r="B235" s="1">
        <v>52.0</v>
      </c>
      <c r="C235" s="1">
        <v>1.0</v>
      </c>
      <c r="D235" s="1">
        <v>10.0</v>
      </c>
      <c r="F235" s="1" t="str">
        <f>LOOKUP(A235, NPCs!A:A, NPCs!C:C)</f>
        <v>Goo Jr.</v>
      </c>
      <c r="G235" s="1" t="str">
        <f>LOOKUP(B235, Items!A:A, Items!C:C)</f>
        <v>Shirt #297741384</v>
      </c>
    </row>
    <row r="236" ht="15.75" customHeight="1">
      <c r="A236" s="1">
        <v>48.0</v>
      </c>
      <c r="B236" s="1">
        <v>53.0</v>
      </c>
      <c r="C236" s="1">
        <v>1.0</v>
      </c>
      <c r="D236" s="1">
        <v>15.0</v>
      </c>
      <c r="F236" s="1" t="str">
        <f>LOOKUP(A236, NPCs!A:A, NPCs!C:C)</f>
        <v>Goo Jr.</v>
      </c>
      <c r="G236" s="1" t="str">
        <f>LOOKUP(B236, Items!A:A, Items!C:C)</f>
        <v>Chicken Leg</v>
      </c>
    </row>
    <row r="237" ht="15.75" customHeight="1">
      <c r="A237" s="1">
        <v>48.0</v>
      </c>
      <c r="B237" s="1">
        <v>54.0</v>
      </c>
      <c r="C237" s="1">
        <v>1.0</v>
      </c>
      <c r="D237" s="1">
        <v>20.0</v>
      </c>
      <c r="F237" s="1" t="str">
        <f>LOOKUP(A237, NPCs!A:A, NPCs!C:C)</f>
        <v>Goo Jr.</v>
      </c>
      <c r="G237" s="1" t="str">
        <f>LOOKUP(B237, Items!A:A, Items!C:C)</f>
        <v>Taco</v>
      </c>
    </row>
    <row r="238" ht="15.75" customHeight="1">
      <c r="A238" s="1">
        <v>48.0</v>
      </c>
      <c r="B238" s="1">
        <v>50.0</v>
      </c>
      <c r="C238" s="1">
        <v>1.0</v>
      </c>
      <c r="D238" s="1">
        <v>15.0</v>
      </c>
      <c r="F238" s="1" t="str">
        <f>LOOKUP(A238, NPCs!A:A, NPCs!C:C)</f>
        <v>Goo Jr.</v>
      </c>
      <c r="G238" s="1" t="str">
        <f>LOOKUP(B238, Items!A:A, Items!C:C)</f>
        <v>Cow Skull Helmet</v>
      </c>
    </row>
    <row r="239" ht="15.75" customHeight="1">
      <c r="A239" s="1">
        <v>48.0</v>
      </c>
      <c r="B239" s="1">
        <v>51.0</v>
      </c>
      <c r="C239" s="1">
        <v>1.0</v>
      </c>
      <c r="D239" s="1">
        <v>15.0</v>
      </c>
      <c r="F239" s="1" t="str">
        <f>LOOKUP(A239, NPCs!A:A, NPCs!C:C)</f>
        <v>Goo Jr.</v>
      </c>
      <c r="G239" s="1" t="str">
        <f>LOOKUP(B239, Items!A:A, Items!C:C)</f>
        <v>Dollar Bill</v>
      </c>
    </row>
    <row r="240" ht="15.75" customHeight="1">
      <c r="A240" s="1">
        <v>48.0</v>
      </c>
      <c r="B240" s="1">
        <v>58.0</v>
      </c>
      <c r="C240" s="1">
        <v>1.0</v>
      </c>
      <c r="D240" s="1">
        <v>4.0</v>
      </c>
      <c r="F240" s="1" t="str">
        <f>LOOKUP(A240, NPCs!A:A, NPCs!C:C)</f>
        <v>Goo Jr.</v>
      </c>
      <c r="G240" s="1" t="str">
        <f>LOOKUP(B240, Items!A:A, Items!C:C)</f>
        <v>Gem of Power</v>
      </c>
    </row>
    <row r="241" ht="15.75" customHeight="1">
      <c r="A241" s="1">
        <v>50.0</v>
      </c>
      <c r="B241" s="1">
        <v>354.0</v>
      </c>
      <c r="C241" s="1">
        <v>1.0</v>
      </c>
      <c r="D241" s="1">
        <v>3.0</v>
      </c>
      <c r="F241" s="1" t="str">
        <f>LOOKUP(A241, NPCs!A:A, NPCs!C:C)</f>
        <v>Nagan Beast</v>
      </c>
      <c r="G241" s="1" t="str">
        <f>LOOKUP(B241, Items!A:A, Items!C:C)</f>
        <v>Unrefined Ore</v>
      </c>
    </row>
    <row r="242" ht="15.75" customHeight="1">
      <c r="A242" s="1">
        <v>50.0</v>
      </c>
      <c r="B242" s="1">
        <v>623.0</v>
      </c>
      <c r="C242" s="1">
        <v>1.0</v>
      </c>
      <c r="D242" s="1">
        <v>2.0</v>
      </c>
      <c r="F242" s="1" t="str">
        <f>LOOKUP(A242, NPCs!A:A, NPCs!C:C)</f>
        <v>Nagan Beast</v>
      </c>
      <c r="G242" s="1" t="str">
        <f>LOOKUP(B242, Items!A:A, Items!C:C)</f>
        <v>Red Droplet</v>
      </c>
    </row>
    <row r="243" ht="15.75" customHeight="1">
      <c r="A243" s="1">
        <v>50.0</v>
      </c>
      <c r="B243" s="1">
        <v>624.0</v>
      </c>
      <c r="C243" s="1">
        <v>1.0</v>
      </c>
      <c r="D243" s="1">
        <v>2.0</v>
      </c>
      <c r="F243" s="1" t="str">
        <f>LOOKUP(A243, NPCs!A:A, NPCs!C:C)</f>
        <v>Nagan Beast</v>
      </c>
      <c r="G243" s="1" t="str">
        <f>LOOKUP(B243, Items!A:A, Items!C:C)</f>
        <v>Blue Droplet</v>
      </c>
    </row>
    <row r="244" ht="15.75" customHeight="1">
      <c r="A244" s="1">
        <v>51.0</v>
      </c>
      <c r="B244" s="1">
        <v>623.0</v>
      </c>
      <c r="C244" s="1">
        <v>1.0</v>
      </c>
      <c r="D244" s="1">
        <v>2.0</v>
      </c>
      <c r="F244" s="1" t="str">
        <f>LOOKUP(A244, NPCs!A:A, NPCs!C:C)</f>
        <v>Nagan Magus</v>
      </c>
      <c r="G244" s="1" t="str">
        <f>LOOKUP(B244, Items!A:A, Items!C:C)</f>
        <v>Red Droplet</v>
      </c>
    </row>
    <row r="245" ht="15.75" customHeight="1">
      <c r="A245" s="1">
        <v>51.0</v>
      </c>
      <c r="B245" s="1">
        <v>624.0</v>
      </c>
      <c r="C245" s="1">
        <v>1.0</v>
      </c>
      <c r="D245" s="1">
        <v>2.0</v>
      </c>
      <c r="F245" s="1" t="str">
        <f>LOOKUP(A245, NPCs!A:A, NPCs!C:C)</f>
        <v>Nagan Magus</v>
      </c>
      <c r="G245" s="1" t="str">
        <f>LOOKUP(B245, Items!A:A, Items!C:C)</f>
        <v>Blue Droplet</v>
      </c>
    </row>
    <row r="246" ht="15.75" customHeight="1">
      <c r="A246" s="1">
        <v>52.0</v>
      </c>
      <c r="B246" s="1">
        <v>623.0</v>
      </c>
      <c r="C246" s="1">
        <v>1.0</v>
      </c>
      <c r="D246" s="1">
        <v>2.0</v>
      </c>
      <c r="F246" s="1" t="str">
        <f>LOOKUP(A246, NPCs!A:A, NPCs!C:C)</f>
        <v>Nagan Priest</v>
      </c>
      <c r="G246" s="1" t="str">
        <f>LOOKUP(B246, Items!A:A, Items!C:C)</f>
        <v>Red Droplet</v>
      </c>
    </row>
    <row r="247" ht="15.75" customHeight="1">
      <c r="A247" s="1">
        <v>52.0</v>
      </c>
      <c r="B247" s="1">
        <v>624.0</v>
      </c>
      <c r="C247" s="1">
        <v>1.0</v>
      </c>
      <c r="D247" s="1">
        <v>2.0</v>
      </c>
      <c r="F247" s="1" t="str">
        <f>LOOKUP(A247, NPCs!A:A, NPCs!C:C)</f>
        <v>Nagan Priest</v>
      </c>
      <c r="G247" s="1" t="str">
        <f>LOOKUP(B247, Items!A:A, Items!C:C)</f>
        <v>Blue Droplet</v>
      </c>
    </row>
    <row r="248" ht="15.75" customHeight="1">
      <c r="A248" s="1">
        <v>29.0</v>
      </c>
      <c r="B248" s="1">
        <v>60.0</v>
      </c>
      <c r="C248" s="1">
        <v>1.0</v>
      </c>
      <c r="D248" s="1">
        <v>3.0</v>
      </c>
      <c r="F248" s="1" t="str">
        <f>LOOKUP(A248, NPCs!A:A, NPCs!C:C)</f>
        <v>Frozen Waste</v>
      </c>
      <c r="G248" s="1" t="str">
        <f>LOOKUP(B248, Items!A:A, Items!C:C)</f>
        <v>Ruby</v>
      </c>
    </row>
    <row r="249" ht="15.75" customHeight="1">
      <c r="A249" s="1">
        <v>30.0</v>
      </c>
      <c r="B249" s="1">
        <v>60.0</v>
      </c>
      <c r="C249" s="1">
        <v>1.0</v>
      </c>
      <c r="D249" s="1">
        <v>3.0</v>
      </c>
      <c r="F249" s="1" t="str">
        <f>LOOKUP(A249, NPCs!A:A, NPCs!C:C)</f>
        <v>Frozen Waste</v>
      </c>
      <c r="G249" s="1" t="str">
        <f>LOOKUP(B249, Items!A:A, Items!C:C)</f>
        <v>Ruby</v>
      </c>
    </row>
    <row r="250" ht="15.75" customHeight="1">
      <c r="A250" s="1">
        <v>31.0</v>
      </c>
      <c r="B250" s="1">
        <v>60.0</v>
      </c>
      <c r="C250" s="1">
        <v>1.0</v>
      </c>
      <c r="D250" s="1">
        <v>3.0</v>
      </c>
      <c r="F250" s="1" t="str">
        <f>LOOKUP(A250, NPCs!A:A, NPCs!C:C)</f>
        <v>Iceman</v>
      </c>
      <c r="G250" s="1" t="str">
        <f>LOOKUP(B250, Items!A:A, Items!C:C)</f>
        <v>Ruby</v>
      </c>
    </row>
    <row r="251" ht="15.75" customHeight="1">
      <c r="A251" s="1">
        <v>32.0</v>
      </c>
      <c r="B251" s="1">
        <v>60.0</v>
      </c>
      <c r="C251" s="1">
        <v>1.0</v>
      </c>
      <c r="D251" s="1">
        <v>3.0</v>
      </c>
      <c r="F251" s="1" t="str">
        <f>LOOKUP(A251, NPCs!A:A, NPCs!C:C)</f>
        <v>Iceman</v>
      </c>
      <c r="G251" s="1" t="str">
        <f>LOOKUP(B251, Items!A:A, Items!C:C)</f>
        <v>Ruby</v>
      </c>
    </row>
    <row r="252" ht="15.75" customHeight="1">
      <c r="A252" s="1">
        <v>33.0</v>
      </c>
      <c r="B252" s="1">
        <v>55.0</v>
      </c>
      <c r="C252" s="1">
        <v>1.0</v>
      </c>
      <c r="D252" s="1">
        <v>10.0</v>
      </c>
      <c r="F252" s="1" t="str">
        <f>LOOKUP(A252, NPCs!A:A, NPCs!C:C)</f>
        <v>Frosty</v>
      </c>
      <c r="G252" s="1" t="str">
        <f>LOOKUP(B252, Items!A:A, Items!C:C)</f>
        <v>Encased Blade of Wet</v>
      </c>
    </row>
    <row r="253" ht="15.75" customHeight="1">
      <c r="A253" s="1">
        <v>33.0</v>
      </c>
      <c r="B253" s="1">
        <v>56.0</v>
      </c>
      <c r="C253" s="1">
        <v>1.0</v>
      </c>
      <c r="D253" s="1">
        <v>10.0</v>
      </c>
      <c r="F253" s="1" t="str">
        <f>LOOKUP(A253, NPCs!A:A, NPCs!C:C)</f>
        <v>Frosty</v>
      </c>
      <c r="G253" s="1" t="str">
        <f>LOOKUP(B253, Items!A:A, Items!C:C)</f>
        <v>Encased Claw of Wet</v>
      </c>
    </row>
    <row r="254" ht="15.75" customHeight="1">
      <c r="A254" s="1">
        <v>33.0</v>
      </c>
      <c r="B254" s="1">
        <v>57.0</v>
      </c>
      <c r="C254" s="1">
        <v>1.0</v>
      </c>
      <c r="D254" s="1">
        <v>10.0</v>
      </c>
      <c r="F254" s="1" t="str">
        <f>LOOKUP(A254, NPCs!A:A, NPCs!C:C)</f>
        <v>Frosty</v>
      </c>
      <c r="G254" s="1" t="str">
        <f>LOOKUP(B254, Items!A:A, Items!C:C)</f>
        <v>Staff of Frozen Rain</v>
      </c>
    </row>
    <row r="255" ht="15.75" customHeight="1">
      <c r="A255" s="1">
        <v>33.0</v>
      </c>
      <c r="B255" s="1">
        <v>58.0</v>
      </c>
      <c r="C255" s="1">
        <v>1.0</v>
      </c>
      <c r="D255" s="1">
        <v>5.0</v>
      </c>
      <c r="F255" s="1" t="str">
        <f>LOOKUP(A255, NPCs!A:A, NPCs!C:C)</f>
        <v>Frosty</v>
      </c>
      <c r="G255" s="1" t="str">
        <f>LOOKUP(B255, Items!A:A, Items!C:C)</f>
        <v>Gem of Power</v>
      </c>
    </row>
    <row r="256" ht="15.75" customHeight="1">
      <c r="A256" s="1">
        <v>33.0</v>
      </c>
      <c r="B256" s="1">
        <v>59.0</v>
      </c>
      <c r="C256" s="1">
        <v>1.0</v>
      </c>
      <c r="D256" s="1">
        <v>1.0</v>
      </c>
      <c r="F256" s="1" t="str">
        <f>LOOKUP(A256, NPCs!A:A, NPCs!C:C)</f>
        <v>Frosty</v>
      </c>
      <c r="G256" s="1" t="str">
        <f>LOOKUP(B256, Items!A:A, Items!C:C)</f>
        <v>Scroll: Snowman Illusion</v>
      </c>
    </row>
    <row r="257" ht="15.75" customHeight="1">
      <c r="A257" s="1">
        <v>53.0</v>
      </c>
      <c r="B257" s="1">
        <v>250.0</v>
      </c>
      <c r="C257" s="1">
        <v>1.0</v>
      </c>
      <c r="D257" s="1">
        <v>7.0</v>
      </c>
      <c r="F257" s="1" t="str">
        <f>LOOKUP(A257, NPCs!A:A, NPCs!C:C)</f>
        <v>Udyana</v>
      </c>
      <c r="G257" s="1" t="str">
        <f>LOOKUP(B257, Items!A:A, Items!C:C)</f>
        <v>Nagan Robes</v>
      </c>
    </row>
    <row r="258" ht="15.75" customHeight="1">
      <c r="A258" s="1">
        <v>53.0</v>
      </c>
      <c r="B258" s="1">
        <v>312.0</v>
      </c>
      <c r="C258" s="1">
        <v>1.0</v>
      </c>
      <c r="D258" s="1">
        <v>7.0</v>
      </c>
      <c r="F258" s="1" t="str">
        <f>LOOKUP(A258, NPCs!A:A, NPCs!C:C)</f>
        <v>Udyana</v>
      </c>
      <c r="G258" s="1" t="str">
        <f>LOOKUP(B258, Items!A:A, Items!C:C)</f>
        <v>Nagan Armor</v>
      </c>
    </row>
    <row r="259" ht="15.75" customHeight="1">
      <c r="A259" s="1">
        <v>53.0</v>
      </c>
      <c r="B259" s="1">
        <v>1.0</v>
      </c>
      <c r="C259" s="1">
        <v>10000.0</v>
      </c>
      <c r="D259" s="1">
        <v>10.0</v>
      </c>
      <c r="F259" s="1" t="str">
        <f>LOOKUP(A259, NPCs!A:A, NPCs!C:C)</f>
        <v>Udyana</v>
      </c>
      <c r="G259" s="1" t="str">
        <f>LOOKUP(B259, Items!A:A, Items!C:C)</f>
        <v>Gold</v>
      </c>
    </row>
    <row r="260" ht="15.75" customHeight="1">
      <c r="A260" s="1">
        <v>65.0</v>
      </c>
      <c r="B260" s="1">
        <v>115.0</v>
      </c>
      <c r="C260" s="1">
        <v>1.0</v>
      </c>
      <c r="D260" s="1">
        <v>15.0</v>
      </c>
      <c r="F260" s="1" t="str">
        <f>LOOKUP(A260, NPCs!A:A, NPCs!C:C)</f>
        <v>Beefcake</v>
      </c>
      <c r="G260" s="1" t="str">
        <f>LOOKUP(B260, Items!A:A, Items!C:C)</f>
        <v>Moon Shield</v>
      </c>
    </row>
    <row r="261" ht="15.75" customHeight="1">
      <c r="A261" s="1">
        <v>65.0</v>
      </c>
      <c r="B261" s="1">
        <v>135.0</v>
      </c>
      <c r="C261" s="1">
        <v>1.0</v>
      </c>
      <c r="D261" s="1">
        <v>5.0</v>
      </c>
      <c r="F261" s="1" t="str">
        <f>LOOKUP(A261, NPCs!A:A, NPCs!C:C)</f>
        <v>Beefcake</v>
      </c>
      <c r="G261" s="1" t="str">
        <f>LOOKUP(B261, Items!A:A, Items!C:C)</f>
        <v>Beefs Immortality</v>
      </c>
    </row>
    <row r="262" ht="15.75" customHeight="1">
      <c r="A262" s="1">
        <v>65.0</v>
      </c>
      <c r="B262" s="1">
        <v>136.0</v>
      </c>
      <c r="C262" s="1">
        <v>1.0</v>
      </c>
      <c r="D262" s="1">
        <v>5.0</v>
      </c>
      <c r="F262" s="1" t="str">
        <f>LOOKUP(A262, NPCs!A:A, NPCs!C:C)</f>
        <v>Beefcake</v>
      </c>
      <c r="G262" s="1" t="str">
        <f>LOOKUP(B262, Items!A:A, Items!C:C)</f>
        <v>Beefs Protection</v>
      </c>
    </row>
    <row r="263" ht="15.75" customHeight="1">
      <c r="A263" s="1">
        <v>65.0</v>
      </c>
      <c r="B263" s="1">
        <v>261.0</v>
      </c>
      <c r="C263" s="1">
        <v>1.0</v>
      </c>
      <c r="D263" s="1">
        <v>5.0</v>
      </c>
      <c r="F263" s="1" t="str">
        <f>LOOKUP(A263, NPCs!A:A, NPCs!C:C)</f>
        <v>Beefcake</v>
      </c>
      <c r="G263" s="1" t="str">
        <f>LOOKUP(B263, Items!A:A, Items!C:C)</f>
        <v>Beefs Fist</v>
      </c>
    </row>
    <row r="264" ht="15.75" customHeight="1">
      <c r="A264" s="1">
        <v>65.0</v>
      </c>
      <c r="B264" s="1">
        <v>271.0</v>
      </c>
      <c r="C264" s="1">
        <v>1.0</v>
      </c>
      <c r="D264" s="1">
        <v>2.0</v>
      </c>
      <c r="F264" s="1" t="str">
        <f>LOOKUP(A264, NPCs!A:A, NPCs!C:C)</f>
        <v>Beefcake</v>
      </c>
      <c r="G264" s="1" t="str">
        <f>LOOKUP(B264, Items!A:A, Items!C:C)</f>
        <v>Present 4</v>
      </c>
    </row>
    <row r="265" ht="15.75" customHeight="1">
      <c r="A265" s="1">
        <v>66.0</v>
      </c>
      <c r="B265" s="1">
        <v>247.0</v>
      </c>
      <c r="C265" s="1">
        <v>1.0</v>
      </c>
      <c r="D265" s="1">
        <v>10.0</v>
      </c>
      <c r="F265" s="1" t="str">
        <f>LOOKUP(A265, NPCs!A:A, NPCs!C:C)</f>
        <v>Copycat</v>
      </c>
      <c r="G265" s="1" t="str">
        <f>LOOKUP(B265, Items!A:A, Items!C:C)</f>
        <v>Whirling Leggings</v>
      </c>
    </row>
    <row r="266" ht="15.75" customHeight="1">
      <c r="A266" s="1">
        <v>66.0</v>
      </c>
      <c r="B266" s="1">
        <v>248.0</v>
      </c>
      <c r="C266" s="1">
        <v>1.0</v>
      </c>
      <c r="D266" s="1">
        <v>10.0</v>
      </c>
      <c r="F266" s="1" t="str">
        <f>LOOKUP(A266, NPCs!A:A, NPCs!C:C)</f>
        <v>Copycat</v>
      </c>
      <c r="G266" s="1" t="str">
        <f>LOOKUP(B266, Items!A:A, Items!C:C)</f>
        <v>Whirling Slippers</v>
      </c>
    </row>
    <row r="267" ht="15.75" customHeight="1">
      <c r="A267" s="1">
        <v>66.0</v>
      </c>
      <c r="B267" s="1">
        <v>249.0</v>
      </c>
      <c r="C267" s="1">
        <v>1.0</v>
      </c>
      <c r="D267" s="1">
        <v>10.0</v>
      </c>
      <c r="F267" s="1" t="str">
        <f>LOOKUP(A267, NPCs!A:A, NPCs!C:C)</f>
        <v>Copycat</v>
      </c>
      <c r="G267" s="1" t="str">
        <f>LOOKUP(B267, Items!A:A, Items!C:C)</f>
        <v>Whirling Hat</v>
      </c>
    </row>
    <row r="268" ht="15.75" customHeight="1">
      <c r="A268" s="1">
        <v>66.0</v>
      </c>
      <c r="B268" s="1">
        <v>252.0</v>
      </c>
      <c r="C268" s="1">
        <v>1.0</v>
      </c>
      <c r="D268" s="1">
        <v>10.0</v>
      </c>
      <c r="F268" s="1" t="str">
        <f>LOOKUP(A268, NPCs!A:A, NPCs!C:C)</f>
        <v>Copycat</v>
      </c>
      <c r="G268" s="1" t="str">
        <f>LOOKUP(B268, Items!A:A, Items!C:C)</f>
        <v>Devastating Dagger of the Fox</v>
      </c>
    </row>
    <row r="269" ht="15.75" customHeight="1">
      <c r="A269" s="1">
        <v>66.0</v>
      </c>
      <c r="B269" s="1">
        <v>162.0</v>
      </c>
      <c r="C269" s="1">
        <v>1.0</v>
      </c>
      <c r="D269" s="1">
        <v>10.0</v>
      </c>
      <c r="F269" s="1" t="str">
        <f>LOOKUP(A269, NPCs!A:A, NPCs!C:C)</f>
        <v>Copycat</v>
      </c>
      <c r="G269" s="1" t="str">
        <f>LOOKUP(B269, Items!A:A, Items!C:C)</f>
        <v>Whirling Robes</v>
      </c>
    </row>
    <row r="270" ht="15.75" customHeight="1">
      <c r="A270" s="1">
        <v>66.0</v>
      </c>
      <c r="B270" s="1">
        <v>146.0</v>
      </c>
      <c r="C270" s="1">
        <v>1.0</v>
      </c>
      <c r="D270" s="1">
        <v>10.0</v>
      </c>
      <c r="F270" s="1" t="str">
        <f>LOOKUP(A270, NPCs!A:A, NPCs!C:C)</f>
        <v>Copycat</v>
      </c>
      <c r="G270" s="1" t="str">
        <f>LOOKUP(B270, Items!A:A, Items!C:C)</f>
        <v>Dragon Scale Belt</v>
      </c>
    </row>
    <row r="271" ht="15.75" customHeight="1">
      <c r="A271" s="1">
        <v>66.0</v>
      </c>
      <c r="B271" s="1">
        <v>216.0</v>
      </c>
      <c r="C271" s="1">
        <v>1.0</v>
      </c>
      <c r="D271" s="1">
        <v>10.0</v>
      </c>
      <c r="F271" s="1" t="str">
        <f>LOOKUP(A271, NPCs!A:A, NPCs!C:C)</f>
        <v>Copycat</v>
      </c>
      <c r="G271" s="1" t="str">
        <f>LOOKUP(B271, Items!A:A, Items!C:C)</f>
        <v>Devastating Birch Wood Staff</v>
      </c>
    </row>
    <row r="272" ht="15.75" customHeight="1">
      <c r="A272" s="1">
        <v>66.0</v>
      </c>
      <c r="B272" s="1">
        <v>622.0</v>
      </c>
      <c r="C272" s="1">
        <v>5.0</v>
      </c>
      <c r="D272" s="1">
        <v>10.0</v>
      </c>
      <c r="F272" s="1" t="str">
        <f>LOOKUP(A272, NPCs!A:A, NPCs!C:C)</f>
        <v>Copycat</v>
      </c>
      <c r="G272" s="1" t="str">
        <f>LOOKUP(B272, Items!A:A, Items!C:C)</f>
        <v>Magical Liquid</v>
      </c>
    </row>
    <row r="273" ht="15.75" customHeight="1">
      <c r="A273" s="1">
        <v>67.0</v>
      </c>
      <c r="B273" s="1">
        <v>95.0</v>
      </c>
      <c r="C273" s="1">
        <v>1.0</v>
      </c>
      <c r="D273" s="1">
        <v>10.0</v>
      </c>
      <c r="F273" s="1" t="str">
        <f>LOOKUP(A273, NPCs!A:A, NPCs!C:C)</f>
        <v>Insanity</v>
      </c>
      <c r="G273" s="1" t="str">
        <f>LOOKUP(B273, Items!A:A, Items!C:C)</f>
        <v>Gold Helmet</v>
      </c>
    </row>
    <row r="274" ht="15.75" customHeight="1">
      <c r="A274" s="1">
        <v>67.0</v>
      </c>
      <c r="B274" s="1">
        <v>109.0</v>
      </c>
      <c r="C274" s="1">
        <v>1.0</v>
      </c>
      <c r="D274" s="1">
        <v>10.0</v>
      </c>
      <c r="F274" s="1" t="str">
        <f>LOOKUP(A274, NPCs!A:A, NPCs!C:C)</f>
        <v>Insanity</v>
      </c>
      <c r="G274" s="1" t="str">
        <f>LOOKUP(B274, Items!A:A, Items!C:C)</f>
        <v>Gold Legplates</v>
      </c>
    </row>
    <row r="275" ht="15.75" customHeight="1">
      <c r="A275" s="1">
        <v>67.0</v>
      </c>
      <c r="B275" s="1">
        <v>127.0</v>
      </c>
      <c r="C275" s="1">
        <v>1.0</v>
      </c>
      <c r="D275" s="1">
        <v>10.0</v>
      </c>
      <c r="F275" s="1" t="str">
        <f>LOOKUP(A275, NPCs!A:A, NPCs!C:C)</f>
        <v>Insanity</v>
      </c>
      <c r="G275" s="1" t="str">
        <f>LOOKUP(B275, Items!A:A, Items!C:C)</f>
        <v>Gold Boots</v>
      </c>
    </row>
    <row r="276" ht="15.75" customHeight="1">
      <c r="A276" s="1">
        <v>67.0</v>
      </c>
      <c r="B276" s="1">
        <v>152.0</v>
      </c>
      <c r="C276" s="1">
        <v>1.0</v>
      </c>
      <c r="D276" s="1">
        <v>10.0</v>
      </c>
      <c r="F276" s="1" t="str">
        <f>LOOKUP(A276, NPCs!A:A, NPCs!C:C)</f>
        <v>Insanity</v>
      </c>
      <c r="G276" s="1" t="str">
        <f>LOOKUP(B276, Items!A:A, Items!C:C)</f>
        <v>Gold Chestplate</v>
      </c>
    </row>
    <row r="277" ht="15.75" customHeight="1">
      <c r="A277" s="1">
        <v>67.0</v>
      </c>
      <c r="B277" s="1">
        <v>167.0</v>
      </c>
      <c r="C277" s="1">
        <v>1.0</v>
      </c>
      <c r="D277" s="1">
        <v>10.0</v>
      </c>
      <c r="F277" s="1" t="str">
        <f>LOOKUP(A277, NPCs!A:A, NPCs!C:C)</f>
        <v>Insanity</v>
      </c>
      <c r="G277" s="1" t="str">
        <f>LOOKUP(B277, Items!A:A, Items!C:C)</f>
        <v>Devastators Chestplate</v>
      </c>
    </row>
    <row r="278" ht="15.75" customHeight="1">
      <c r="A278" s="1">
        <v>67.0</v>
      </c>
      <c r="B278" s="1">
        <v>206.0</v>
      </c>
      <c r="C278" s="1">
        <v>1.0</v>
      </c>
      <c r="D278" s="1">
        <v>10.0</v>
      </c>
      <c r="F278" s="1" t="str">
        <f>LOOKUP(A278, NPCs!A:A, NPCs!C:C)</f>
        <v>Insanity</v>
      </c>
      <c r="G278" s="1" t="str">
        <f>LOOKUP(B278, Items!A:A, Items!C:C)</f>
        <v>Devastating Dragon Tooth Sword</v>
      </c>
    </row>
    <row r="279" ht="15.75" customHeight="1">
      <c r="A279" s="1">
        <v>67.0</v>
      </c>
      <c r="B279" s="1">
        <v>622.0</v>
      </c>
      <c r="C279" s="1">
        <v>5.0</v>
      </c>
      <c r="D279" s="1">
        <v>10.0</v>
      </c>
      <c r="F279" s="1" t="str">
        <f>LOOKUP(A279, NPCs!A:A, NPCs!C:C)</f>
        <v>Insanity</v>
      </c>
      <c r="G279" s="1" t="str">
        <f>LOOKUP(B279, Items!A:A, Items!C:C)</f>
        <v>Magical Liquid</v>
      </c>
    </row>
    <row r="280" ht="15.75" customHeight="1">
      <c r="A280" s="1">
        <v>68.0</v>
      </c>
      <c r="B280" s="1">
        <v>94.0</v>
      </c>
      <c r="C280" s="1">
        <v>1.0</v>
      </c>
      <c r="D280" s="1">
        <v>10.0</v>
      </c>
      <c r="F280" s="1" t="str">
        <f>LOOKUP(A280, NPCs!A:A, NPCs!C:C)</f>
        <v>Showboat</v>
      </c>
      <c r="G280" s="1" t="str">
        <f>LOOKUP(B280, Items!A:A, Items!C:C)</f>
        <v>Devastators Helmet</v>
      </c>
    </row>
    <row r="281" ht="15.75" customHeight="1">
      <c r="A281" s="1">
        <v>68.0</v>
      </c>
      <c r="B281" s="1">
        <v>166.0</v>
      </c>
      <c r="C281" s="1">
        <v>1.0</v>
      </c>
      <c r="D281" s="1">
        <v>10.0</v>
      </c>
      <c r="F281" s="1" t="str">
        <f>LOOKUP(A281, NPCs!A:A, NPCs!C:C)</f>
        <v>Showboat</v>
      </c>
      <c r="G281" s="1" t="str">
        <f>LOOKUP(B281, Items!A:A, Items!C:C)</f>
        <v>Devastators Legplates</v>
      </c>
    </row>
    <row r="282" ht="15.75" customHeight="1">
      <c r="A282" s="1">
        <v>68.0</v>
      </c>
      <c r="B282" s="1">
        <v>126.0</v>
      </c>
      <c r="C282" s="1">
        <v>1.0</v>
      </c>
      <c r="D282" s="1">
        <v>10.0</v>
      </c>
      <c r="F282" s="1" t="str">
        <f>LOOKUP(A282, NPCs!A:A, NPCs!C:C)</f>
        <v>Showboat</v>
      </c>
      <c r="G282" s="1" t="str">
        <f>LOOKUP(B282, Items!A:A, Items!C:C)</f>
        <v>Devastators Boots</v>
      </c>
    </row>
    <row r="283" ht="15.75" customHeight="1">
      <c r="A283" s="1">
        <v>68.0</v>
      </c>
      <c r="B283" s="1">
        <v>151.0</v>
      </c>
      <c r="C283" s="1">
        <v>1.0</v>
      </c>
      <c r="D283" s="1">
        <v>10.0</v>
      </c>
      <c r="F283" s="1" t="str">
        <f>LOOKUP(A283, NPCs!A:A, NPCs!C:C)</f>
        <v>Showboat</v>
      </c>
      <c r="G283" s="1" t="str">
        <f>LOOKUP(B283, Items!A:A, Items!C:C)</f>
        <v>Devastators Robes</v>
      </c>
    </row>
    <row r="284" ht="15.75" customHeight="1">
      <c r="A284" s="1">
        <v>68.0</v>
      </c>
      <c r="B284" s="1">
        <v>422.0</v>
      </c>
      <c r="C284" s="1">
        <v>1.0</v>
      </c>
      <c r="D284" s="1">
        <v>10.0</v>
      </c>
      <c r="F284" s="1" t="str">
        <f>LOOKUP(A284, NPCs!A:A, NPCs!C:C)</f>
        <v>Showboat</v>
      </c>
      <c r="G284" s="1" t="str">
        <f>LOOKUP(B284, Items!A:A, Items!C:C)</f>
        <v>Savage Pauldrons of the Boar</v>
      </c>
    </row>
    <row r="285" ht="15.75" customHeight="1">
      <c r="A285" s="1">
        <v>68.0</v>
      </c>
      <c r="B285" s="1">
        <v>423.0</v>
      </c>
      <c r="C285" s="1">
        <v>1.0</v>
      </c>
      <c r="D285" s="1">
        <v>10.0</v>
      </c>
      <c r="F285" s="1" t="str">
        <f>LOOKUP(A285, NPCs!A:A, NPCs!C:C)</f>
        <v>Showboat</v>
      </c>
      <c r="G285" s="1" t="str">
        <f>LOOKUP(B285, Items!A:A, Items!C:C)</f>
        <v>Savage Pauldrons of the Cow</v>
      </c>
    </row>
    <row r="286" ht="15.75" customHeight="1">
      <c r="A286" s="1">
        <v>68.0</v>
      </c>
      <c r="B286" s="1">
        <v>424.0</v>
      </c>
      <c r="C286" s="1">
        <v>1.0</v>
      </c>
      <c r="D286" s="1">
        <v>10.0</v>
      </c>
      <c r="F286" s="1" t="str">
        <f>LOOKUP(A286, NPCs!A:A, NPCs!C:C)</f>
        <v>Showboat</v>
      </c>
      <c r="G286" s="1" t="str">
        <f>LOOKUP(B286, Items!A:A, Items!C:C)</f>
        <v>Red Ring</v>
      </c>
    </row>
    <row r="287" ht="15.75" customHeight="1">
      <c r="A287" s="1">
        <v>68.0</v>
      </c>
      <c r="B287" s="1">
        <v>425.0</v>
      </c>
      <c r="C287" s="1">
        <v>1.0</v>
      </c>
      <c r="D287" s="1">
        <v>10.0</v>
      </c>
      <c r="F287" s="1" t="str">
        <f>LOOKUP(A287, NPCs!A:A, NPCs!C:C)</f>
        <v>Showboat</v>
      </c>
      <c r="G287" s="1" t="str">
        <f>LOOKUP(B287, Items!A:A, Items!C:C)</f>
        <v>Black Ring</v>
      </c>
    </row>
    <row r="288" ht="15.75" customHeight="1">
      <c r="A288" s="1">
        <v>68.0</v>
      </c>
      <c r="B288" s="1">
        <v>622.0</v>
      </c>
      <c r="C288" s="1">
        <v>5.0</v>
      </c>
      <c r="D288" s="1">
        <v>10.0</v>
      </c>
      <c r="F288" s="1" t="str">
        <f>LOOKUP(A288, NPCs!A:A, NPCs!C:C)</f>
        <v>Showboat</v>
      </c>
      <c r="G288" s="1" t="str">
        <f>LOOKUP(B288, Items!A:A, Items!C:C)</f>
        <v>Magical Liquid</v>
      </c>
    </row>
    <row r="289" ht="15.75" customHeight="1">
      <c r="A289" s="1">
        <v>71.0</v>
      </c>
      <c r="B289" s="1">
        <v>266.0</v>
      </c>
      <c r="C289" s="1">
        <v>1.0</v>
      </c>
      <c r="D289" s="1">
        <v>20.0</v>
      </c>
      <c r="F289" s="1" t="str">
        <f>LOOKUP(A289, NPCs!A:A, NPCs!C:C)</f>
        <v>Little Fat Bastard</v>
      </c>
      <c r="G289" s="1" t="str">
        <f>LOOKUP(B289, Items!A:A, Items!C:C)</f>
        <v>Key to the Ancients Dungeon</v>
      </c>
    </row>
    <row r="290" ht="15.75" customHeight="1">
      <c r="A290" s="1">
        <v>71.0</v>
      </c>
      <c r="B290" s="1">
        <v>217.0</v>
      </c>
      <c r="C290" s="1">
        <v>1.0</v>
      </c>
      <c r="D290" s="1">
        <v>10.0</v>
      </c>
      <c r="F290" s="1" t="str">
        <f>LOOKUP(A290, NPCs!A:A, NPCs!C:C)</f>
        <v>Little Fat Bastard</v>
      </c>
      <c r="G290" s="1" t="str">
        <f>LOOKUP(B290, Items!A:A, Items!C:C)</f>
        <v>Tiny Club</v>
      </c>
    </row>
    <row r="291" ht="15.75" customHeight="1">
      <c r="A291" s="1">
        <v>71.0</v>
      </c>
      <c r="B291" s="1">
        <v>115.0</v>
      </c>
      <c r="C291" s="1">
        <v>1.0</v>
      </c>
      <c r="D291" s="1">
        <v>10.0</v>
      </c>
      <c r="F291" s="1" t="str">
        <f>LOOKUP(A291, NPCs!A:A, NPCs!C:C)</f>
        <v>Little Fat Bastard</v>
      </c>
      <c r="G291" s="1" t="str">
        <f>LOOKUP(B291, Items!A:A, Items!C:C)</f>
        <v>Moon Shield</v>
      </c>
    </row>
    <row r="292" ht="15.75" customHeight="1">
      <c r="A292" s="1">
        <v>71.0</v>
      </c>
      <c r="B292" s="1">
        <v>58.0</v>
      </c>
      <c r="C292" s="1">
        <v>1.0</v>
      </c>
      <c r="D292" s="1">
        <v>5.0</v>
      </c>
      <c r="F292" s="1" t="str">
        <f>LOOKUP(A292, NPCs!A:A, NPCs!C:C)</f>
        <v>Little Fat Bastard</v>
      </c>
      <c r="G292" s="1" t="str">
        <f>LOOKUP(B292, Items!A:A, Items!C:C)</f>
        <v>Gem of Power</v>
      </c>
    </row>
    <row r="293" ht="15.75" customHeight="1">
      <c r="A293" s="1">
        <v>72.0</v>
      </c>
      <c r="B293" s="1">
        <v>266.0</v>
      </c>
      <c r="C293" s="1">
        <v>1.0</v>
      </c>
      <c r="D293" s="1">
        <v>20.0</v>
      </c>
      <c r="F293" s="1" t="str">
        <f>LOOKUP(A293, NPCs!A:A, NPCs!C:C)</f>
        <v>Hay</v>
      </c>
      <c r="G293" s="1" t="str">
        <f>LOOKUP(B293, Items!A:A, Items!C:C)</f>
        <v>Key to the Ancients Dungeon</v>
      </c>
    </row>
    <row r="294" ht="15.75" customHeight="1">
      <c r="A294" s="1">
        <v>72.0</v>
      </c>
      <c r="B294" s="1">
        <v>257.0</v>
      </c>
      <c r="C294" s="1">
        <v>1.0</v>
      </c>
      <c r="D294" s="1">
        <v>5.0</v>
      </c>
      <c r="F294" s="1" t="str">
        <f>LOOKUP(A294, NPCs!A:A, NPCs!C:C)</f>
        <v>Hay</v>
      </c>
      <c r="G294" s="1" t="str">
        <f>LOOKUP(B294, Items!A:A, Items!C:C)</f>
        <v>Hays Claw</v>
      </c>
    </row>
    <row r="295" ht="15.75" customHeight="1">
      <c r="A295" s="1">
        <v>72.0</v>
      </c>
      <c r="B295" s="1">
        <v>96.0</v>
      </c>
      <c r="C295" s="1">
        <v>1.0</v>
      </c>
      <c r="D295" s="1">
        <v>5.0</v>
      </c>
      <c r="F295" s="1" t="str">
        <f>LOOKUP(A295, NPCs!A:A, NPCs!C:C)</f>
        <v>Hay</v>
      </c>
      <c r="G295" s="1" t="str">
        <f>LOOKUP(B295, Items!A:A, Items!C:C)</f>
        <v>Hays Tail</v>
      </c>
    </row>
    <row r="296" ht="15.75" customHeight="1">
      <c r="A296" s="1">
        <v>72.0</v>
      </c>
      <c r="B296" s="1">
        <v>86.0</v>
      </c>
      <c r="C296" s="1">
        <v>1.0</v>
      </c>
      <c r="D296" s="1">
        <v>15.0</v>
      </c>
      <c r="F296" s="1" t="str">
        <f>LOOKUP(A296, NPCs!A:A, NPCs!C:C)</f>
        <v>Hay</v>
      </c>
      <c r="G296" s="1" t="str">
        <f>LOOKUP(B296, Items!A:A, Items!C:C)</f>
        <v>Rune: Fearsome Lash</v>
      </c>
    </row>
    <row r="297" ht="15.75" customHeight="1">
      <c r="A297" s="1">
        <v>72.0</v>
      </c>
      <c r="B297" s="1">
        <v>87.0</v>
      </c>
      <c r="C297" s="1">
        <v>1.0</v>
      </c>
      <c r="D297" s="1">
        <v>15.0</v>
      </c>
      <c r="F297" s="1" t="str">
        <f>LOOKUP(A297, NPCs!A:A, NPCs!C:C)</f>
        <v>Hay</v>
      </c>
      <c r="G297" s="1" t="str">
        <f>LOOKUP(B297, Items!A:A, Items!C:C)</f>
        <v>Rune: Sunder of Spirits</v>
      </c>
    </row>
    <row r="298" ht="15.75" customHeight="1">
      <c r="A298" s="1">
        <v>72.0</v>
      </c>
      <c r="B298" s="1">
        <v>274.0</v>
      </c>
      <c r="C298" s="1">
        <v>1.0</v>
      </c>
      <c r="D298" s="1">
        <v>15.0</v>
      </c>
      <c r="F298" s="1" t="str">
        <f>LOOKUP(A298, NPCs!A:A, NPCs!C:C)</f>
        <v>Hay</v>
      </c>
      <c r="G298" s="1" t="str">
        <f>LOOKUP(B298, Items!A:A, Items!C:C)</f>
        <v>Rune: Arcane Assault</v>
      </c>
    </row>
    <row r="299" ht="15.75" customHeight="1">
      <c r="A299" s="1">
        <v>72.0</v>
      </c>
      <c r="B299" s="1">
        <v>278.0</v>
      </c>
      <c r="C299" s="1">
        <v>1.0</v>
      </c>
      <c r="D299" s="1">
        <v>15.0</v>
      </c>
      <c r="F299" s="1" t="str">
        <f>LOOKUP(A299, NPCs!A:A, NPCs!C:C)</f>
        <v>Hay</v>
      </c>
      <c r="G299" s="1" t="str">
        <f>LOOKUP(B299, Items!A:A, Items!C:C)</f>
        <v>Rune: Restore Health</v>
      </c>
    </row>
    <row r="300" ht="15.75" customHeight="1">
      <c r="A300" s="1">
        <v>72.0</v>
      </c>
      <c r="B300" s="1">
        <v>302.0</v>
      </c>
      <c r="C300" s="1">
        <v>1.0</v>
      </c>
      <c r="D300" s="1">
        <v>5.0</v>
      </c>
      <c r="F300" s="1" t="str">
        <f>LOOKUP(A300, NPCs!A:A, NPCs!C:C)</f>
        <v>Hay</v>
      </c>
      <c r="G300" s="1" t="str">
        <f>LOOKUP(B300, Items!A:A, Items!C:C)</f>
        <v>Scroll: Group Teleport Paradise</v>
      </c>
    </row>
    <row r="301" ht="15.75" customHeight="1">
      <c r="A301" s="1">
        <v>72.0</v>
      </c>
      <c r="B301" s="1">
        <v>420.0</v>
      </c>
      <c r="C301" s="1">
        <v>1.0</v>
      </c>
      <c r="D301" s="1">
        <v>7.0</v>
      </c>
      <c r="F301" s="1" t="str">
        <f>LOOKUP(A301, NPCs!A:A, NPCs!C:C)</f>
        <v>Hay</v>
      </c>
      <c r="G301" s="1" t="str">
        <f>LOOKUP(B301, Items!A:A, Items!C:C)</f>
        <v>Scroll: Spiritual Blessings</v>
      </c>
    </row>
    <row r="302" ht="15.75" customHeight="1">
      <c r="A302" s="1">
        <v>72.0</v>
      </c>
      <c r="B302" s="1">
        <v>58.0</v>
      </c>
      <c r="C302" s="1">
        <v>1.0</v>
      </c>
      <c r="D302" s="1">
        <v>5.0</v>
      </c>
      <c r="F302" s="1" t="str">
        <f>LOOKUP(A302, NPCs!A:A, NPCs!C:C)</f>
        <v>Hay</v>
      </c>
      <c r="G302" s="1" t="str">
        <f>LOOKUP(B302, Items!A:A, Items!C:C)</f>
        <v>Gem of Power</v>
      </c>
    </row>
    <row r="303" ht="15.75" customHeight="1">
      <c r="A303" s="1">
        <v>73.0</v>
      </c>
      <c r="B303" s="1">
        <v>266.0</v>
      </c>
      <c r="C303" s="1">
        <v>1.0</v>
      </c>
      <c r="D303" s="1">
        <v>20.0</v>
      </c>
      <c r="F303" s="1" t="str">
        <f>LOOKUP(A303, NPCs!A:A, NPCs!C:C)</f>
        <v>Fray</v>
      </c>
      <c r="G303" s="1" t="str">
        <f>LOOKUP(B303, Items!A:A, Items!C:C)</f>
        <v>Key to the Ancients Dungeon</v>
      </c>
    </row>
    <row r="304" ht="15.75" customHeight="1">
      <c r="A304" s="1">
        <v>73.0</v>
      </c>
      <c r="B304" s="1">
        <v>260.0</v>
      </c>
      <c r="C304" s="1">
        <v>1.0</v>
      </c>
      <c r="D304" s="1">
        <v>5.0</v>
      </c>
      <c r="F304" s="1" t="str">
        <f>LOOKUP(A304, NPCs!A:A, NPCs!C:C)</f>
        <v>Fray</v>
      </c>
      <c r="G304" s="1" t="str">
        <f>LOOKUP(B304, Items!A:A, Items!C:C)</f>
        <v>Frays Flippers</v>
      </c>
    </row>
    <row r="305" ht="15.75" customHeight="1">
      <c r="A305" s="1">
        <v>73.0</v>
      </c>
      <c r="B305" s="1">
        <v>218.0</v>
      </c>
      <c r="C305" s="1">
        <v>1.0</v>
      </c>
      <c r="D305" s="1">
        <v>5.0</v>
      </c>
      <c r="F305" s="1" t="str">
        <f>LOOKUP(A305, NPCs!A:A, NPCs!C:C)</f>
        <v>Fray</v>
      </c>
      <c r="G305" s="1" t="str">
        <f>LOOKUP(B305, Items!A:A, Items!C:C)</f>
        <v>Frays Cane</v>
      </c>
    </row>
    <row r="306" ht="15.75" customHeight="1">
      <c r="A306" s="1">
        <v>73.0</v>
      </c>
      <c r="B306" s="1">
        <v>274.0</v>
      </c>
      <c r="C306" s="1">
        <v>1.0</v>
      </c>
      <c r="D306" s="1">
        <v>15.0</v>
      </c>
      <c r="F306" s="1" t="str">
        <f>LOOKUP(A306, NPCs!A:A, NPCs!C:C)</f>
        <v>Fray</v>
      </c>
      <c r="G306" s="1" t="str">
        <f>LOOKUP(B306, Items!A:A, Items!C:C)</f>
        <v>Rune: Arcane Assault</v>
      </c>
    </row>
    <row r="307" ht="15.75" customHeight="1">
      <c r="A307" s="1">
        <v>73.0</v>
      </c>
      <c r="B307" s="1">
        <v>278.0</v>
      </c>
      <c r="C307" s="1">
        <v>1.0</v>
      </c>
      <c r="D307" s="1">
        <v>15.0</v>
      </c>
      <c r="F307" s="1" t="str">
        <f>LOOKUP(A307, NPCs!A:A, NPCs!C:C)</f>
        <v>Fray</v>
      </c>
      <c r="G307" s="1" t="str">
        <f>LOOKUP(B307, Items!A:A, Items!C:C)</f>
        <v>Rune: Restore Health</v>
      </c>
    </row>
    <row r="308" ht="15.75" customHeight="1">
      <c r="A308" s="1">
        <v>73.0</v>
      </c>
      <c r="B308" s="1">
        <v>86.0</v>
      </c>
      <c r="C308" s="1">
        <v>1.0</v>
      </c>
      <c r="D308" s="1">
        <v>15.0</v>
      </c>
      <c r="F308" s="1" t="str">
        <f>LOOKUP(A308, NPCs!A:A, NPCs!C:C)</f>
        <v>Fray</v>
      </c>
      <c r="G308" s="1" t="str">
        <f>LOOKUP(B308, Items!A:A, Items!C:C)</f>
        <v>Rune: Fearsome Lash</v>
      </c>
    </row>
    <row r="309" ht="15.75" customHeight="1">
      <c r="A309" s="1">
        <v>73.0</v>
      </c>
      <c r="B309" s="1">
        <v>87.0</v>
      </c>
      <c r="C309" s="1">
        <v>1.0</v>
      </c>
      <c r="D309" s="1">
        <v>15.0</v>
      </c>
      <c r="F309" s="1" t="str">
        <f>LOOKUP(A309, NPCs!A:A, NPCs!C:C)</f>
        <v>Fray</v>
      </c>
      <c r="G309" s="1" t="str">
        <f>LOOKUP(B309, Items!A:A, Items!C:C)</f>
        <v>Rune: Sunder of Spirits</v>
      </c>
    </row>
    <row r="310" ht="15.75" customHeight="1">
      <c r="A310" s="1">
        <v>73.0</v>
      </c>
      <c r="B310" s="1">
        <v>302.0</v>
      </c>
      <c r="C310" s="1">
        <v>1.0</v>
      </c>
      <c r="D310" s="1">
        <v>5.0</v>
      </c>
      <c r="F310" s="1" t="str">
        <f>LOOKUP(A310, NPCs!A:A, NPCs!C:C)</f>
        <v>Fray</v>
      </c>
      <c r="G310" s="1" t="str">
        <f>LOOKUP(B310, Items!A:A, Items!C:C)</f>
        <v>Scroll: Group Teleport Paradise</v>
      </c>
    </row>
    <row r="311" ht="15.75" customHeight="1">
      <c r="A311" s="1">
        <v>73.0</v>
      </c>
      <c r="B311" s="1">
        <v>420.0</v>
      </c>
      <c r="C311" s="1">
        <v>1.0</v>
      </c>
      <c r="D311" s="1">
        <v>7.0</v>
      </c>
      <c r="F311" s="1" t="str">
        <f>LOOKUP(A311, NPCs!A:A, NPCs!C:C)</f>
        <v>Fray</v>
      </c>
      <c r="G311" s="1" t="str">
        <f>LOOKUP(B311, Items!A:A, Items!C:C)</f>
        <v>Scroll: Spiritual Blessings</v>
      </c>
    </row>
    <row r="312" ht="15.75" customHeight="1">
      <c r="A312" s="1">
        <v>73.0</v>
      </c>
      <c r="B312" s="1">
        <v>58.0</v>
      </c>
      <c r="C312" s="1">
        <v>1.0</v>
      </c>
      <c r="D312" s="1">
        <v>5.0</v>
      </c>
      <c r="F312" s="1" t="str">
        <f>LOOKUP(A312, NPCs!A:A, NPCs!C:C)</f>
        <v>Fray</v>
      </c>
      <c r="G312" s="1" t="str">
        <f>LOOKUP(B312, Items!A:A, Items!C:C)</f>
        <v>Gem of Power</v>
      </c>
    </row>
    <row r="313" ht="15.75" customHeight="1">
      <c r="A313" s="1">
        <v>76.0</v>
      </c>
      <c r="B313" s="1">
        <v>313.0</v>
      </c>
      <c r="C313" s="1">
        <v>1.0</v>
      </c>
      <c r="D313" s="1">
        <v>7.0</v>
      </c>
      <c r="F313" s="1" t="str">
        <f>LOOKUP(A313, NPCs!A:A, NPCs!C:C)</f>
        <v>Elite Ancient Warrior</v>
      </c>
      <c r="G313" s="1" t="str">
        <f>LOOKUP(B313, Items!A:A, Items!C:C)</f>
        <v>Scroll: Ancient Healing</v>
      </c>
    </row>
    <row r="314" ht="15.75" customHeight="1">
      <c r="A314" s="1">
        <v>76.0</v>
      </c>
      <c r="B314" s="1">
        <v>315.0</v>
      </c>
      <c r="C314" s="1">
        <v>1.0</v>
      </c>
      <c r="D314" s="1">
        <v>5.0</v>
      </c>
      <c r="F314" s="1" t="str">
        <f>LOOKUP(A314, NPCs!A:A, NPCs!C:C)</f>
        <v>Elite Ancient Warrior</v>
      </c>
      <c r="G314" s="1" t="str">
        <f>LOOKUP(B314, Items!A:A, Items!C:C)</f>
        <v>Scroll: Ancient Sturdiness</v>
      </c>
    </row>
    <row r="315" ht="15.75" customHeight="1">
      <c r="A315" s="1">
        <v>76.0</v>
      </c>
      <c r="B315" s="1">
        <v>316.0</v>
      </c>
      <c r="C315" s="1">
        <v>1.0</v>
      </c>
      <c r="D315" s="1">
        <v>5.0</v>
      </c>
      <c r="F315" s="1" t="str">
        <f>LOOKUP(A315, NPCs!A:A, NPCs!C:C)</f>
        <v>Elite Ancient Warrior</v>
      </c>
      <c r="G315" s="1" t="str">
        <f>LOOKUP(B315, Items!A:A, Items!C:C)</f>
        <v>Scroll: Ancient Criticality</v>
      </c>
    </row>
    <row r="316" ht="15.75" customHeight="1">
      <c r="A316" s="1">
        <v>76.0</v>
      </c>
      <c r="B316" s="1">
        <v>321.0</v>
      </c>
      <c r="C316" s="1">
        <v>1.0</v>
      </c>
      <c r="D316" s="1">
        <v>5.0</v>
      </c>
      <c r="F316" s="1" t="str">
        <f>LOOKUP(A316, NPCs!A:A, NPCs!C:C)</f>
        <v>Elite Ancient Warrior</v>
      </c>
      <c r="G316" s="1" t="str">
        <f>LOOKUP(B316, Items!A:A, Items!C:C)</f>
        <v>Scroll: Ancient Taunt</v>
      </c>
    </row>
    <row r="317" ht="15.75" customHeight="1">
      <c r="A317" s="1">
        <v>76.0</v>
      </c>
      <c r="B317" s="1">
        <v>318.0</v>
      </c>
      <c r="C317" s="1">
        <v>1.0</v>
      </c>
      <c r="D317" s="1">
        <v>5.0</v>
      </c>
      <c r="F317" s="1" t="str">
        <f>LOOKUP(A317, NPCs!A:A, NPCs!C:C)</f>
        <v>Elite Ancient Warrior</v>
      </c>
      <c r="G317" s="1" t="str">
        <f>LOOKUP(B317, Items!A:A, Items!C:C)</f>
        <v>Scroll: Ancient Protection</v>
      </c>
    </row>
    <row r="318" ht="15.75" customHeight="1">
      <c r="A318" s="1">
        <v>76.0</v>
      </c>
      <c r="B318" s="1">
        <v>314.0</v>
      </c>
      <c r="C318" s="1">
        <v>1.0</v>
      </c>
      <c r="D318" s="1">
        <v>5.0</v>
      </c>
      <c r="F318" s="1" t="str">
        <f>LOOKUP(A318, NPCs!A:A, NPCs!C:C)</f>
        <v>Elite Ancient Warrior</v>
      </c>
      <c r="G318" s="1" t="str">
        <f>LOOKUP(B318, Items!A:A, Items!C:C)</f>
        <v>Scroll: Ancient Root</v>
      </c>
    </row>
    <row r="319" ht="15.75" customHeight="1">
      <c r="A319" s="1">
        <v>77.0</v>
      </c>
      <c r="B319" s="1">
        <v>439.0</v>
      </c>
      <c r="C319" s="1">
        <v>1.0</v>
      </c>
      <c r="D319" s="1">
        <v>20.0</v>
      </c>
      <c r="F319" s="1" t="str">
        <f>LOOKUP(A319, NPCs!A:A, NPCs!C:C)</f>
        <v>Comissioned Blacksmith</v>
      </c>
      <c r="G319" s="1" t="str">
        <f>LOOKUP(B319, Items!A:A, Items!C:C)</f>
        <v>Priceless Ore</v>
      </c>
    </row>
    <row r="320" ht="15.75" customHeight="1">
      <c r="A320" s="1">
        <v>77.0</v>
      </c>
      <c r="B320" s="1">
        <v>440.0</v>
      </c>
      <c r="C320" s="1">
        <v>1.0</v>
      </c>
      <c r="D320" s="1">
        <v>20.0</v>
      </c>
      <c r="F320" s="1" t="str">
        <f>LOOKUP(A320, NPCs!A:A, NPCs!C:C)</f>
        <v>Comissioned Blacksmith</v>
      </c>
      <c r="G320" s="1" t="str">
        <f>LOOKUP(B320, Items!A:A, Items!C:C)</f>
        <v>Priceless Chisel</v>
      </c>
    </row>
    <row r="321" ht="15.75" customHeight="1">
      <c r="A321" s="1">
        <v>77.0</v>
      </c>
      <c r="B321" s="1">
        <v>441.0</v>
      </c>
      <c r="C321" s="1">
        <v>1.0</v>
      </c>
      <c r="D321" s="1">
        <v>20.0</v>
      </c>
      <c r="F321" s="1" t="str">
        <f>LOOKUP(A321, NPCs!A:A, NPCs!C:C)</f>
        <v>Comissioned Blacksmith</v>
      </c>
      <c r="G321" s="1" t="str">
        <f>LOOKUP(B321, Items!A:A, Items!C:C)</f>
        <v>Priceless Hammer</v>
      </c>
    </row>
    <row r="322" ht="15.75" customHeight="1">
      <c r="A322" s="1">
        <v>78.0</v>
      </c>
      <c r="B322" s="1">
        <v>436.0</v>
      </c>
      <c r="C322" s="1">
        <v>1.0</v>
      </c>
      <c r="D322" s="1">
        <v>20.0</v>
      </c>
      <c r="F322" s="1" t="str">
        <f>LOOKUP(A322, NPCs!A:A, NPCs!C:C)</f>
        <v>Comissioned Tailor</v>
      </c>
      <c r="G322" s="1" t="str">
        <f>LOOKUP(B322, Items!A:A, Items!C:C)</f>
        <v>Priceless Needle</v>
      </c>
    </row>
    <row r="323" ht="15.75" customHeight="1">
      <c r="A323" s="1">
        <v>78.0</v>
      </c>
      <c r="B323" s="1">
        <v>437.0</v>
      </c>
      <c r="C323" s="1">
        <v>1.0</v>
      </c>
      <c r="D323" s="1">
        <v>20.0</v>
      </c>
      <c r="F323" s="1" t="str">
        <f>LOOKUP(A323, NPCs!A:A, NPCs!C:C)</f>
        <v>Comissioned Tailor</v>
      </c>
      <c r="G323" s="1" t="str">
        <f>LOOKUP(B323, Items!A:A, Items!C:C)</f>
        <v>Priceless Pattern</v>
      </c>
    </row>
    <row r="324" ht="15.75" customHeight="1">
      <c r="A324" s="1">
        <v>78.0</v>
      </c>
      <c r="B324" s="1">
        <v>438.0</v>
      </c>
      <c r="C324" s="1">
        <v>1.0</v>
      </c>
      <c r="D324" s="1">
        <v>20.0</v>
      </c>
      <c r="F324" s="1" t="str">
        <f>LOOKUP(A324, NPCs!A:A, NPCs!C:C)</f>
        <v>Comissioned Tailor</v>
      </c>
      <c r="G324" s="1" t="str">
        <f>LOOKUP(B324, Items!A:A, Items!C:C)</f>
        <v>Priceless Thread</v>
      </c>
    </row>
    <row r="325" ht="15.75" customHeight="1">
      <c r="A325" s="1">
        <v>79.0</v>
      </c>
      <c r="B325" s="1">
        <v>291.0</v>
      </c>
      <c r="C325" s="1">
        <v>1.0</v>
      </c>
      <c r="D325" s="1">
        <v>20.0</v>
      </c>
      <c r="F325" s="1" t="str">
        <f>LOOKUP(A325, NPCs!A:A, NPCs!C:C)</f>
        <v>Dalph Von'Ownu</v>
      </c>
      <c r="G325" s="1" t="str">
        <f>LOOKUP(B325, Items!A:A, Items!C:C)</f>
        <v>Ancient Axe</v>
      </c>
    </row>
    <row r="326" ht="15.75" customHeight="1">
      <c r="A326" s="1">
        <v>79.0</v>
      </c>
      <c r="B326" s="1">
        <v>292.0</v>
      </c>
      <c r="C326" s="1">
        <v>1.0</v>
      </c>
      <c r="D326" s="1">
        <v>20.0</v>
      </c>
      <c r="F326" s="1" t="str">
        <f>LOOKUP(A326, NPCs!A:A, NPCs!C:C)</f>
        <v>Dalph Von'Ownu</v>
      </c>
      <c r="G326" s="1" t="str">
        <f>LOOKUP(B326, Items!A:A, Items!C:C)</f>
        <v>Ancient Dagger</v>
      </c>
    </row>
    <row r="327" ht="15.75" customHeight="1">
      <c r="A327" s="1">
        <v>79.0</v>
      </c>
      <c r="B327" s="1">
        <v>282.0</v>
      </c>
      <c r="C327" s="1">
        <v>1.0</v>
      </c>
      <c r="D327" s="1">
        <v>20.0</v>
      </c>
      <c r="F327" s="1" t="str">
        <f>LOOKUP(A327, NPCs!A:A, NPCs!C:C)</f>
        <v>Dalph Von'Ownu</v>
      </c>
      <c r="G327" s="1" t="str">
        <f>LOOKUP(B327, Items!A:A, Items!C:C)</f>
        <v>Ancient Moon Wand</v>
      </c>
    </row>
    <row r="328" ht="15.75" customHeight="1">
      <c r="A328" s="1">
        <v>79.0</v>
      </c>
      <c r="B328" s="1">
        <v>303.0</v>
      </c>
      <c r="C328" s="1">
        <v>1.0</v>
      </c>
      <c r="D328" s="1">
        <v>10.0</v>
      </c>
      <c r="F328" s="1" t="str">
        <f>LOOKUP(A328, NPCs!A:A, NPCs!C:C)</f>
        <v>Dalph Von'Ownu</v>
      </c>
      <c r="G328" s="1" t="str">
        <f>LOOKUP(B328, Items!A:A, Items!C:C)</f>
        <v>Design: Ancient Shield</v>
      </c>
    </row>
    <row r="329" ht="15.75" customHeight="1">
      <c r="A329" s="1">
        <v>79.0</v>
      </c>
      <c r="B329" s="1">
        <v>442.0</v>
      </c>
      <c r="C329" s="1">
        <v>1.0</v>
      </c>
      <c r="D329" s="1">
        <v>5.0</v>
      </c>
      <c r="F329" s="1" t="str">
        <f>LOOKUP(A329, NPCs!A:A, NPCs!C:C)</f>
        <v>Dalph Von'Ownu</v>
      </c>
      <c r="G329" s="1" t="str">
        <f>LOOKUP(B329, Items!A:A, Items!C:C)</f>
        <v>Wrapping Paper</v>
      </c>
    </row>
    <row r="330" ht="15.75" customHeight="1">
      <c r="A330" s="1">
        <v>80.0</v>
      </c>
      <c r="B330" s="1">
        <v>283.0</v>
      </c>
      <c r="C330" s="1">
        <v>1.0</v>
      </c>
      <c r="D330" s="1">
        <v>20.0</v>
      </c>
      <c r="F330" s="1" t="str">
        <f>LOOKUP(A330, NPCs!A:A, NPCs!C:C)</f>
        <v>Hairy Fairy Princess</v>
      </c>
      <c r="G330" s="1" t="str">
        <f>LOOKUP(B330, Items!A:A, Items!C:C)</f>
        <v>Ancient Garb</v>
      </c>
    </row>
    <row r="331" ht="15.75" customHeight="1">
      <c r="A331" s="1">
        <v>80.0</v>
      </c>
      <c r="B331" s="1">
        <v>284.0</v>
      </c>
      <c r="C331" s="1">
        <v>1.0</v>
      </c>
      <c r="D331" s="1">
        <v>20.0</v>
      </c>
      <c r="F331" s="1" t="str">
        <f>LOOKUP(A331, NPCs!A:A, NPCs!C:C)</f>
        <v>Hairy Fairy Princess</v>
      </c>
      <c r="G331" s="1" t="str">
        <f>LOOKUP(B331, Items!A:A, Items!C:C)</f>
        <v>Ancient Robe</v>
      </c>
    </row>
    <row r="332" ht="15.75" customHeight="1">
      <c r="A332" s="1">
        <v>80.0</v>
      </c>
      <c r="B332" s="1">
        <v>290.0</v>
      </c>
      <c r="C332" s="1">
        <v>1.0</v>
      </c>
      <c r="D332" s="1">
        <v>20.0</v>
      </c>
      <c r="F332" s="1" t="str">
        <f>LOOKUP(A332, NPCs!A:A, NPCs!C:C)</f>
        <v>Hairy Fairy Princess</v>
      </c>
      <c r="G332" s="1" t="str">
        <f>LOOKUP(B332, Items!A:A, Items!C:C)</f>
        <v>Ancient Armor</v>
      </c>
    </row>
    <row r="333" ht="15.75" customHeight="1">
      <c r="A333" s="1">
        <v>81.0</v>
      </c>
      <c r="B333" s="1">
        <v>285.0</v>
      </c>
      <c r="C333" s="1">
        <v>1.0</v>
      </c>
      <c r="D333" s="1">
        <v>10.0</v>
      </c>
      <c r="F333" s="1" t="str">
        <f>LOOKUP(A333, NPCs!A:A, NPCs!C:C)</f>
        <v>Lady Slither</v>
      </c>
      <c r="G333" s="1" t="str">
        <f>LOOKUP(B333, Items!A:A, Items!C:C)</f>
        <v>Snake Tiara</v>
      </c>
    </row>
    <row r="334" ht="15.75" customHeight="1">
      <c r="A334" s="1">
        <v>81.0</v>
      </c>
      <c r="B334" s="1">
        <v>297.0</v>
      </c>
      <c r="C334" s="1">
        <v>1.0</v>
      </c>
      <c r="D334" s="1">
        <v>20.0</v>
      </c>
      <c r="F334" s="1" t="str">
        <f>LOOKUP(A334, NPCs!A:A, NPCs!C:C)</f>
        <v>Lady Slither</v>
      </c>
      <c r="G334" s="1" t="str">
        <f>LOOKUP(B334, Items!A:A, Items!C:C)</f>
        <v>Essence of Earth</v>
      </c>
    </row>
    <row r="335" ht="15.75" customHeight="1">
      <c r="A335" s="1">
        <v>81.0</v>
      </c>
      <c r="B335" s="1">
        <v>298.0</v>
      </c>
      <c r="C335" s="1">
        <v>1.0</v>
      </c>
      <c r="D335" s="1">
        <v>20.0</v>
      </c>
      <c r="F335" s="1" t="str">
        <f>LOOKUP(A335, NPCs!A:A, NPCs!C:C)</f>
        <v>Lady Slither</v>
      </c>
      <c r="G335" s="1" t="str">
        <f>LOOKUP(B335, Items!A:A, Items!C:C)</f>
        <v>Essence of Water</v>
      </c>
    </row>
    <row r="336" ht="15.75" customHeight="1">
      <c r="A336" s="1">
        <v>81.0</v>
      </c>
      <c r="B336" s="1">
        <v>299.0</v>
      </c>
      <c r="C336" s="1">
        <v>1.0</v>
      </c>
      <c r="D336" s="1">
        <v>20.0</v>
      </c>
      <c r="F336" s="1" t="str">
        <f>LOOKUP(A336, NPCs!A:A, NPCs!C:C)</f>
        <v>Lady Slither</v>
      </c>
      <c r="G336" s="1" t="str">
        <f>LOOKUP(B336, Items!A:A, Items!C:C)</f>
        <v>Essence of Fire</v>
      </c>
    </row>
    <row r="337" ht="15.75" customHeight="1">
      <c r="A337" s="1">
        <v>81.0</v>
      </c>
      <c r="B337" s="1">
        <v>300.0</v>
      </c>
      <c r="C337" s="1">
        <v>1.0</v>
      </c>
      <c r="D337" s="1">
        <v>20.0</v>
      </c>
      <c r="F337" s="1" t="str">
        <f>LOOKUP(A337, NPCs!A:A, NPCs!C:C)</f>
        <v>Lady Slither</v>
      </c>
      <c r="G337" s="1" t="str">
        <f>LOOKUP(B337, Items!A:A, Items!C:C)</f>
        <v>Essence of Air</v>
      </c>
    </row>
    <row r="338" ht="15.75" customHeight="1">
      <c r="A338" s="1">
        <v>81.0</v>
      </c>
      <c r="B338" s="1">
        <v>442.0</v>
      </c>
      <c r="C338" s="1">
        <v>1.0</v>
      </c>
      <c r="D338" s="1">
        <v>5.0</v>
      </c>
      <c r="F338" s="1" t="str">
        <f>LOOKUP(A338, NPCs!A:A, NPCs!C:C)</f>
        <v>Lady Slither</v>
      </c>
      <c r="G338" s="1" t="str">
        <f>LOOKUP(B338, Items!A:A, Items!C:C)</f>
        <v>Wrapping Paper</v>
      </c>
    </row>
    <row r="339" ht="15.75" customHeight="1">
      <c r="A339" s="1">
        <v>81.0</v>
      </c>
      <c r="B339" s="1">
        <v>512.0</v>
      </c>
      <c r="C339" s="1">
        <v>1.0</v>
      </c>
      <c r="D339" s="1">
        <v>20.0</v>
      </c>
      <c r="F339" s="1" t="str">
        <f>LOOKUP(A339, NPCs!A:A, NPCs!C:C)</f>
        <v>Lady Slither</v>
      </c>
      <c r="G339" s="1" t="str">
        <f>LOOKUP(B339, Items!A:A, Items!C:C)</f>
        <v>Broken Key</v>
      </c>
    </row>
    <row r="340" ht="15.75" customHeight="1">
      <c r="A340" s="1">
        <v>82.0</v>
      </c>
      <c r="B340" s="1">
        <v>286.0</v>
      </c>
      <c r="C340" s="1">
        <v>1.0</v>
      </c>
      <c r="D340" s="1">
        <v>10.0</v>
      </c>
      <c r="F340" s="1" t="str">
        <f>LOOKUP(A340, NPCs!A:A, NPCs!C:C)</f>
        <v>Sir Insidious</v>
      </c>
      <c r="G340" s="1" t="str">
        <f>LOOKUP(B340, Items!A:A, Items!C:C)</f>
        <v>Snake Helm</v>
      </c>
    </row>
    <row r="341" ht="15.75" customHeight="1">
      <c r="A341" s="1">
        <v>82.0</v>
      </c>
      <c r="B341" s="1">
        <v>304.0</v>
      </c>
      <c r="C341" s="1">
        <v>1.0</v>
      </c>
      <c r="D341" s="1">
        <v>20.0</v>
      </c>
      <c r="F341" s="1" t="str">
        <f>LOOKUP(A341, NPCs!A:A, NPCs!C:C)</f>
        <v>Sir Insidious</v>
      </c>
      <c r="G341" s="1" t="str">
        <f>LOOKUP(B341, Items!A:A, Items!C:C)</f>
        <v>Bracelet of Fire</v>
      </c>
    </row>
    <row r="342" ht="15.75" customHeight="1">
      <c r="A342" s="1">
        <v>82.0</v>
      </c>
      <c r="B342" s="1">
        <v>305.0</v>
      </c>
      <c r="C342" s="1">
        <v>1.0</v>
      </c>
      <c r="D342" s="1">
        <v>20.0</v>
      </c>
      <c r="F342" s="1" t="str">
        <f>LOOKUP(A342, NPCs!A:A, NPCs!C:C)</f>
        <v>Sir Insidious</v>
      </c>
      <c r="G342" s="1" t="str">
        <f>LOOKUP(B342, Items!A:A, Items!C:C)</f>
        <v>Bracelet of Earth</v>
      </c>
    </row>
    <row r="343" ht="15.75" customHeight="1">
      <c r="A343" s="1">
        <v>82.0</v>
      </c>
      <c r="B343" s="1">
        <v>306.0</v>
      </c>
      <c r="C343" s="1">
        <v>1.0</v>
      </c>
      <c r="D343" s="1">
        <v>20.0</v>
      </c>
      <c r="F343" s="1" t="str">
        <f>LOOKUP(A343, NPCs!A:A, NPCs!C:C)</f>
        <v>Sir Insidious</v>
      </c>
      <c r="G343" s="1" t="str">
        <f>LOOKUP(B343, Items!A:A, Items!C:C)</f>
        <v>Bracelet of Air</v>
      </c>
    </row>
    <row r="344" ht="15.75" customHeight="1">
      <c r="A344" s="1">
        <v>82.0</v>
      </c>
      <c r="B344" s="1">
        <v>307.0</v>
      </c>
      <c r="C344" s="1">
        <v>1.0</v>
      </c>
      <c r="D344" s="1">
        <v>20.0</v>
      </c>
      <c r="F344" s="1" t="str">
        <f>LOOKUP(A344, NPCs!A:A, NPCs!C:C)</f>
        <v>Sir Insidious</v>
      </c>
      <c r="G344" s="1" t="str">
        <f>LOOKUP(B344, Items!A:A, Items!C:C)</f>
        <v>Bracelet of Water</v>
      </c>
    </row>
    <row r="345" ht="15.75" customHeight="1">
      <c r="A345" s="1">
        <v>82.0</v>
      </c>
      <c r="B345" s="1">
        <v>308.0</v>
      </c>
      <c r="C345" s="1">
        <v>1.0</v>
      </c>
      <c r="D345" s="1">
        <v>20.0</v>
      </c>
      <c r="F345" s="1" t="str">
        <f>LOOKUP(A345, NPCs!A:A, NPCs!C:C)</f>
        <v>Sir Insidious</v>
      </c>
      <c r="G345" s="1" t="str">
        <f>LOOKUP(B345, Items!A:A, Items!C:C)</f>
        <v>Bracelet of Spirit</v>
      </c>
    </row>
    <row r="346" ht="15.75" customHeight="1">
      <c r="A346" s="1">
        <v>82.0</v>
      </c>
      <c r="B346" s="1">
        <v>442.0</v>
      </c>
      <c r="C346" s="1">
        <v>1.0</v>
      </c>
      <c r="D346" s="1">
        <v>5.0</v>
      </c>
      <c r="F346" s="1" t="str">
        <f>LOOKUP(A346, NPCs!A:A, NPCs!C:C)</f>
        <v>Sir Insidious</v>
      </c>
      <c r="G346" s="1" t="str">
        <f>LOOKUP(B346, Items!A:A, Items!C:C)</f>
        <v>Wrapping Paper</v>
      </c>
    </row>
    <row r="347" ht="15.75" customHeight="1">
      <c r="A347" s="1">
        <v>82.0</v>
      </c>
      <c r="B347" s="1">
        <v>512.0</v>
      </c>
      <c r="C347" s="1">
        <v>1.0</v>
      </c>
      <c r="D347" s="1">
        <v>20.0</v>
      </c>
      <c r="F347" s="1" t="str">
        <f>LOOKUP(A347, NPCs!A:A, NPCs!C:C)</f>
        <v>Sir Insidious</v>
      </c>
      <c r="G347" s="1" t="str">
        <f>LOOKUP(B347, Items!A:A, Items!C:C)</f>
        <v>Broken Key</v>
      </c>
    </row>
    <row r="348" ht="15.75" customHeight="1">
      <c r="A348" s="1">
        <v>83.0</v>
      </c>
      <c r="B348" s="1">
        <v>287.0</v>
      </c>
      <c r="C348" s="1">
        <v>1.0</v>
      </c>
      <c r="D348" s="1">
        <v>10.0</v>
      </c>
      <c r="F348" s="1" t="str">
        <f>LOOKUP(A348, NPCs!A:A, NPCs!C:C)</f>
        <v>Ztwel Tahp</v>
      </c>
      <c r="G348" s="1" t="str">
        <f>LOOKUP(B348, Items!A:A, Items!C:C)</f>
        <v>Cloak of Power</v>
      </c>
    </row>
    <row r="349" ht="15.75" customHeight="1">
      <c r="A349" s="1">
        <v>83.0</v>
      </c>
      <c r="B349" s="1">
        <v>288.0</v>
      </c>
      <c r="C349" s="1">
        <v>1.0</v>
      </c>
      <c r="D349" s="1">
        <v>10.0</v>
      </c>
      <c r="F349" s="1" t="str">
        <f>LOOKUP(A349, NPCs!A:A, NPCs!C:C)</f>
        <v>Ztwel Tahp</v>
      </c>
      <c r="G349" s="1" t="str">
        <f>LOOKUP(B349, Items!A:A, Items!C:C)</f>
        <v>Pauldrons of Power</v>
      </c>
    </row>
    <row r="350" ht="15.75" customHeight="1">
      <c r="A350" s="1">
        <v>83.0</v>
      </c>
      <c r="B350" s="1">
        <v>289.0</v>
      </c>
      <c r="C350" s="1">
        <v>1.0</v>
      </c>
      <c r="D350" s="1">
        <v>10.0</v>
      </c>
      <c r="F350" s="1" t="str">
        <f>LOOKUP(A350, NPCs!A:A, NPCs!C:C)</f>
        <v>Ztwel Tahp</v>
      </c>
      <c r="G350" s="1" t="str">
        <f>LOOKUP(B350, Items!A:A, Items!C:C)</f>
        <v>Belt of Power</v>
      </c>
    </row>
    <row r="351" ht="15.75" customHeight="1">
      <c r="A351" s="1">
        <v>109.0</v>
      </c>
      <c r="B351" s="1">
        <v>219.0</v>
      </c>
      <c r="C351" s="1">
        <v>1.0</v>
      </c>
      <c r="D351" s="1">
        <v>4.0</v>
      </c>
      <c r="F351" s="1" t="str">
        <f>LOOKUP(A351, NPCs!A:A, NPCs!C:C)</f>
        <v>Nagan Sentry</v>
      </c>
      <c r="G351" s="1" t="str">
        <f>LOOKUP(B351, Items!A:A, Items!C:C)</f>
        <v>Nagan Sword</v>
      </c>
    </row>
    <row r="352" ht="15.75" customHeight="1">
      <c r="A352" s="1">
        <v>109.0</v>
      </c>
      <c r="B352" s="1">
        <v>220.0</v>
      </c>
      <c r="C352" s="1">
        <v>1.0</v>
      </c>
      <c r="D352" s="1">
        <v>4.0</v>
      </c>
      <c r="F352" s="1" t="str">
        <f>LOOKUP(A352, NPCs!A:A, NPCs!C:C)</f>
        <v>Nagan Sentry</v>
      </c>
      <c r="G352" s="1" t="str">
        <f>LOOKUP(B352, Items!A:A, Items!C:C)</f>
        <v>Nagan Dagger</v>
      </c>
    </row>
    <row r="353" ht="15.75" customHeight="1">
      <c r="A353" s="1">
        <v>109.0</v>
      </c>
      <c r="B353" s="1">
        <v>221.0</v>
      </c>
      <c r="C353" s="1">
        <v>1.0</v>
      </c>
      <c r="D353" s="1">
        <v>4.0</v>
      </c>
      <c r="F353" s="1" t="str">
        <f>LOOKUP(A353, NPCs!A:A, NPCs!C:C)</f>
        <v>Nagan Sentry</v>
      </c>
      <c r="G353" s="1" t="str">
        <f>LOOKUP(B353, Items!A:A, Items!C:C)</f>
        <v>Nagan Stave</v>
      </c>
    </row>
    <row r="354" ht="15.75" customHeight="1">
      <c r="A354" s="1">
        <v>109.0</v>
      </c>
      <c r="B354" s="1">
        <v>58.0</v>
      </c>
      <c r="C354" s="1">
        <v>1.0</v>
      </c>
      <c r="D354" s="1">
        <v>3.0</v>
      </c>
      <c r="F354" s="1" t="str">
        <f>LOOKUP(A354, NPCs!A:A, NPCs!C:C)</f>
        <v>Nagan Sentry</v>
      </c>
      <c r="G354" s="1" t="str">
        <f>LOOKUP(B354, Items!A:A, Items!C:C)</f>
        <v>Gem of Power</v>
      </c>
    </row>
    <row r="355" ht="15.75" customHeight="1">
      <c r="A355" s="1">
        <v>110.0</v>
      </c>
      <c r="B355" s="1">
        <v>254.0</v>
      </c>
      <c r="C355" s="1">
        <v>1.0</v>
      </c>
      <c r="D355" s="1">
        <v>10.0</v>
      </c>
      <c r="F355" s="1" t="str">
        <f>LOOKUP(A355, NPCs!A:A, NPCs!C:C)</f>
        <v>Carrots</v>
      </c>
      <c r="G355" s="1" t="str">
        <f>LOOKUP(B355, Items!A:A, Items!C:C)</f>
        <v>Cold Beaten Sleeves</v>
      </c>
    </row>
    <row r="356" ht="15.75" customHeight="1">
      <c r="A356" s="1">
        <v>110.0</v>
      </c>
      <c r="B356" s="1">
        <v>256.0</v>
      </c>
      <c r="C356" s="1">
        <v>1.0</v>
      </c>
      <c r="D356" s="1">
        <v>10.0</v>
      </c>
      <c r="F356" s="1" t="str">
        <f>LOOKUP(A356, NPCs!A:A, NPCs!C:C)</f>
        <v>Carrots</v>
      </c>
      <c r="G356" s="1" t="str">
        <f>LOOKUP(B356, Items!A:A, Items!C:C)</f>
        <v>Shirt of the Fallen Loser</v>
      </c>
    </row>
    <row r="357" ht="15.75" customHeight="1">
      <c r="A357" s="1">
        <v>111.0</v>
      </c>
      <c r="B357" s="1">
        <v>255.0</v>
      </c>
      <c r="C357" s="1">
        <v>1.0</v>
      </c>
      <c r="D357" s="1">
        <v>10.0</v>
      </c>
      <c r="F357" s="1" t="str">
        <f>LOOKUP(A357, NPCs!A:A, NPCs!C:C)</f>
        <v>Fluffzilla</v>
      </c>
      <c r="G357" s="1" t="str">
        <f>LOOKUP(B357, Items!A:A, Items!C:C)</f>
        <v>Spiked Belt of the Bunny</v>
      </c>
    </row>
    <row r="358" ht="15.75" customHeight="1">
      <c r="A358" s="1">
        <v>111.0</v>
      </c>
      <c r="B358" s="1">
        <v>262.0</v>
      </c>
      <c r="C358" s="1">
        <v>1.0</v>
      </c>
      <c r="D358" s="1">
        <v>10.0</v>
      </c>
      <c r="F358" s="1" t="str">
        <f>LOOKUP(A358, NPCs!A:A, NPCs!C:C)</f>
        <v>Fluffzilla</v>
      </c>
      <c r="G358" s="1" t="str">
        <f>LOOKUP(B358, Items!A:A, Items!C:C)</f>
        <v>Lesser Essence of Earth</v>
      </c>
    </row>
    <row r="359" ht="15.75" customHeight="1">
      <c r="A359" s="1">
        <v>53.0</v>
      </c>
      <c r="B359" s="1">
        <v>267.0</v>
      </c>
      <c r="C359" s="1">
        <v>1.0</v>
      </c>
      <c r="D359" s="1">
        <v>4.0</v>
      </c>
      <c r="F359" s="1" t="str">
        <f>LOOKUP(A359, NPCs!A:A, NPCs!C:C)</f>
        <v>Udyana</v>
      </c>
      <c r="G359" s="1" t="str">
        <f>LOOKUP(B359, Items!A:A, Items!C:C)</f>
        <v>Unadorned Coral</v>
      </c>
    </row>
    <row r="360" ht="15.75" customHeight="1">
      <c r="A360" s="1">
        <v>53.0</v>
      </c>
      <c r="B360" s="1">
        <v>58.0</v>
      </c>
      <c r="C360" s="1">
        <v>1.0</v>
      </c>
      <c r="D360" s="1">
        <v>4.0</v>
      </c>
      <c r="F360" s="1" t="str">
        <f>LOOKUP(A360, NPCs!A:A, NPCs!C:C)</f>
        <v>Udyana</v>
      </c>
      <c r="G360" s="1" t="str">
        <f>LOOKUP(B360, Items!A:A, Items!C:C)</f>
        <v>Gem of Power</v>
      </c>
    </row>
    <row r="361" ht="15.75" customHeight="1">
      <c r="A361" s="1">
        <v>37.0</v>
      </c>
      <c r="B361" s="1">
        <v>267.0</v>
      </c>
      <c r="C361" s="1">
        <v>1.0</v>
      </c>
      <c r="D361" s="1">
        <v>2.0</v>
      </c>
      <c r="F361" s="1" t="str">
        <f>LOOKUP(A361, NPCs!A:A, NPCs!C:C)</f>
        <v>Sergeant Persecution</v>
      </c>
      <c r="G361" s="1" t="str">
        <f>LOOKUP(B361, Items!A:A, Items!C:C)</f>
        <v>Unadorned Coral</v>
      </c>
    </row>
    <row r="362" ht="15.75" customHeight="1">
      <c r="A362" s="1">
        <v>54.0</v>
      </c>
      <c r="B362" s="1">
        <v>267.0</v>
      </c>
      <c r="C362" s="1">
        <v>1.0</v>
      </c>
      <c r="D362" s="1">
        <v>4.0</v>
      </c>
      <c r="F362" s="1" t="str">
        <f>LOOKUP(A362, NPCs!A:A, NPCs!C:C)</f>
        <v>Complex</v>
      </c>
      <c r="G362" s="1" t="str">
        <f>LOOKUP(B362, Items!A:A, Items!C:C)</f>
        <v>Unadorned Coral</v>
      </c>
    </row>
    <row r="363" ht="15.75" customHeight="1">
      <c r="A363" s="1">
        <v>54.0</v>
      </c>
      <c r="B363" s="1">
        <v>58.0</v>
      </c>
      <c r="C363" s="1">
        <v>1.0</v>
      </c>
      <c r="D363" s="1">
        <v>4.0</v>
      </c>
      <c r="F363" s="1" t="str">
        <f>LOOKUP(A363, NPCs!A:A, NPCs!C:C)</f>
        <v>Complex</v>
      </c>
      <c r="G363" s="1" t="str">
        <f>LOOKUP(B363, Items!A:A, Items!C:C)</f>
        <v>Gem of Power</v>
      </c>
    </row>
    <row r="364" ht="15.75" customHeight="1">
      <c r="A364" s="1">
        <v>115.0</v>
      </c>
      <c r="B364" s="1">
        <v>202.0</v>
      </c>
      <c r="C364" s="1">
        <v>1.0</v>
      </c>
      <c r="D364" s="1">
        <v>2.0</v>
      </c>
      <c r="F364" s="1" t="str">
        <f>LOOKUP(A364, NPCs!A:A, NPCs!C:C)</f>
        <v>Unloved</v>
      </c>
      <c r="G364" s="1" t="str">
        <f>LOOKUP(B364, Items!A:A, Items!C:C)</f>
        <v>Bastard Sword</v>
      </c>
    </row>
    <row r="365" ht="15.75" customHeight="1">
      <c r="A365" s="1">
        <v>115.0</v>
      </c>
      <c r="B365" s="1">
        <v>203.0</v>
      </c>
      <c r="C365" s="1">
        <v>1.0</v>
      </c>
      <c r="D365" s="1">
        <v>2.0</v>
      </c>
      <c r="F365" s="1" t="str">
        <f>LOOKUP(A365, NPCs!A:A, NPCs!C:C)</f>
        <v>Unloved</v>
      </c>
      <c r="G365" s="1" t="str">
        <f>LOOKUP(B365, Items!A:A, Items!C:C)</f>
        <v>Brilliant Hammer</v>
      </c>
    </row>
    <row r="366" ht="15.75" customHeight="1">
      <c r="A366" s="1">
        <v>115.0</v>
      </c>
      <c r="B366" s="1">
        <v>211.0</v>
      </c>
      <c r="C366" s="1">
        <v>1.0</v>
      </c>
      <c r="D366" s="1">
        <v>2.0</v>
      </c>
      <c r="F366" s="1" t="str">
        <f>LOOKUP(A366, NPCs!A:A, NPCs!C:C)</f>
        <v>Unloved</v>
      </c>
      <c r="G366" s="1" t="str">
        <f>LOOKUP(B366, Items!A:A, Items!C:C)</f>
        <v>Malignant Dagger</v>
      </c>
    </row>
    <row r="367" ht="15.75" customHeight="1">
      <c r="A367" s="1">
        <v>115.0</v>
      </c>
      <c r="B367" s="1">
        <v>215.0</v>
      </c>
      <c r="C367" s="1">
        <v>1.0</v>
      </c>
      <c r="D367" s="1">
        <v>2.0</v>
      </c>
      <c r="F367" s="1" t="str">
        <f>LOOKUP(A367, NPCs!A:A, NPCs!C:C)</f>
        <v>Unloved</v>
      </c>
      <c r="G367" s="1" t="str">
        <f>LOOKUP(B367, Items!A:A, Items!C:C)</f>
        <v>Thicket Stave</v>
      </c>
    </row>
    <row r="368" ht="15.75" customHeight="1">
      <c r="A368" s="1">
        <v>116.0</v>
      </c>
      <c r="B368" s="1">
        <v>137.0</v>
      </c>
      <c r="C368" s="1">
        <v>1.0</v>
      </c>
      <c r="D368" s="1">
        <v>5.0</v>
      </c>
      <c r="F368" s="1" t="str">
        <f>LOOKUP(A368, NPCs!A:A, NPCs!C:C)</f>
        <v>Nibbles</v>
      </c>
      <c r="G368" s="1" t="str">
        <f>LOOKUP(B368, Items!A:A, Items!C:C)</f>
        <v>Bracelet of Valiance</v>
      </c>
    </row>
    <row r="369" ht="15.75" customHeight="1">
      <c r="A369" s="1">
        <v>116.0</v>
      </c>
      <c r="B369" s="1">
        <v>144.0</v>
      </c>
      <c r="C369" s="1">
        <v>1.0</v>
      </c>
      <c r="D369" s="1">
        <v>5.0</v>
      </c>
      <c r="F369" s="1" t="str">
        <f>LOOKUP(A369, NPCs!A:A, NPCs!C:C)</f>
        <v>Nibbles</v>
      </c>
      <c r="G369" s="1" t="str">
        <f>LOOKUP(B369, Items!A:A, Items!C:C)</f>
        <v>Ring of Valiance</v>
      </c>
    </row>
    <row r="370" ht="15.75" customHeight="1">
      <c r="A370" s="1">
        <v>118.0</v>
      </c>
      <c r="B370" s="1">
        <v>373.0</v>
      </c>
      <c r="C370" s="1">
        <v>1.0</v>
      </c>
      <c r="D370" s="1">
        <v>5.0</v>
      </c>
      <c r="F370" s="1" t="str">
        <f>LOOKUP(A370, NPCs!A:A, NPCs!C:C)</f>
        <v>Nibbles II</v>
      </c>
      <c r="G370" s="1" t="str">
        <f>LOOKUP(B370, Items!A:A, Items!C:C)</f>
        <v>Valiant Helmet</v>
      </c>
    </row>
    <row r="371" ht="15.75" customHeight="1">
      <c r="A371" s="1">
        <v>118.0</v>
      </c>
      <c r="B371" s="1">
        <v>374.0</v>
      </c>
      <c r="C371" s="1">
        <v>1.0</v>
      </c>
      <c r="D371" s="1">
        <v>5.0</v>
      </c>
      <c r="F371" s="1" t="str">
        <f>LOOKUP(A371, NPCs!A:A, NPCs!C:C)</f>
        <v>Nibbles II</v>
      </c>
      <c r="G371" s="1" t="str">
        <f>LOOKUP(B371, Items!A:A, Items!C:C)</f>
        <v>Valiant Chestplate</v>
      </c>
    </row>
    <row r="372" ht="15.75" customHeight="1">
      <c r="A372" s="1">
        <v>118.0</v>
      </c>
      <c r="B372" s="1">
        <v>375.0</v>
      </c>
      <c r="C372" s="1">
        <v>1.0</v>
      </c>
      <c r="D372" s="1">
        <v>5.0</v>
      </c>
      <c r="F372" s="1" t="str">
        <f>LOOKUP(A372, NPCs!A:A, NPCs!C:C)</f>
        <v>Nibbles II</v>
      </c>
      <c r="G372" s="1" t="str">
        <f>LOOKUP(B372, Items!A:A, Items!C:C)</f>
        <v>Valiant Legplates</v>
      </c>
    </row>
    <row r="373" ht="15.75" customHeight="1">
      <c r="A373" s="1">
        <v>118.0</v>
      </c>
      <c r="B373" s="1">
        <v>376.0</v>
      </c>
      <c r="C373" s="1">
        <v>1.0</v>
      </c>
      <c r="D373" s="1">
        <v>5.0</v>
      </c>
      <c r="F373" s="1" t="str">
        <f>LOOKUP(A373, NPCs!A:A, NPCs!C:C)</f>
        <v>Nibbles II</v>
      </c>
      <c r="G373" s="1" t="str">
        <f>LOOKUP(B373, Items!A:A, Items!C:C)</f>
        <v>Valiant Boots</v>
      </c>
    </row>
    <row r="374" ht="15.75" customHeight="1">
      <c r="A374" s="1">
        <v>118.0</v>
      </c>
      <c r="B374" s="1">
        <v>377.0</v>
      </c>
      <c r="C374" s="1">
        <v>1.0</v>
      </c>
      <c r="D374" s="1">
        <v>5.0</v>
      </c>
      <c r="F374" s="1" t="str">
        <f>LOOKUP(A374, NPCs!A:A, NPCs!C:C)</f>
        <v>Nibbles II</v>
      </c>
      <c r="G374" s="1" t="str">
        <f>LOOKUP(B374, Items!A:A, Items!C:C)</f>
        <v>Valiant Cap</v>
      </c>
    </row>
    <row r="375" ht="15.75" customHeight="1">
      <c r="A375" s="1">
        <v>118.0</v>
      </c>
      <c r="B375" s="1">
        <v>378.0</v>
      </c>
      <c r="C375" s="1">
        <v>1.0</v>
      </c>
      <c r="D375" s="1">
        <v>5.0</v>
      </c>
      <c r="F375" s="1" t="str">
        <f>LOOKUP(A375, NPCs!A:A, NPCs!C:C)</f>
        <v>Nibbles II</v>
      </c>
      <c r="G375" s="1" t="str">
        <f>LOOKUP(B375, Items!A:A, Items!C:C)</f>
        <v>Valiant Robes</v>
      </c>
    </row>
    <row r="376" ht="15.75" customHeight="1">
      <c r="A376" s="1">
        <v>118.0</v>
      </c>
      <c r="B376" s="1">
        <v>379.0</v>
      </c>
      <c r="C376" s="1">
        <v>1.0</v>
      </c>
      <c r="D376" s="1">
        <v>5.0</v>
      </c>
      <c r="F376" s="1" t="str">
        <f>LOOKUP(A376, NPCs!A:A, NPCs!C:C)</f>
        <v>Nibbles II</v>
      </c>
      <c r="G376" s="1" t="str">
        <f>LOOKUP(B376, Items!A:A, Items!C:C)</f>
        <v>Valiant Mesh</v>
      </c>
    </row>
    <row r="377" ht="15.75" customHeight="1">
      <c r="A377" s="1">
        <v>118.0</v>
      </c>
      <c r="B377" s="1">
        <v>380.0</v>
      </c>
      <c r="C377" s="1">
        <v>1.0</v>
      </c>
      <c r="D377" s="1">
        <v>5.0</v>
      </c>
      <c r="F377" s="1" t="str">
        <f>LOOKUP(A377, NPCs!A:A, NPCs!C:C)</f>
        <v>Nibbles II</v>
      </c>
      <c r="G377" s="1" t="str">
        <f>LOOKUP(B377, Items!A:A, Items!C:C)</f>
        <v>Valiant Stealth</v>
      </c>
    </row>
    <row r="378" ht="15.75" customHeight="1">
      <c r="A378" s="1">
        <v>135.0</v>
      </c>
      <c r="B378" s="1">
        <v>104.0</v>
      </c>
      <c r="C378" s="1">
        <v>1.0</v>
      </c>
      <c r="D378" s="1">
        <v>8.0</v>
      </c>
      <c r="F378" s="1" t="str">
        <f>LOOKUP(A378, NPCs!A:A, NPCs!C:C)</f>
        <v>Cranky Ewe</v>
      </c>
      <c r="G378" s="1" t="str">
        <f>LOOKUP(B378, Items!A:A, Items!C:C)</f>
        <v>True Ewe</v>
      </c>
    </row>
    <row r="379" ht="15.75" customHeight="1">
      <c r="A379" s="1">
        <v>136.0</v>
      </c>
      <c r="B379" s="1">
        <v>132.0</v>
      </c>
      <c r="C379" s="1">
        <v>1.0</v>
      </c>
      <c r="D379" s="1">
        <v>8.0</v>
      </c>
      <c r="F379" s="1" t="str">
        <f>LOOKUP(A379, NPCs!A:A, NPCs!C:C)</f>
        <v>Frantic Monkey</v>
      </c>
      <c r="G379" s="1" t="str">
        <f>LOOKUP(B379, Items!A:A, Items!C:C)</f>
        <v>Slippers of the Poo Flinger</v>
      </c>
    </row>
    <row r="380" ht="15.75" customHeight="1">
      <c r="A380" s="1">
        <v>136.0</v>
      </c>
      <c r="B380" s="1">
        <v>140.0</v>
      </c>
      <c r="C380" s="1">
        <v>1.0</v>
      </c>
      <c r="D380" s="1">
        <v>8.0</v>
      </c>
      <c r="F380" s="1" t="str">
        <f>LOOKUP(A380, NPCs!A:A, NPCs!C:C)</f>
        <v>Frantic Monkey</v>
      </c>
      <c r="G380" s="1" t="str">
        <f>LOOKUP(B380, Items!A:A, Items!C:C)</f>
        <v>Gloves of the Poo Flinger</v>
      </c>
    </row>
    <row r="381" ht="15.75" customHeight="1">
      <c r="A381" s="1">
        <v>136.0</v>
      </c>
      <c r="B381" s="1">
        <v>161.0</v>
      </c>
      <c r="C381" s="1">
        <v>1.0</v>
      </c>
      <c r="D381" s="1">
        <v>8.0</v>
      </c>
      <c r="F381" s="1" t="str">
        <f>LOOKUP(A381, NPCs!A:A, NPCs!C:C)</f>
        <v>Frantic Monkey</v>
      </c>
      <c r="G381" s="1" t="str">
        <f>LOOKUP(B381, Items!A:A, Items!C:C)</f>
        <v>Tunic of the Poo Flinger</v>
      </c>
    </row>
    <row r="382" ht="15.75" customHeight="1">
      <c r="A382" s="1">
        <v>136.0</v>
      </c>
      <c r="B382" s="1">
        <v>163.0</v>
      </c>
      <c r="C382" s="1">
        <v>1.0</v>
      </c>
      <c r="D382" s="1">
        <v>8.0</v>
      </c>
      <c r="F382" s="1" t="str">
        <f>LOOKUP(A382, NPCs!A:A, NPCs!C:C)</f>
        <v>Frantic Monkey</v>
      </c>
      <c r="G382" s="1" t="str">
        <f>LOOKUP(B382, Items!A:A, Items!C:C)</f>
        <v>Leggings of the Poo Flinger</v>
      </c>
    </row>
    <row r="383" ht="15.75" customHeight="1">
      <c r="A383" s="1">
        <v>123.0</v>
      </c>
      <c r="B383" s="1">
        <v>319.0</v>
      </c>
      <c r="C383" s="1">
        <v>1.0</v>
      </c>
      <c r="D383" s="1">
        <v>5.0</v>
      </c>
      <c r="F383" s="1" t="str">
        <f>LOOKUP(A383, NPCs!A:A, NPCs!C:C)</f>
        <v>Ancient Defender</v>
      </c>
      <c r="G383" s="1" t="str">
        <f>LOOKUP(B383, Items!A:A, Items!C:C)</f>
        <v>Scroll: Ancient Buffiness</v>
      </c>
    </row>
    <row r="384" ht="15.75" customHeight="1">
      <c r="A384" s="1">
        <v>123.0</v>
      </c>
      <c r="B384" s="1">
        <v>413.0</v>
      </c>
      <c r="C384" s="1">
        <v>1.0</v>
      </c>
      <c r="D384" s="1">
        <v>5.0</v>
      </c>
      <c r="F384" s="1" t="str">
        <f>LOOKUP(A384, NPCs!A:A, NPCs!C:C)</f>
        <v>Ancient Defender</v>
      </c>
      <c r="G384" s="1" t="str">
        <f>LOOKUP(B384, Items!A:A, Items!C:C)</f>
        <v>Scroll: Ancient Bellow</v>
      </c>
    </row>
    <row r="385" ht="15.75" customHeight="1">
      <c r="A385" s="1">
        <v>123.0</v>
      </c>
      <c r="B385" s="1">
        <v>473.0</v>
      </c>
      <c r="C385" s="1">
        <v>1.0</v>
      </c>
      <c r="D385" s="1">
        <v>5.0</v>
      </c>
      <c r="F385" s="1" t="str">
        <f>LOOKUP(A385, NPCs!A:A, NPCs!C:C)</f>
        <v>Ancient Defender</v>
      </c>
      <c r="G385" s="1" t="str">
        <f>LOOKUP(B385, Items!A:A, Items!C:C)</f>
        <v>Scroll: Ancient Group Healing</v>
      </c>
    </row>
    <row r="386" ht="15.75" customHeight="1">
      <c r="A386" s="1">
        <v>123.0</v>
      </c>
      <c r="B386" s="1">
        <v>474.0</v>
      </c>
      <c r="C386" s="1">
        <v>1.0</v>
      </c>
      <c r="D386" s="1">
        <v>5.0</v>
      </c>
      <c r="F386" s="1" t="str">
        <f>LOOKUP(A386, NPCs!A:A, NPCs!C:C)</f>
        <v>Ancient Defender</v>
      </c>
      <c r="G386" s="1" t="str">
        <f>LOOKUP(B386, Items!A:A, Items!C:C)</f>
        <v>Scroll: Ancient Group Damage</v>
      </c>
    </row>
    <row r="387" ht="15.75" customHeight="1">
      <c r="A387" s="1">
        <v>123.0</v>
      </c>
      <c r="B387" s="1">
        <v>421.0</v>
      </c>
      <c r="C387" s="1">
        <v>1.0</v>
      </c>
      <c r="D387" s="1">
        <v>5.0</v>
      </c>
      <c r="F387" s="1" t="str">
        <f>LOOKUP(A387, NPCs!A:A, NPCs!C:C)</f>
        <v>Ancient Defender</v>
      </c>
      <c r="G387" s="1" t="str">
        <f>LOOKUP(B387, Items!A:A, Items!C:C)</f>
        <v>Teleport: Ancients Dungeon</v>
      </c>
    </row>
    <row r="388" ht="15.75" customHeight="1">
      <c r="A388" s="1">
        <v>123.0</v>
      </c>
      <c r="B388" s="1">
        <v>58.0</v>
      </c>
      <c r="C388" s="1">
        <v>1.0</v>
      </c>
      <c r="D388" s="1">
        <v>2.0</v>
      </c>
      <c r="F388" s="1" t="str">
        <f>LOOKUP(A388, NPCs!A:A, NPCs!C:C)</f>
        <v>Ancient Defender</v>
      </c>
      <c r="G388" s="1" t="str">
        <f>LOOKUP(B388, Items!A:A, Items!C:C)</f>
        <v>Gem of Power</v>
      </c>
    </row>
    <row r="389" ht="15.75" customHeight="1">
      <c r="A389" s="1">
        <v>124.0</v>
      </c>
      <c r="B389" s="1">
        <v>414.0</v>
      </c>
      <c r="C389" s="1">
        <v>1.0</v>
      </c>
      <c r="D389" s="1">
        <v>5.0</v>
      </c>
      <c r="F389" s="1" t="str">
        <f>LOOKUP(A389, NPCs!A:A, NPCs!C:C)</f>
        <v>Ancient Guard</v>
      </c>
      <c r="G389" s="1" t="str">
        <f>LOOKUP(B389, Items!A:A, Items!C:C)</f>
        <v>Rune: Ancient Awe</v>
      </c>
    </row>
    <row r="390" ht="15.75" customHeight="1">
      <c r="A390" s="1">
        <v>143.0</v>
      </c>
      <c r="B390" s="1">
        <v>414.0</v>
      </c>
      <c r="C390" s="1">
        <v>1.0</v>
      </c>
      <c r="D390" s="1">
        <v>5.0</v>
      </c>
      <c r="F390" s="1" t="str">
        <f>LOOKUP(A390, NPCs!A:A, NPCs!C:C)</f>
        <v>Ancient Guard</v>
      </c>
      <c r="G390" s="1" t="str">
        <f>LOOKUP(B390, Items!A:A, Items!C:C)</f>
        <v>Rune: Ancient Awe</v>
      </c>
    </row>
    <row r="391" ht="15.75" customHeight="1">
      <c r="A391" s="1">
        <v>124.0</v>
      </c>
      <c r="B391" s="1">
        <v>415.0</v>
      </c>
      <c r="C391" s="1">
        <v>1.0</v>
      </c>
      <c r="D391" s="1">
        <v>5.0</v>
      </c>
      <c r="F391" s="1" t="str">
        <f>LOOKUP(A391, NPCs!A:A, NPCs!C:C)</f>
        <v>Ancient Guard</v>
      </c>
      <c r="G391" s="1" t="str">
        <f>LOOKUP(B391, Items!A:A, Items!C:C)</f>
        <v>Rune: Ancient Conflagration</v>
      </c>
    </row>
    <row r="392" ht="15.75" customHeight="1">
      <c r="A392" s="1">
        <v>143.0</v>
      </c>
      <c r="B392" s="1">
        <v>415.0</v>
      </c>
      <c r="C392" s="1">
        <v>1.0</v>
      </c>
      <c r="D392" s="1">
        <v>5.0</v>
      </c>
      <c r="F392" s="1" t="str">
        <f>LOOKUP(A392, NPCs!A:A, NPCs!C:C)</f>
        <v>Ancient Guard</v>
      </c>
      <c r="G392" s="1" t="str">
        <f>LOOKUP(B392, Items!A:A, Items!C:C)</f>
        <v>Rune: Ancient Conflagration</v>
      </c>
    </row>
    <row r="393" ht="15.75" customHeight="1">
      <c r="A393" s="1">
        <v>124.0</v>
      </c>
      <c r="B393" s="1">
        <v>416.0</v>
      </c>
      <c r="C393" s="1">
        <v>1.0</v>
      </c>
      <c r="D393" s="1">
        <v>5.0</v>
      </c>
      <c r="F393" s="1" t="str">
        <f>LOOKUP(A393, NPCs!A:A, NPCs!C:C)</f>
        <v>Ancient Guard</v>
      </c>
      <c r="G393" s="1" t="str">
        <f>LOOKUP(B393, Items!A:A, Items!C:C)</f>
        <v>Rune: Ancient Death</v>
      </c>
    </row>
    <row r="394" ht="15.75" customHeight="1">
      <c r="A394" s="1">
        <v>143.0</v>
      </c>
      <c r="B394" s="1">
        <v>416.0</v>
      </c>
      <c r="C394" s="1">
        <v>1.0</v>
      </c>
      <c r="D394" s="1">
        <v>5.0</v>
      </c>
      <c r="F394" s="1" t="str">
        <f>LOOKUP(A394, NPCs!A:A, NPCs!C:C)</f>
        <v>Ancient Guard</v>
      </c>
      <c r="G394" s="1" t="str">
        <f>LOOKUP(B394, Items!A:A, Items!C:C)</f>
        <v>Rune: Ancient Death</v>
      </c>
    </row>
    <row r="395" ht="15.75" customHeight="1">
      <c r="A395" s="1">
        <v>124.0</v>
      </c>
      <c r="B395" s="1">
        <v>419.0</v>
      </c>
      <c r="C395" s="1">
        <v>1.0</v>
      </c>
      <c r="D395" s="1">
        <v>5.0</v>
      </c>
      <c r="F395" s="1" t="str">
        <f>LOOKUP(A395, NPCs!A:A, NPCs!C:C)</f>
        <v>Ancient Guard</v>
      </c>
      <c r="G395" s="1" t="str">
        <f>LOOKUP(B395, Items!A:A, Items!C:C)</f>
        <v>Rune: Ancient Blessings</v>
      </c>
    </row>
    <row r="396" ht="15.75" customHeight="1">
      <c r="A396" s="1">
        <v>143.0</v>
      </c>
      <c r="B396" s="1">
        <v>419.0</v>
      </c>
      <c r="C396" s="1">
        <v>1.0</v>
      </c>
      <c r="D396" s="1">
        <v>5.0</v>
      </c>
      <c r="F396" s="1" t="str">
        <f>LOOKUP(A396, NPCs!A:A, NPCs!C:C)</f>
        <v>Ancient Guard</v>
      </c>
      <c r="G396" s="1" t="str">
        <f>LOOKUP(B396, Items!A:A, Items!C:C)</f>
        <v>Rune: Ancient Blessings</v>
      </c>
    </row>
    <row r="397" ht="15.75" customHeight="1">
      <c r="A397" s="1">
        <v>126.0</v>
      </c>
      <c r="B397" s="1">
        <v>397.0</v>
      </c>
      <c r="C397" s="1">
        <v>1.0</v>
      </c>
      <c r="D397" s="1">
        <v>10.0</v>
      </c>
      <c r="F397" s="1" t="str">
        <f>LOOKUP(A397, NPCs!A:A, NPCs!C:C)</f>
        <v>General Mehoff</v>
      </c>
      <c r="G397" s="1" t="str">
        <f>LOOKUP(B397, Items!A:A, Items!C:C)</f>
        <v>Design: Divine Crown</v>
      </c>
    </row>
    <row r="398" ht="15.75" customHeight="1">
      <c r="A398" s="1">
        <v>126.0</v>
      </c>
      <c r="B398" s="1">
        <v>398.0</v>
      </c>
      <c r="C398" s="1">
        <v>1.0</v>
      </c>
      <c r="D398" s="1">
        <v>10.0</v>
      </c>
      <c r="F398" s="1" t="str">
        <f>LOOKUP(A398, NPCs!A:A, NPCs!C:C)</f>
        <v>General Mehoff</v>
      </c>
      <c r="G398" s="1" t="str">
        <f>LOOKUP(B398, Items!A:A, Items!C:C)</f>
        <v>Mold: Divine Helm</v>
      </c>
    </row>
    <row r="399" ht="15.75" customHeight="1">
      <c r="A399" s="1">
        <v>126.0</v>
      </c>
      <c r="B399" s="1">
        <v>514.0</v>
      </c>
      <c r="C399" s="1">
        <v>1.0</v>
      </c>
      <c r="D399" s="1">
        <v>20.0</v>
      </c>
      <c r="F399" s="1" t="str">
        <f>LOOKUP(A399, NPCs!A:A, NPCs!C:C)</f>
        <v>General Mehoff</v>
      </c>
      <c r="G399" s="1" t="str">
        <f>LOOKUP(B399, Items!A:A, Items!C:C)</f>
        <v>Broken Key</v>
      </c>
    </row>
    <row r="400" ht="15.75" customHeight="1">
      <c r="A400" s="1">
        <v>138.0</v>
      </c>
      <c r="B400" s="1">
        <v>395.0</v>
      </c>
      <c r="C400" s="1">
        <v>1.0</v>
      </c>
      <c r="D400" s="1">
        <v>5.0</v>
      </c>
      <c r="F400" s="1" t="str">
        <f>LOOKUP(A400, NPCs!A:A, NPCs!C:C)</f>
        <v>Ancient Sentinel</v>
      </c>
      <c r="G400" s="1" t="str">
        <f>LOOKUP(B400, Items!A:A, Items!C:C)</f>
        <v>Design: Ancient Slippers</v>
      </c>
    </row>
    <row r="401" ht="15.75" customHeight="1">
      <c r="A401" s="1">
        <v>138.0</v>
      </c>
      <c r="B401" s="1">
        <v>396.0</v>
      </c>
      <c r="C401" s="1">
        <v>1.0</v>
      </c>
      <c r="D401" s="1">
        <v>5.0</v>
      </c>
      <c r="F401" s="1" t="str">
        <f>LOOKUP(A401, NPCs!A:A, NPCs!C:C)</f>
        <v>Ancient Sentinel</v>
      </c>
      <c r="G401" s="1" t="str">
        <f>LOOKUP(B401, Items!A:A, Items!C:C)</f>
        <v>Mold: Ancient Boots</v>
      </c>
    </row>
    <row r="402" ht="15.75" customHeight="1">
      <c r="A402" s="1">
        <v>139.0</v>
      </c>
      <c r="B402" s="1">
        <v>399.0</v>
      </c>
      <c r="C402" s="1">
        <v>1.0</v>
      </c>
      <c r="D402" s="1">
        <v>10.0</v>
      </c>
      <c r="F402" s="1" t="str">
        <f>LOOKUP(A402, NPCs!A:A, NPCs!C:C)</f>
        <v>General Vor Chez</v>
      </c>
      <c r="G402" s="1" t="str">
        <f>LOOKUP(B402, Items!A:A, Items!C:C)</f>
        <v>Dagger of Contemption</v>
      </c>
    </row>
    <row r="403" ht="15.75" customHeight="1">
      <c r="A403" s="1">
        <v>139.0</v>
      </c>
      <c r="B403" s="1">
        <v>400.0</v>
      </c>
      <c r="C403" s="1">
        <v>1.0</v>
      </c>
      <c r="D403" s="1">
        <v>10.0</v>
      </c>
      <c r="F403" s="1" t="str">
        <f>LOOKUP(A403, NPCs!A:A, NPCs!C:C)</f>
        <v>General Vor Chez</v>
      </c>
      <c r="G403" s="1" t="str">
        <f>LOOKUP(B403, Items!A:A, Items!C:C)</f>
        <v>Ward of Destruction</v>
      </c>
    </row>
    <row r="404" ht="15.75" customHeight="1">
      <c r="A404" s="1">
        <v>139.0</v>
      </c>
      <c r="B404" s="1">
        <v>514.0</v>
      </c>
      <c r="C404" s="1">
        <v>1.0</v>
      </c>
      <c r="D404" s="1">
        <v>20.0</v>
      </c>
      <c r="F404" s="1" t="str">
        <f>LOOKUP(A404, NPCs!A:A, NPCs!C:C)</f>
        <v>General Vor Chez</v>
      </c>
      <c r="G404" s="1" t="str">
        <f>LOOKUP(B404, Items!A:A, Items!C:C)</f>
        <v>Broken Key</v>
      </c>
    </row>
    <row r="405" ht="15.75" customHeight="1">
      <c r="A405" s="1">
        <v>140.0</v>
      </c>
      <c r="B405" s="1">
        <v>417.0</v>
      </c>
      <c r="C405" s="1">
        <v>1.0</v>
      </c>
      <c r="D405" s="1">
        <v>8.0</v>
      </c>
      <c r="F405" s="1" t="str">
        <f>LOOKUP(A405, NPCs!A:A, NPCs!C:C)</f>
        <v>Doom</v>
      </c>
      <c r="G405" s="1" t="str">
        <f>LOOKUP(B405, Items!A:A, Items!C:C)</f>
        <v>Doom Helm</v>
      </c>
    </row>
    <row r="406" ht="15.75" customHeight="1">
      <c r="A406" s="1">
        <v>140.0</v>
      </c>
      <c r="B406" s="1">
        <v>394.0</v>
      </c>
      <c r="C406" s="1">
        <v>1.0</v>
      </c>
      <c r="D406" s="1">
        <v>8.0</v>
      </c>
      <c r="F406" s="1" t="str">
        <f>LOOKUP(A406, NPCs!A:A, NPCs!C:C)</f>
        <v>Doom</v>
      </c>
      <c r="G406" s="1" t="str">
        <f>LOOKUP(B406, Items!A:A, Items!C:C)</f>
        <v>Doom Robe</v>
      </c>
    </row>
    <row r="407" ht="15.75" customHeight="1">
      <c r="A407" s="1">
        <v>140.0</v>
      </c>
      <c r="B407" s="1">
        <v>513.0</v>
      </c>
      <c r="C407" s="1">
        <v>1.0</v>
      </c>
      <c r="D407" s="1">
        <v>20.0</v>
      </c>
      <c r="F407" s="1" t="str">
        <f>LOOKUP(A407, NPCs!A:A, NPCs!C:C)</f>
        <v>Doom</v>
      </c>
      <c r="G407" s="1" t="str">
        <f>LOOKUP(B407, Items!A:A, Items!C:C)</f>
        <v>Broken Key</v>
      </c>
    </row>
    <row r="408" ht="15.75" customHeight="1">
      <c r="A408" s="1">
        <v>140.0</v>
      </c>
      <c r="B408" s="1">
        <v>513.0</v>
      </c>
      <c r="C408" s="1">
        <v>1.0</v>
      </c>
      <c r="D408" s="1">
        <v>20.0</v>
      </c>
      <c r="F408" s="1" t="str">
        <f>LOOKUP(A408, NPCs!A:A, NPCs!C:C)</f>
        <v>Doom</v>
      </c>
      <c r="G408" s="1" t="str">
        <f>LOOKUP(B408, Items!A:A, Items!C:C)</f>
        <v>Broken Key</v>
      </c>
    </row>
    <row r="409" ht="15.75" customHeight="1">
      <c r="A409" s="1">
        <v>140.0</v>
      </c>
      <c r="B409" s="1">
        <v>566.0</v>
      </c>
      <c r="C409" s="1">
        <v>1.0</v>
      </c>
      <c r="D409" s="1">
        <v>50.0</v>
      </c>
      <c r="F409" s="1" t="str">
        <f>LOOKUP(A409, NPCs!A:A, NPCs!C:C)</f>
        <v>Doom</v>
      </c>
      <c r="G409" s="1" t="str">
        <f>LOOKUP(B409, Items!A:A, Items!C:C)</f>
        <v>Scroll: Ancient Healing 2</v>
      </c>
    </row>
    <row r="410" ht="15.75" customHeight="1">
      <c r="A410" s="1">
        <v>141.0</v>
      </c>
      <c r="B410" s="1">
        <v>409.0</v>
      </c>
      <c r="C410" s="1">
        <v>1.0</v>
      </c>
      <c r="D410" s="1">
        <v>20.0</v>
      </c>
      <c r="F410" s="1" t="str">
        <f>LOOKUP(A410, NPCs!A:A, NPCs!C:C)</f>
        <v>Disciple Von Bangs</v>
      </c>
      <c r="G410" s="1" t="str">
        <f>LOOKUP(B410, Items!A:A, Items!C:C)</f>
        <v>Laurels</v>
      </c>
    </row>
    <row r="411" ht="15.75" customHeight="1">
      <c r="A411" s="1">
        <v>141.0</v>
      </c>
      <c r="B411" s="1">
        <v>412.0</v>
      </c>
      <c r="C411" s="1">
        <v>1.0</v>
      </c>
      <c r="D411" s="1">
        <v>20.0</v>
      </c>
      <c r="F411" s="1" t="str">
        <f>LOOKUP(A411, NPCs!A:A, NPCs!C:C)</f>
        <v>Disciple Von Bangs</v>
      </c>
      <c r="G411" s="1" t="str">
        <f>LOOKUP(B411, Items!A:A, Items!C:C)</f>
        <v>Sandals</v>
      </c>
    </row>
    <row r="412" ht="15.75" customHeight="1">
      <c r="A412" s="1">
        <v>142.0</v>
      </c>
      <c r="B412" s="1">
        <v>410.0</v>
      </c>
      <c r="C412" s="1">
        <v>1.0</v>
      </c>
      <c r="D412" s="1">
        <v>20.0</v>
      </c>
      <c r="F412" s="1" t="str">
        <f>LOOKUP(A412, NPCs!A:A, NPCs!C:C)</f>
        <v>Disciple Von Chief</v>
      </c>
      <c r="G412" s="1" t="str">
        <f>LOOKUP(B412, Items!A:A, Items!C:C)</f>
        <v>Frilly Top</v>
      </c>
    </row>
    <row r="413" ht="15.75" customHeight="1">
      <c r="A413" s="1">
        <v>142.0</v>
      </c>
      <c r="B413" s="1">
        <v>411.0</v>
      </c>
      <c r="C413" s="1">
        <v>1.0</v>
      </c>
      <c r="D413" s="1">
        <v>20.0</v>
      </c>
      <c r="F413" s="1" t="str">
        <f>LOOKUP(A413, NPCs!A:A, NPCs!C:C)</f>
        <v>Disciple Von Chief</v>
      </c>
      <c r="G413" s="1" t="str">
        <f>LOOKUP(B413, Items!A:A, Items!C:C)</f>
        <v>Frilly Skirt</v>
      </c>
    </row>
    <row r="414" ht="15.75" customHeight="1">
      <c r="A414" s="1">
        <v>132.0</v>
      </c>
      <c r="B414" s="1">
        <v>459.0</v>
      </c>
      <c r="C414" s="1">
        <v>1.0</v>
      </c>
      <c r="D414" s="1">
        <v>20.0</v>
      </c>
      <c r="F414" s="1" t="str">
        <f>LOOKUP(A414, NPCs!A:A, NPCs!C:C)</f>
        <v>Sorrows Hero</v>
      </c>
      <c r="G414" s="1" t="str">
        <f>LOOKUP(B414, Items!A:A, Items!C:C)</f>
        <v>Shard of Earth</v>
      </c>
    </row>
    <row r="415" ht="15.75" customHeight="1">
      <c r="A415" s="1">
        <v>132.0</v>
      </c>
      <c r="B415" s="1">
        <v>459.0</v>
      </c>
      <c r="C415" s="1">
        <v>1.0</v>
      </c>
      <c r="D415" s="1">
        <v>20.0</v>
      </c>
      <c r="F415" s="1" t="str">
        <f>LOOKUP(A415, NPCs!A:A, NPCs!C:C)</f>
        <v>Sorrows Hero</v>
      </c>
      <c r="G415" s="1" t="str">
        <f>LOOKUP(B415, Items!A:A, Items!C:C)</f>
        <v>Shard of Earth</v>
      </c>
    </row>
    <row r="416" ht="15.75" customHeight="1">
      <c r="A416" s="1">
        <v>132.0</v>
      </c>
      <c r="B416" s="1">
        <v>459.0</v>
      </c>
      <c r="C416" s="1">
        <v>1.0</v>
      </c>
      <c r="D416" s="1">
        <v>20.0</v>
      </c>
      <c r="F416" s="1" t="str">
        <f>LOOKUP(A416, NPCs!A:A, NPCs!C:C)</f>
        <v>Sorrows Hero</v>
      </c>
      <c r="G416" s="1" t="str">
        <f>LOOKUP(B416, Items!A:A, Items!C:C)</f>
        <v>Shard of Earth</v>
      </c>
    </row>
    <row r="417" ht="15.75" customHeight="1">
      <c r="A417" s="1">
        <v>132.0</v>
      </c>
      <c r="B417" s="1">
        <v>463.0</v>
      </c>
      <c r="C417" s="1">
        <v>1.0</v>
      </c>
      <c r="D417" s="1">
        <v>20.0</v>
      </c>
      <c r="F417" s="1" t="str">
        <f>LOOKUP(A417, NPCs!A:A, NPCs!C:C)</f>
        <v>Sorrows Hero</v>
      </c>
      <c r="G417" s="1" t="str">
        <f>LOOKUP(B417, Items!A:A, Items!C:C)</f>
        <v>Shard of Death</v>
      </c>
    </row>
    <row r="418" ht="15.75" customHeight="1">
      <c r="A418" s="1">
        <v>132.0</v>
      </c>
      <c r="B418" s="1">
        <v>463.0</v>
      </c>
      <c r="C418" s="1">
        <v>1.0</v>
      </c>
      <c r="D418" s="1">
        <v>20.0</v>
      </c>
      <c r="F418" s="1" t="str">
        <f>LOOKUP(A418, NPCs!A:A, NPCs!C:C)</f>
        <v>Sorrows Hero</v>
      </c>
      <c r="G418" s="1" t="str">
        <f>LOOKUP(B418, Items!A:A, Items!C:C)</f>
        <v>Shard of Death</v>
      </c>
    </row>
    <row r="419" ht="15.75" customHeight="1">
      <c r="A419" s="1">
        <v>132.0</v>
      </c>
      <c r="B419" s="1">
        <v>463.0</v>
      </c>
      <c r="C419" s="1">
        <v>1.0</v>
      </c>
      <c r="D419" s="1">
        <v>20.0</v>
      </c>
      <c r="F419" s="1" t="str">
        <f>LOOKUP(A419, NPCs!A:A, NPCs!C:C)</f>
        <v>Sorrows Hero</v>
      </c>
      <c r="G419" s="1" t="str">
        <f>LOOKUP(B419, Items!A:A, Items!C:C)</f>
        <v>Shard of Death</v>
      </c>
    </row>
    <row r="420" ht="15.75" customHeight="1">
      <c r="A420" s="1">
        <v>132.0</v>
      </c>
      <c r="B420" s="1">
        <v>464.0</v>
      </c>
      <c r="C420" s="1">
        <v>1.0</v>
      </c>
      <c r="D420" s="1">
        <v>20.0</v>
      </c>
      <c r="F420" s="1" t="str">
        <f>LOOKUP(A420, NPCs!A:A, NPCs!C:C)</f>
        <v>Sorrows Hero</v>
      </c>
      <c r="G420" s="1" t="str">
        <f>LOOKUP(B420, Items!A:A, Items!C:C)</f>
        <v>Shard of Strength</v>
      </c>
    </row>
    <row r="421" ht="15.75" customHeight="1">
      <c r="A421" s="1">
        <v>132.0</v>
      </c>
      <c r="B421" s="1">
        <v>464.0</v>
      </c>
      <c r="C421" s="1">
        <v>1.0</v>
      </c>
      <c r="D421" s="1">
        <v>20.0</v>
      </c>
      <c r="F421" s="1" t="str">
        <f>LOOKUP(A421, NPCs!A:A, NPCs!C:C)</f>
        <v>Sorrows Hero</v>
      </c>
      <c r="G421" s="1" t="str">
        <f>LOOKUP(B421, Items!A:A, Items!C:C)</f>
        <v>Shard of Strength</v>
      </c>
    </row>
    <row r="422" ht="15.75" customHeight="1">
      <c r="A422" s="1">
        <v>132.0</v>
      </c>
      <c r="B422" s="1">
        <v>464.0</v>
      </c>
      <c r="C422" s="1">
        <v>1.0</v>
      </c>
      <c r="D422" s="1">
        <v>20.0</v>
      </c>
      <c r="F422" s="1" t="str">
        <f>LOOKUP(A422, NPCs!A:A, NPCs!C:C)</f>
        <v>Sorrows Hero</v>
      </c>
      <c r="G422" s="1" t="str">
        <f>LOOKUP(B422, Items!A:A, Items!C:C)</f>
        <v>Shard of Strength</v>
      </c>
    </row>
    <row r="423" ht="15.75" customHeight="1">
      <c r="A423" s="1">
        <v>132.0</v>
      </c>
      <c r="B423" s="1">
        <v>465.0</v>
      </c>
      <c r="C423" s="1">
        <v>1.0</v>
      </c>
      <c r="D423" s="1">
        <v>20.0</v>
      </c>
      <c r="F423" s="1" t="str">
        <f>LOOKUP(A423, NPCs!A:A, NPCs!C:C)</f>
        <v>Sorrows Hero</v>
      </c>
      <c r="G423" s="1" t="str">
        <f>LOOKUP(B423, Items!A:A, Items!C:C)</f>
        <v>Shard of Love</v>
      </c>
    </row>
    <row r="424" ht="15.75" customHeight="1">
      <c r="A424" s="1">
        <v>132.0</v>
      </c>
      <c r="B424" s="1">
        <v>465.0</v>
      </c>
      <c r="C424" s="1">
        <v>1.0</v>
      </c>
      <c r="D424" s="1">
        <v>20.0</v>
      </c>
      <c r="F424" s="1" t="str">
        <f>LOOKUP(A424, NPCs!A:A, NPCs!C:C)</f>
        <v>Sorrows Hero</v>
      </c>
      <c r="G424" s="1" t="str">
        <f>LOOKUP(B424, Items!A:A, Items!C:C)</f>
        <v>Shard of Love</v>
      </c>
    </row>
    <row r="425" ht="15.75" customHeight="1">
      <c r="A425" s="1">
        <v>132.0</v>
      </c>
      <c r="B425" s="1">
        <v>465.0</v>
      </c>
      <c r="C425" s="1">
        <v>1.0</v>
      </c>
      <c r="D425" s="1">
        <v>20.0</v>
      </c>
      <c r="F425" s="1" t="str">
        <f>LOOKUP(A425, NPCs!A:A, NPCs!C:C)</f>
        <v>Sorrows Hero</v>
      </c>
      <c r="G425" s="1" t="str">
        <f>LOOKUP(B425, Items!A:A, Items!C:C)</f>
        <v>Shard of Love</v>
      </c>
    </row>
    <row r="426" ht="15.75" customHeight="1">
      <c r="A426" s="1">
        <v>132.0</v>
      </c>
      <c r="B426" s="1">
        <v>466.0</v>
      </c>
      <c r="C426" s="1">
        <v>1.0</v>
      </c>
      <c r="D426" s="1">
        <v>20.0</v>
      </c>
      <c r="F426" s="1" t="str">
        <f>LOOKUP(A426, NPCs!A:A, NPCs!C:C)</f>
        <v>Sorrows Hero</v>
      </c>
      <c r="G426" s="1" t="str">
        <f>LOOKUP(B426, Items!A:A, Items!C:C)</f>
        <v>Shard of Life</v>
      </c>
    </row>
    <row r="427" ht="15.75" customHeight="1">
      <c r="A427" s="1">
        <v>132.0</v>
      </c>
      <c r="B427" s="1">
        <v>466.0</v>
      </c>
      <c r="C427" s="1">
        <v>1.0</v>
      </c>
      <c r="D427" s="1">
        <v>20.0</v>
      </c>
      <c r="F427" s="1" t="str">
        <f>LOOKUP(A427, NPCs!A:A, NPCs!C:C)</f>
        <v>Sorrows Hero</v>
      </c>
      <c r="G427" s="1" t="str">
        <f>LOOKUP(B427, Items!A:A, Items!C:C)</f>
        <v>Shard of Life</v>
      </c>
    </row>
    <row r="428" ht="15.75" customHeight="1">
      <c r="A428" s="1">
        <v>132.0</v>
      </c>
      <c r="B428" s="1">
        <v>466.0</v>
      </c>
      <c r="C428" s="1">
        <v>1.0</v>
      </c>
      <c r="D428" s="1">
        <v>20.0</v>
      </c>
      <c r="F428" s="1" t="str">
        <f>LOOKUP(A428, NPCs!A:A, NPCs!C:C)</f>
        <v>Sorrows Hero</v>
      </c>
      <c r="G428" s="1" t="str">
        <f>LOOKUP(B428, Items!A:A, Items!C:C)</f>
        <v>Shard of Life</v>
      </c>
    </row>
    <row r="429" ht="15.75" customHeight="1">
      <c r="A429" s="1">
        <v>137.0</v>
      </c>
      <c r="B429" s="1">
        <v>459.0</v>
      </c>
      <c r="C429" s="1">
        <v>1.0</v>
      </c>
      <c r="D429" s="1">
        <v>25.0</v>
      </c>
      <c r="F429" s="1" t="str">
        <f>LOOKUP(A429, NPCs!A:A, NPCs!C:C)</f>
        <v>Sorrows Lover</v>
      </c>
      <c r="G429" s="1" t="str">
        <f>LOOKUP(B429, Items!A:A, Items!C:C)</f>
        <v>Shard of Earth</v>
      </c>
    </row>
    <row r="430" ht="15.75" customHeight="1">
      <c r="A430" s="1">
        <v>137.0</v>
      </c>
      <c r="B430" s="1">
        <v>459.0</v>
      </c>
      <c r="C430" s="1">
        <v>1.0</v>
      </c>
      <c r="D430" s="1">
        <v>25.0</v>
      </c>
      <c r="F430" s="1" t="str">
        <f>LOOKUP(A430, NPCs!A:A, NPCs!C:C)</f>
        <v>Sorrows Lover</v>
      </c>
      <c r="G430" s="1" t="str">
        <f>LOOKUP(B430, Items!A:A, Items!C:C)</f>
        <v>Shard of Earth</v>
      </c>
    </row>
    <row r="431" ht="15.75" customHeight="1">
      <c r="A431" s="1">
        <v>137.0</v>
      </c>
      <c r="B431" s="1">
        <v>459.0</v>
      </c>
      <c r="C431" s="1">
        <v>1.0</v>
      </c>
      <c r="D431" s="1">
        <v>25.0</v>
      </c>
      <c r="F431" s="1" t="str">
        <f>LOOKUP(A431, NPCs!A:A, NPCs!C:C)</f>
        <v>Sorrows Lover</v>
      </c>
      <c r="G431" s="1" t="str">
        <f>LOOKUP(B431, Items!A:A, Items!C:C)</f>
        <v>Shard of Earth</v>
      </c>
    </row>
    <row r="432" ht="15.75" customHeight="1">
      <c r="A432" s="1">
        <v>137.0</v>
      </c>
      <c r="B432" s="1">
        <v>463.0</v>
      </c>
      <c r="C432" s="1">
        <v>1.0</v>
      </c>
      <c r="D432" s="1">
        <v>25.0</v>
      </c>
      <c r="F432" s="1" t="str">
        <f>LOOKUP(A432, NPCs!A:A, NPCs!C:C)</f>
        <v>Sorrows Lover</v>
      </c>
      <c r="G432" s="1" t="str">
        <f>LOOKUP(B432, Items!A:A, Items!C:C)</f>
        <v>Shard of Death</v>
      </c>
    </row>
    <row r="433" ht="15.75" customHeight="1">
      <c r="A433" s="1">
        <v>137.0</v>
      </c>
      <c r="B433" s="1">
        <v>463.0</v>
      </c>
      <c r="C433" s="1">
        <v>1.0</v>
      </c>
      <c r="D433" s="1">
        <v>25.0</v>
      </c>
      <c r="F433" s="1" t="str">
        <f>LOOKUP(A433, NPCs!A:A, NPCs!C:C)</f>
        <v>Sorrows Lover</v>
      </c>
      <c r="G433" s="1" t="str">
        <f>LOOKUP(B433, Items!A:A, Items!C:C)</f>
        <v>Shard of Death</v>
      </c>
    </row>
    <row r="434" ht="15.75" customHeight="1">
      <c r="A434" s="1">
        <v>137.0</v>
      </c>
      <c r="B434" s="1">
        <v>463.0</v>
      </c>
      <c r="C434" s="1">
        <v>1.0</v>
      </c>
      <c r="D434" s="1">
        <v>25.0</v>
      </c>
      <c r="F434" s="1" t="str">
        <f>LOOKUP(A434, NPCs!A:A, NPCs!C:C)</f>
        <v>Sorrows Lover</v>
      </c>
      <c r="G434" s="1" t="str">
        <f>LOOKUP(B434, Items!A:A, Items!C:C)</f>
        <v>Shard of Death</v>
      </c>
    </row>
    <row r="435" ht="15.75" customHeight="1">
      <c r="A435" s="1">
        <v>137.0</v>
      </c>
      <c r="B435" s="1">
        <v>464.0</v>
      </c>
      <c r="C435" s="1">
        <v>1.0</v>
      </c>
      <c r="D435" s="1">
        <v>25.0</v>
      </c>
      <c r="F435" s="1" t="str">
        <f>LOOKUP(A435, NPCs!A:A, NPCs!C:C)</f>
        <v>Sorrows Lover</v>
      </c>
      <c r="G435" s="1" t="str">
        <f>LOOKUP(B435, Items!A:A, Items!C:C)</f>
        <v>Shard of Strength</v>
      </c>
    </row>
    <row r="436" ht="15.75" customHeight="1">
      <c r="A436" s="1">
        <v>137.0</v>
      </c>
      <c r="B436" s="1">
        <v>464.0</v>
      </c>
      <c r="C436" s="1">
        <v>1.0</v>
      </c>
      <c r="D436" s="1">
        <v>25.0</v>
      </c>
      <c r="F436" s="1" t="str">
        <f>LOOKUP(A436, NPCs!A:A, NPCs!C:C)</f>
        <v>Sorrows Lover</v>
      </c>
      <c r="G436" s="1" t="str">
        <f>LOOKUP(B436, Items!A:A, Items!C:C)</f>
        <v>Shard of Strength</v>
      </c>
    </row>
    <row r="437" ht="15.75" customHeight="1">
      <c r="A437" s="1">
        <v>137.0</v>
      </c>
      <c r="B437" s="1">
        <v>464.0</v>
      </c>
      <c r="C437" s="1">
        <v>1.0</v>
      </c>
      <c r="D437" s="1">
        <v>25.0</v>
      </c>
      <c r="F437" s="1" t="str">
        <f>LOOKUP(A437, NPCs!A:A, NPCs!C:C)</f>
        <v>Sorrows Lover</v>
      </c>
      <c r="G437" s="1" t="str">
        <f>LOOKUP(B437, Items!A:A, Items!C:C)</f>
        <v>Shard of Strength</v>
      </c>
    </row>
    <row r="438" ht="15.75" customHeight="1">
      <c r="A438" s="1">
        <v>147.0</v>
      </c>
      <c r="B438" s="1">
        <v>461.0</v>
      </c>
      <c r="C438" s="1">
        <v>1.0</v>
      </c>
      <c r="D438" s="1">
        <v>35.0</v>
      </c>
      <c r="F438" s="1" t="str">
        <f>LOOKUP(A438, NPCs!A:A, NPCs!C:C)</f>
        <v>Invisible 1</v>
      </c>
      <c r="G438" s="1" t="str">
        <f>LOOKUP(B438, Items!A:A, Items!C:C)</f>
        <v>Shard of Fire</v>
      </c>
    </row>
    <row r="439" ht="15.75" customHeight="1">
      <c r="A439" s="1">
        <v>147.0</v>
      </c>
      <c r="B439" s="1">
        <v>461.0</v>
      </c>
      <c r="C439" s="1">
        <v>1.0</v>
      </c>
      <c r="D439" s="1">
        <v>35.0</v>
      </c>
      <c r="F439" s="1" t="str">
        <f>LOOKUP(A439, NPCs!A:A, NPCs!C:C)</f>
        <v>Invisible 1</v>
      </c>
      <c r="G439" s="1" t="str">
        <f>LOOKUP(B439, Items!A:A, Items!C:C)</f>
        <v>Shard of Fire</v>
      </c>
    </row>
    <row r="440" ht="15.75" customHeight="1">
      <c r="A440" s="1">
        <v>147.0</v>
      </c>
      <c r="B440" s="1">
        <v>462.0</v>
      </c>
      <c r="C440" s="1">
        <v>1.0</v>
      </c>
      <c r="D440" s="1">
        <v>35.0</v>
      </c>
      <c r="F440" s="1" t="str">
        <f>LOOKUP(A440, NPCs!A:A, NPCs!C:C)</f>
        <v>Invisible 1</v>
      </c>
      <c r="G440" s="1" t="str">
        <f>LOOKUP(B440, Items!A:A, Items!C:C)</f>
        <v>Shard of Air</v>
      </c>
    </row>
    <row r="441" ht="15.75" customHeight="1">
      <c r="A441" s="1">
        <v>147.0</v>
      </c>
      <c r="B441" s="1">
        <v>462.0</v>
      </c>
      <c r="C441" s="1">
        <v>1.0</v>
      </c>
      <c r="D441" s="1">
        <v>35.0</v>
      </c>
      <c r="F441" s="1" t="str">
        <f>LOOKUP(A441, NPCs!A:A, NPCs!C:C)</f>
        <v>Invisible 1</v>
      </c>
      <c r="G441" s="1" t="str">
        <f>LOOKUP(B441, Items!A:A, Items!C:C)</f>
        <v>Shard of Air</v>
      </c>
    </row>
    <row r="442" ht="15.75" customHeight="1">
      <c r="A442" s="1">
        <v>144.0</v>
      </c>
      <c r="B442" s="1">
        <v>461.0</v>
      </c>
      <c r="C442" s="1">
        <v>1.0</v>
      </c>
      <c r="D442" s="1">
        <v>25.0</v>
      </c>
      <c r="F442" s="1" t="str">
        <f>LOOKUP(A442, NPCs!A:A, NPCs!C:C)</f>
        <v>Invisible 2</v>
      </c>
      <c r="G442" s="1" t="str">
        <f>LOOKUP(B442, Items!A:A, Items!C:C)</f>
        <v>Shard of Fire</v>
      </c>
    </row>
    <row r="443" ht="15.75" customHeight="1">
      <c r="A443" s="1">
        <v>144.0</v>
      </c>
      <c r="B443" s="1">
        <v>461.0</v>
      </c>
      <c r="C443" s="1">
        <v>1.0</v>
      </c>
      <c r="D443" s="1">
        <v>25.0</v>
      </c>
      <c r="F443" s="1" t="str">
        <f>LOOKUP(A443, NPCs!A:A, NPCs!C:C)</f>
        <v>Invisible 2</v>
      </c>
      <c r="G443" s="1" t="str">
        <f>LOOKUP(B443, Items!A:A, Items!C:C)</f>
        <v>Shard of Fire</v>
      </c>
    </row>
    <row r="444" ht="15.75" customHeight="1">
      <c r="A444" s="1">
        <v>144.0</v>
      </c>
      <c r="B444" s="1">
        <v>462.0</v>
      </c>
      <c r="C444" s="1">
        <v>1.0</v>
      </c>
      <c r="D444" s="1">
        <v>25.0</v>
      </c>
      <c r="F444" s="1" t="str">
        <f>LOOKUP(A444, NPCs!A:A, NPCs!C:C)</f>
        <v>Invisible 2</v>
      </c>
      <c r="G444" s="1" t="str">
        <f>LOOKUP(B444, Items!A:A, Items!C:C)</f>
        <v>Shard of Air</v>
      </c>
    </row>
    <row r="445" ht="15.75" customHeight="1">
      <c r="A445" s="1">
        <v>144.0</v>
      </c>
      <c r="B445" s="1">
        <v>462.0</v>
      </c>
      <c r="C445" s="1">
        <v>1.0</v>
      </c>
      <c r="D445" s="1">
        <v>25.0</v>
      </c>
      <c r="F445" s="1" t="str">
        <f>LOOKUP(A445, NPCs!A:A, NPCs!C:C)</f>
        <v>Invisible 2</v>
      </c>
      <c r="G445" s="1" t="str">
        <f>LOOKUP(B445, Items!A:A, Items!C:C)</f>
        <v>Shard of Air</v>
      </c>
    </row>
    <row r="446" ht="15.75" customHeight="1">
      <c r="A446" s="1">
        <v>144.0</v>
      </c>
      <c r="B446" s="1">
        <v>468.0</v>
      </c>
      <c r="C446" s="1">
        <v>1.0</v>
      </c>
      <c r="D446" s="1">
        <v>25.0</v>
      </c>
      <c r="F446" s="1" t="str">
        <f>LOOKUP(A446, NPCs!A:A, NPCs!C:C)</f>
        <v>Invisible 2</v>
      </c>
      <c r="G446" s="1" t="str">
        <f>LOOKUP(B446, Items!A:A, Items!C:C)</f>
        <v>Shard of Divinity</v>
      </c>
    </row>
    <row r="447" ht="15.75" customHeight="1">
      <c r="A447" s="1">
        <v>144.0</v>
      </c>
      <c r="B447" s="1">
        <v>468.0</v>
      </c>
      <c r="C447" s="1">
        <v>1.0</v>
      </c>
      <c r="D447" s="1">
        <v>25.0</v>
      </c>
      <c r="F447" s="1" t="str">
        <f>LOOKUP(A447, NPCs!A:A, NPCs!C:C)</f>
        <v>Invisible 2</v>
      </c>
      <c r="G447" s="1" t="str">
        <f>LOOKUP(B447, Items!A:A, Items!C:C)</f>
        <v>Shard of Divinity</v>
      </c>
    </row>
    <row r="448" ht="15.75" customHeight="1">
      <c r="A448" s="1">
        <v>144.0</v>
      </c>
      <c r="B448" s="1">
        <v>467.0</v>
      </c>
      <c r="C448" s="1">
        <v>1.0</v>
      </c>
      <c r="D448" s="1">
        <v>25.0</v>
      </c>
      <c r="F448" s="1" t="str">
        <f>LOOKUP(A448, NPCs!A:A, NPCs!C:C)</f>
        <v>Invisible 2</v>
      </c>
      <c r="G448" s="1" t="str">
        <f>LOOKUP(B448, Items!A:A, Items!C:C)</f>
        <v>Shard of Hope</v>
      </c>
    </row>
    <row r="449" ht="15.75" customHeight="1">
      <c r="A449" s="1">
        <v>144.0</v>
      </c>
      <c r="B449" s="1">
        <v>467.0</v>
      </c>
      <c r="C449" s="1">
        <v>1.0</v>
      </c>
      <c r="D449" s="1">
        <v>25.0</v>
      </c>
      <c r="F449" s="1" t="str">
        <f>LOOKUP(A449, NPCs!A:A, NPCs!C:C)</f>
        <v>Invisible 2</v>
      </c>
      <c r="G449" s="1" t="str">
        <f>LOOKUP(B449, Items!A:A, Items!C:C)</f>
        <v>Shard of Hope</v>
      </c>
    </row>
    <row r="450" ht="15.75" customHeight="1">
      <c r="A450" s="1">
        <v>152.0</v>
      </c>
      <c r="B450" s="1">
        <v>470.0</v>
      </c>
      <c r="C450" s="1">
        <v>1.0</v>
      </c>
      <c r="D450" s="1">
        <v>30.0</v>
      </c>
      <c r="F450" s="1" t="str">
        <f>LOOKUP(A450, NPCs!A:A, NPCs!C:C)</f>
        <v>Abomination</v>
      </c>
      <c r="G450" s="1" t="str">
        <f>LOOKUP(B450, Items!A:A, Items!C:C)</f>
        <v>Shard of Protection</v>
      </c>
    </row>
    <row r="451" ht="15.75" customHeight="1">
      <c r="A451" s="1">
        <v>152.0</v>
      </c>
      <c r="B451" s="1">
        <v>470.0</v>
      </c>
      <c r="C451" s="1">
        <v>1.0</v>
      </c>
      <c r="D451" s="1">
        <v>30.0</v>
      </c>
      <c r="F451" s="1" t="str">
        <f>LOOKUP(A451, NPCs!A:A, NPCs!C:C)</f>
        <v>Abomination</v>
      </c>
      <c r="G451" s="1" t="str">
        <f>LOOKUP(B451, Items!A:A, Items!C:C)</f>
        <v>Shard of Protection</v>
      </c>
    </row>
    <row r="452" ht="15.75" customHeight="1">
      <c r="A452" s="1">
        <v>152.0</v>
      </c>
      <c r="B452" s="1">
        <v>470.0</v>
      </c>
      <c r="C452" s="1">
        <v>1.0</v>
      </c>
      <c r="D452" s="1">
        <v>30.0</v>
      </c>
      <c r="F452" s="1" t="str">
        <f>LOOKUP(A452, NPCs!A:A, NPCs!C:C)</f>
        <v>Abomination</v>
      </c>
      <c r="G452" s="1" t="str">
        <f>LOOKUP(B452, Items!A:A, Items!C:C)</f>
        <v>Shard of Protection</v>
      </c>
    </row>
    <row r="453" ht="15.75" customHeight="1">
      <c r="A453" s="1">
        <v>152.0</v>
      </c>
      <c r="B453" s="1">
        <v>460.0</v>
      </c>
      <c r="C453" s="1">
        <v>1.0</v>
      </c>
      <c r="D453" s="1">
        <v>30.0</v>
      </c>
      <c r="F453" s="1" t="str">
        <f>LOOKUP(A453, NPCs!A:A, NPCs!C:C)</f>
        <v>Abomination</v>
      </c>
      <c r="G453" s="1" t="str">
        <f>LOOKUP(B453, Items!A:A, Items!C:C)</f>
        <v>Shard of Water</v>
      </c>
    </row>
    <row r="454" ht="15.75" customHeight="1">
      <c r="A454" s="1">
        <v>152.0</v>
      </c>
      <c r="B454" s="1">
        <v>460.0</v>
      </c>
      <c r="C454" s="1">
        <v>1.0</v>
      </c>
      <c r="D454" s="1">
        <v>30.0</v>
      </c>
      <c r="F454" s="1" t="str">
        <f>LOOKUP(A454, NPCs!A:A, NPCs!C:C)</f>
        <v>Abomination</v>
      </c>
      <c r="G454" s="1" t="str">
        <f>LOOKUP(B454, Items!A:A, Items!C:C)</f>
        <v>Shard of Water</v>
      </c>
    </row>
    <row r="455" ht="15.75" customHeight="1">
      <c r="A455" s="1">
        <v>152.0</v>
      </c>
      <c r="B455" s="1">
        <v>460.0</v>
      </c>
      <c r="C455" s="1">
        <v>1.0</v>
      </c>
      <c r="D455" s="1">
        <v>30.0</v>
      </c>
      <c r="F455" s="1" t="str">
        <f>LOOKUP(A455, NPCs!A:A, NPCs!C:C)</f>
        <v>Abomination</v>
      </c>
      <c r="G455" s="1" t="str">
        <f>LOOKUP(B455, Items!A:A, Items!C:C)</f>
        <v>Shard of Water</v>
      </c>
    </row>
    <row r="456" ht="15.75" customHeight="1">
      <c r="A456" s="1">
        <v>154.0</v>
      </c>
      <c r="B456" s="1">
        <v>469.0</v>
      </c>
      <c r="C456" s="1">
        <v>1.0</v>
      </c>
      <c r="D456" s="1">
        <v>40.0</v>
      </c>
      <c r="F456" s="1" t="str">
        <f>LOOKUP(A456, NPCs!A:A, NPCs!C:C)</f>
        <v>Charlie</v>
      </c>
      <c r="G456" s="1" t="str">
        <f>LOOKUP(B456, Items!A:A, Items!C:C)</f>
        <v>Shard of Power</v>
      </c>
    </row>
    <row r="457" ht="15.75" customHeight="1">
      <c r="A457" s="1">
        <v>154.0</v>
      </c>
      <c r="B457" s="1">
        <v>470.0</v>
      </c>
      <c r="C457" s="1">
        <v>1.0</v>
      </c>
      <c r="D457" s="1">
        <v>40.0</v>
      </c>
      <c r="F457" s="1" t="str">
        <f>LOOKUP(A457, NPCs!A:A, NPCs!C:C)</f>
        <v>Charlie</v>
      </c>
      <c r="G457" s="1" t="str">
        <f>LOOKUP(B457, Items!A:A, Items!C:C)</f>
        <v>Shard of Protection</v>
      </c>
    </row>
    <row r="458" ht="15.75" customHeight="1">
      <c r="A458" s="1">
        <v>154.0</v>
      </c>
      <c r="B458" s="1">
        <v>471.0</v>
      </c>
      <c r="C458" s="1">
        <v>1.0</v>
      </c>
      <c r="D458" s="1">
        <v>40.0</v>
      </c>
      <c r="F458" s="1" t="str">
        <f>LOOKUP(A458, NPCs!A:A, NPCs!C:C)</f>
        <v>Charlie</v>
      </c>
      <c r="G458" s="1" t="str">
        <f>LOOKUP(B458, Items!A:A, Items!C:C)</f>
        <v>Shard of Invincibility</v>
      </c>
    </row>
    <row r="459" ht="15.75" customHeight="1">
      <c r="A459" s="1">
        <v>154.0</v>
      </c>
      <c r="B459" s="1">
        <v>460.0</v>
      </c>
      <c r="C459" s="1">
        <v>1.0</v>
      </c>
      <c r="D459" s="1">
        <v>40.0</v>
      </c>
      <c r="F459" s="1" t="str">
        <f>LOOKUP(A459, NPCs!A:A, NPCs!C:C)</f>
        <v>Charlie</v>
      </c>
      <c r="G459" s="1" t="str">
        <f>LOOKUP(B459, Items!A:A, Items!C:C)</f>
        <v>Shard of Water</v>
      </c>
    </row>
    <row r="460" ht="15.75" customHeight="1">
      <c r="A460" s="1">
        <v>127.0</v>
      </c>
      <c r="B460" s="1">
        <v>448.0</v>
      </c>
      <c r="C460" s="1">
        <v>1.0</v>
      </c>
      <c r="D460" s="1">
        <v>15.0</v>
      </c>
      <c r="F460" s="1" t="str">
        <f>LOOKUP(A460, NPCs!A:A, NPCs!C:C)</f>
        <v>Berry Stealer</v>
      </c>
      <c r="G460" s="1" t="str">
        <f>LOOKUP(B460, Items!A:A, Items!C:C)</f>
        <v>Berrys Hair Strand</v>
      </c>
    </row>
    <row r="461" ht="15.75" customHeight="1">
      <c r="A461" s="1">
        <v>129.0</v>
      </c>
      <c r="B461" s="1">
        <v>431.0</v>
      </c>
      <c r="C461" s="1">
        <v>1.0</v>
      </c>
      <c r="D461" s="1">
        <v>5.0</v>
      </c>
      <c r="F461" s="1" t="str">
        <f>LOOKUP(A461, NPCs!A:A, NPCs!C:C)</f>
        <v>Patrol Bear</v>
      </c>
      <c r="G461" s="1" t="str">
        <f>LOOKUP(B461, Items!A:A, Items!C:C)</f>
        <v>Scroll: Sacrifice II</v>
      </c>
    </row>
    <row r="462" ht="15.75" customHeight="1">
      <c r="A462" s="1">
        <v>129.0</v>
      </c>
      <c r="B462" s="1">
        <v>433.0</v>
      </c>
      <c r="C462" s="1">
        <v>1.0</v>
      </c>
      <c r="D462" s="1">
        <v>5.0</v>
      </c>
      <c r="F462" s="1" t="str">
        <f>LOOKUP(A462, NPCs!A:A, NPCs!C:C)</f>
        <v>Patrol Bear</v>
      </c>
      <c r="G462" s="1" t="str">
        <f>LOOKUP(B462, Items!A:A, Items!C:C)</f>
        <v>Scroll: Critical Blow of the Bear</v>
      </c>
    </row>
    <row r="463" ht="15.75" customHeight="1">
      <c r="A463" s="1">
        <v>129.0</v>
      </c>
      <c r="B463" s="1">
        <v>434.0</v>
      </c>
      <c r="C463" s="1">
        <v>1.0</v>
      </c>
      <c r="D463" s="1">
        <v>5.0</v>
      </c>
      <c r="F463" s="1" t="str">
        <f>LOOKUP(A463, NPCs!A:A, NPCs!C:C)</f>
        <v>Patrol Bear</v>
      </c>
      <c r="G463" s="1" t="str">
        <f>LOOKUP(B463, Items!A:A, Items!C:C)</f>
        <v>Scroll: Roar of the Bear</v>
      </c>
    </row>
    <row r="464" ht="15.75" customHeight="1">
      <c r="A464" s="1">
        <v>129.0</v>
      </c>
      <c r="B464" s="1">
        <v>432.0</v>
      </c>
      <c r="C464" s="1">
        <v>1.0</v>
      </c>
      <c r="D464" s="1">
        <v>5.0</v>
      </c>
      <c r="F464" s="1" t="str">
        <f>LOOKUP(A464, NPCs!A:A, NPCs!C:C)</f>
        <v>Patrol Bear</v>
      </c>
      <c r="G464" s="1" t="str">
        <f>LOOKUP(B464, Items!A:A, Items!C:C)</f>
        <v>Scroll: Damage of the Bear</v>
      </c>
    </row>
    <row r="465" ht="15.75" customHeight="1">
      <c r="A465" s="1">
        <v>157.0</v>
      </c>
      <c r="B465" s="1">
        <v>446.0</v>
      </c>
      <c r="C465" s="1">
        <v>1.0</v>
      </c>
      <c r="D465" s="1">
        <v>7.0</v>
      </c>
      <c r="F465" s="1" t="str">
        <f>LOOKUP(A465, NPCs!A:A, NPCs!C:C)</f>
        <v>Gramps</v>
      </c>
      <c r="G465" s="1" t="str">
        <f>LOOKUP(B465, Items!A:A, Items!C:C)</f>
        <v>Gramps Fur</v>
      </c>
    </row>
    <row r="466" ht="15.75" customHeight="1">
      <c r="A466" s="1">
        <v>157.0</v>
      </c>
      <c r="B466" s="1">
        <v>447.0</v>
      </c>
      <c r="C466" s="1">
        <v>1.0</v>
      </c>
      <c r="D466" s="1">
        <v>8.0</v>
      </c>
      <c r="F466" s="1" t="str">
        <f>LOOKUP(A466, NPCs!A:A, NPCs!C:C)</f>
        <v>Gramps</v>
      </c>
      <c r="G466" s="1" t="str">
        <f>LOOKUP(B466, Items!A:A, Items!C:C)</f>
        <v>Blood</v>
      </c>
    </row>
    <row r="467" ht="15.75" customHeight="1">
      <c r="A467" s="1">
        <v>156.0</v>
      </c>
      <c r="B467" s="1">
        <v>427.0</v>
      </c>
      <c r="C467" s="1">
        <v>1.0</v>
      </c>
      <c r="D467" s="1">
        <v>12.0</v>
      </c>
      <c r="F467" s="1" t="str">
        <f>LOOKUP(A467, NPCs!A:A, NPCs!C:C)</f>
        <v>Mama Bear</v>
      </c>
      <c r="G467" s="1" t="str">
        <f>LOOKUP(B467, Items!A:A, Items!C:C)</f>
        <v>Mama Chestplate</v>
      </c>
    </row>
    <row r="468" ht="15.75" customHeight="1">
      <c r="A468" s="1">
        <v>156.0</v>
      </c>
      <c r="B468" s="1">
        <v>428.0</v>
      </c>
      <c r="C468" s="1">
        <v>1.0</v>
      </c>
      <c r="D468" s="1">
        <v>12.0</v>
      </c>
      <c r="F468" s="1" t="str">
        <f>LOOKUP(A468, NPCs!A:A, NPCs!C:C)</f>
        <v>Mama Bear</v>
      </c>
      <c r="G468" s="1" t="str">
        <f>LOOKUP(B468, Items!A:A, Items!C:C)</f>
        <v>Mama Headband</v>
      </c>
    </row>
    <row r="469" ht="15.75" customHeight="1">
      <c r="A469" s="1">
        <v>156.0</v>
      </c>
      <c r="B469" s="1">
        <v>429.0</v>
      </c>
      <c r="C469" s="1">
        <v>1.0</v>
      </c>
      <c r="D469" s="1">
        <v>12.0</v>
      </c>
      <c r="F469" s="1" t="str">
        <f>LOOKUP(A469, NPCs!A:A, NPCs!C:C)</f>
        <v>Mama Bear</v>
      </c>
      <c r="G469" s="1" t="str">
        <f>LOOKUP(B469, Items!A:A, Items!C:C)</f>
        <v>Mama Legplates</v>
      </c>
    </row>
    <row r="470" ht="15.75" customHeight="1">
      <c r="A470" s="1">
        <v>156.0</v>
      </c>
      <c r="B470" s="1">
        <v>430.0</v>
      </c>
      <c r="C470" s="1">
        <v>1.0</v>
      </c>
      <c r="D470" s="1">
        <v>12.0</v>
      </c>
      <c r="F470" s="1" t="str">
        <f>LOOKUP(A470, NPCs!A:A, NPCs!C:C)</f>
        <v>Mama Bear</v>
      </c>
      <c r="G470" s="1" t="str">
        <f>LOOKUP(B470, Items!A:A, Items!C:C)</f>
        <v>Mama Boots</v>
      </c>
    </row>
    <row r="471" ht="15.75" customHeight="1">
      <c r="A471" s="1">
        <v>155.0</v>
      </c>
      <c r="B471" s="1">
        <v>426.0</v>
      </c>
      <c r="C471" s="1">
        <v>1.0</v>
      </c>
      <c r="D471" s="1">
        <v>12.0</v>
      </c>
      <c r="F471" s="1" t="str">
        <f>LOOKUP(A471, NPCs!A:A, NPCs!C:C)</f>
        <v>The Patriarch</v>
      </c>
      <c r="G471" s="1" t="str">
        <f>LOOKUP(B471, Items!A:A, Items!C:C)</f>
        <v>Gero Robes</v>
      </c>
    </row>
    <row r="472" ht="15.75" customHeight="1">
      <c r="A472" s="1">
        <v>161.0</v>
      </c>
      <c r="B472" s="1">
        <v>517.0</v>
      </c>
      <c r="C472" s="1">
        <v>1.0</v>
      </c>
      <c r="D472" s="1">
        <v>8.0</v>
      </c>
      <c r="F472" s="1" t="str">
        <f>LOOKUP(A472, NPCs!A:A, NPCs!C:C)</f>
        <v>Ancient Royal</v>
      </c>
      <c r="G472" s="1" t="str">
        <f>LOOKUP(B472, Items!A:A, Items!C:C)</f>
        <v>Rune: Knights Blessing</v>
      </c>
    </row>
    <row r="473" ht="15.75" customHeight="1">
      <c r="A473" s="1">
        <v>161.0</v>
      </c>
      <c r="B473" s="1">
        <v>518.0</v>
      </c>
      <c r="C473" s="1">
        <v>1.0</v>
      </c>
      <c r="D473" s="1">
        <v>8.0</v>
      </c>
      <c r="F473" s="1" t="str">
        <f>LOOKUP(A473, NPCs!A:A, NPCs!C:C)</f>
        <v>Ancient Royal</v>
      </c>
      <c r="G473" s="1" t="str">
        <f>LOOKUP(B473, Items!A:A, Items!C:C)</f>
        <v>Rune: Wizards Curse</v>
      </c>
    </row>
    <row r="474" ht="15.75" customHeight="1">
      <c r="A474" s="1">
        <v>161.0</v>
      </c>
      <c r="B474" s="1">
        <v>519.0</v>
      </c>
      <c r="C474" s="1">
        <v>1.0</v>
      </c>
      <c r="D474" s="1">
        <v>8.0</v>
      </c>
      <c r="F474" s="1" t="str">
        <f>LOOKUP(A474, NPCs!A:A, NPCs!C:C)</f>
        <v>Ancient Royal</v>
      </c>
      <c r="G474" s="1" t="str">
        <f>LOOKUP(B474, Items!A:A, Items!C:C)</f>
        <v>Rune: Mischiefs Craft</v>
      </c>
    </row>
    <row r="475" ht="15.75" customHeight="1">
      <c r="A475" s="1">
        <v>161.0</v>
      </c>
      <c r="B475" s="1">
        <v>520.0</v>
      </c>
      <c r="C475" s="1">
        <v>1.0</v>
      </c>
      <c r="D475" s="1">
        <v>8.0</v>
      </c>
      <c r="F475" s="1" t="str">
        <f>LOOKUP(A475, NPCs!A:A, NPCs!C:C)</f>
        <v>Ancient Royal</v>
      </c>
      <c r="G475" s="1" t="str">
        <f>LOOKUP(B475, Items!A:A, Items!C:C)</f>
        <v>Rune: Clerics Blessing</v>
      </c>
    </row>
    <row r="476" ht="15.75" customHeight="1">
      <c r="A476" s="1">
        <v>162.0</v>
      </c>
      <c r="B476" s="1">
        <v>515.0</v>
      </c>
      <c r="C476" s="1">
        <v>1.0</v>
      </c>
      <c r="D476" s="1">
        <v>20.0</v>
      </c>
      <c r="F476" s="1" t="str">
        <f>LOOKUP(A476, NPCs!A:A, NPCs!C:C)</f>
        <v>King Terror</v>
      </c>
      <c r="G476" s="1" t="str">
        <f>LOOKUP(B476, Items!A:A, Items!C:C)</f>
        <v>Broken Key</v>
      </c>
    </row>
    <row r="477" ht="15.75" customHeight="1">
      <c r="A477" s="1">
        <v>162.0</v>
      </c>
      <c r="B477" s="1">
        <v>515.0</v>
      </c>
      <c r="C477" s="1">
        <v>1.0</v>
      </c>
      <c r="D477" s="1">
        <v>20.0</v>
      </c>
      <c r="F477" s="1" t="str">
        <f>LOOKUP(A477, NPCs!A:A, NPCs!C:C)</f>
        <v>King Terror</v>
      </c>
      <c r="G477" s="1" t="str">
        <f>LOOKUP(B477, Items!A:A, Items!C:C)</f>
        <v>Broken Key</v>
      </c>
    </row>
    <row r="478" ht="15.75" customHeight="1">
      <c r="A478" s="1">
        <v>162.0</v>
      </c>
      <c r="B478" s="1">
        <v>511.0</v>
      </c>
      <c r="C478" s="1">
        <v>1.0</v>
      </c>
      <c r="D478" s="1">
        <v>20.0</v>
      </c>
      <c r="F478" s="1" t="str">
        <f>LOOKUP(A478, NPCs!A:A, NPCs!C:C)</f>
        <v>King Terror</v>
      </c>
      <c r="G478" s="1" t="str">
        <f>LOOKUP(B478, Items!A:A, Items!C:C)</f>
        <v>Terror Necklace</v>
      </c>
    </row>
    <row r="479" ht="15.75" customHeight="1">
      <c r="A479" s="1">
        <v>163.0</v>
      </c>
      <c r="B479" s="1">
        <v>297.0</v>
      </c>
      <c r="C479" s="1">
        <v>1.0</v>
      </c>
      <c r="D479" s="1">
        <v>20.0</v>
      </c>
      <c r="F479" s="1" t="str">
        <f>LOOKUP(A479, NPCs!A:A, NPCs!C:C)</f>
        <v>Prince Punisher</v>
      </c>
      <c r="G479" s="1" t="str">
        <f>LOOKUP(B479, Items!A:A, Items!C:C)</f>
        <v>Essence of Earth</v>
      </c>
    </row>
    <row r="480" ht="15.75" customHeight="1">
      <c r="A480" s="1">
        <v>163.0</v>
      </c>
      <c r="B480" s="1">
        <v>298.0</v>
      </c>
      <c r="C480" s="1">
        <v>1.0</v>
      </c>
      <c r="D480" s="1">
        <v>20.0</v>
      </c>
      <c r="F480" s="1" t="str">
        <f>LOOKUP(A480, NPCs!A:A, NPCs!C:C)</f>
        <v>Prince Punisher</v>
      </c>
      <c r="G480" s="1" t="str">
        <f>LOOKUP(B480, Items!A:A, Items!C:C)</f>
        <v>Essence of Water</v>
      </c>
    </row>
    <row r="481" ht="15.75" customHeight="1">
      <c r="A481" s="1">
        <v>163.0</v>
      </c>
      <c r="B481" s="1">
        <v>299.0</v>
      </c>
      <c r="C481" s="1">
        <v>1.0</v>
      </c>
      <c r="D481" s="1">
        <v>20.0</v>
      </c>
      <c r="F481" s="1" t="str">
        <f>LOOKUP(A481, NPCs!A:A, NPCs!C:C)</f>
        <v>Prince Punisher</v>
      </c>
      <c r="G481" s="1" t="str">
        <f>LOOKUP(B481, Items!A:A, Items!C:C)</f>
        <v>Essence of Fire</v>
      </c>
    </row>
    <row r="482" ht="15.75" customHeight="1">
      <c r="A482" s="1">
        <v>163.0</v>
      </c>
      <c r="B482" s="1">
        <v>300.0</v>
      </c>
      <c r="C482" s="1">
        <v>1.0</v>
      </c>
      <c r="D482" s="1">
        <v>20.0</v>
      </c>
      <c r="F482" s="1" t="str">
        <f>LOOKUP(A482, NPCs!A:A, NPCs!C:C)</f>
        <v>Prince Punisher</v>
      </c>
      <c r="G482" s="1" t="str">
        <f>LOOKUP(B482, Items!A:A, Items!C:C)</f>
        <v>Essence of Air</v>
      </c>
    </row>
    <row r="483" ht="15.75" customHeight="1">
      <c r="A483" s="1">
        <v>163.0</v>
      </c>
      <c r="B483" s="1">
        <v>297.0</v>
      </c>
      <c r="C483" s="1">
        <v>1.0</v>
      </c>
      <c r="D483" s="1">
        <v>20.0</v>
      </c>
      <c r="F483" s="1" t="str">
        <f>LOOKUP(A483, NPCs!A:A, NPCs!C:C)</f>
        <v>Prince Punisher</v>
      </c>
      <c r="G483" s="1" t="str">
        <f>LOOKUP(B483, Items!A:A, Items!C:C)</f>
        <v>Essence of Earth</v>
      </c>
    </row>
    <row r="484" ht="15.75" customHeight="1">
      <c r="A484" s="1">
        <v>163.0</v>
      </c>
      <c r="B484" s="1">
        <v>298.0</v>
      </c>
      <c r="C484" s="1">
        <v>1.0</v>
      </c>
      <c r="D484" s="1">
        <v>20.0</v>
      </c>
      <c r="F484" s="1" t="str">
        <f>LOOKUP(A484, NPCs!A:A, NPCs!C:C)</f>
        <v>Prince Punisher</v>
      </c>
      <c r="G484" s="1" t="str">
        <f>LOOKUP(B484, Items!A:A, Items!C:C)</f>
        <v>Essence of Water</v>
      </c>
    </row>
    <row r="485" ht="15.75" customHeight="1">
      <c r="A485" s="1">
        <v>163.0</v>
      </c>
      <c r="B485" s="1">
        <v>299.0</v>
      </c>
      <c r="C485" s="1">
        <v>1.0</v>
      </c>
      <c r="D485" s="1">
        <v>20.0</v>
      </c>
      <c r="F485" s="1" t="str">
        <f>LOOKUP(A485, NPCs!A:A, NPCs!C:C)</f>
        <v>Prince Punisher</v>
      </c>
      <c r="G485" s="1" t="str">
        <f>LOOKUP(B485, Items!A:A, Items!C:C)</f>
        <v>Essence of Fire</v>
      </c>
    </row>
    <row r="486" ht="15.75" customHeight="1">
      <c r="A486" s="1">
        <v>163.0</v>
      </c>
      <c r="B486" s="1">
        <v>300.0</v>
      </c>
      <c r="C486" s="1">
        <v>1.0</v>
      </c>
      <c r="D486" s="1">
        <v>20.0</v>
      </c>
      <c r="F486" s="1" t="str">
        <f>LOOKUP(A486, NPCs!A:A, NPCs!C:C)</f>
        <v>Prince Punisher</v>
      </c>
      <c r="G486" s="1" t="str">
        <f>LOOKUP(B486, Items!A:A, Items!C:C)</f>
        <v>Essence of Air</v>
      </c>
    </row>
    <row r="487" ht="15.75" customHeight="1">
      <c r="A487" s="1">
        <v>163.0</v>
      </c>
      <c r="B487" s="1">
        <v>490.0</v>
      </c>
      <c r="C487" s="1">
        <v>1.0</v>
      </c>
      <c r="D487" s="1">
        <v>10.0</v>
      </c>
      <c r="F487" s="1" t="str">
        <f>LOOKUP(A487, NPCs!A:A, NPCs!C:C)</f>
        <v>Prince Punisher</v>
      </c>
      <c r="G487" s="1" t="str">
        <f>LOOKUP(B487, Items!A:A, Items!C:C)</f>
        <v>Design: Royal Leggings</v>
      </c>
    </row>
    <row r="488" ht="15.75" customHeight="1">
      <c r="A488" s="1">
        <v>163.0</v>
      </c>
      <c r="B488" s="1">
        <v>491.0</v>
      </c>
      <c r="C488" s="1">
        <v>1.0</v>
      </c>
      <c r="D488" s="1">
        <v>10.0</v>
      </c>
      <c r="F488" s="1" t="str">
        <f>LOOKUP(A488, NPCs!A:A, NPCs!C:C)</f>
        <v>Prince Punisher</v>
      </c>
      <c r="G488" s="1" t="str">
        <f>LOOKUP(B488, Items!A:A, Items!C:C)</f>
        <v>Mold: Royal Legplates</v>
      </c>
    </row>
    <row r="489" ht="15.75" customHeight="1">
      <c r="A489" s="1">
        <v>163.0</v>
      </c>
      <c r="B489" s="1">
        <v>492.0</v>
      </c>
      <c r="C489" s="1">
        <v>1.0</v>
      </c>
      <c r="D489" s="1">
        <v>10.0</v>
      </c>
      <c r="F489" s="1" t="str">
        <f>LOOKUP(A489, NPCs!A:A, NPCs!C:C)</f>
        <v>Prince Punisher</v>
      </c>
      <c r="G489" s="1" t="str">
        <f>LOOKUP(B489, Items!A:A, Items!C:C)</f>
        <v>Design: Royal Tunic</v>
      </c>
    </row>
    <row r="490" ht="15.75" customHeight="1">
      <c r="A490" s="1">
        <v>163.0</v>
      </c>
      <c r="B490" s="1">
        <v>493.0</v>
      </c>
      <c r="C490" s="1">
        <v>1.0</v>
      </c>
      <c r="D490" s="1">
        <v>10.0</v>
      </c>
      <c r="F490" s="1" t="str">
        <f>LOOKUP(A490, NPCs!A:A, NPCs!C:C)</f>
        <v>Prince Punisher</v>
      </c>
      <c r="G490" s="1" t="str">
        <f>LOOKUP(B490, Items!A:A, Items!C:C)</f>
        <v>Mold: Royal Chestplate</v>
      </c>
    </row>
    <row r="491" ht="15.75" customHeight="1">
      <c r="A491" s="1">
        <v>164.0</v>
      </c>
      <c r="B491" s="1">
        <v>502.0</v>
      </c>
      <c r="C491" s="1">
        <v>1.0</v>
      </c>
      <c r="D491" s="1">
        <v>20.0</v>
      </c>
      <c r="F491" s="1" t="str">
        <f>LOOKUP(A491, NPCs!A:A, NPCs!C:C)</f>
        <v>Queen Butcher</v>
      </c>
      <c r="G491" s="1" t="str">
        <f>LOOKUP(B491, Items!A:A, Items!C:C)</f>
        <v>Mischiefs Claw of Destruction</v>
      </c>
    </row>
    <row r="492" ht="15.75" customHeight="1">
      <c r="A492" s="1">
        <v>164.0</v>
      </c>
      <c r="B492" s="1">
        <v>503.0</v>
      </c>
      <c r="C492" s="1">
        <v>1.0</v>
      </c>
      <c r="D492" s="1">
        <v>20.0</v>
      </c>
      <c r="F492" s="1" t="str">
        <f>LOOKUP(A492, NPCs!A:A, NPCs!C:C)</f>
        <v>Queen Butcher</v>
      </c>
      <c r="G492" s="1" t="str">
        <f>LOOKUP(B492, Items!A:A, Items!C:C)</f>
        <v>Mischiefs Shield of Destruction</v>
      </c>
    </row>
    <row r="493" ht="15.75" customHeight="1">
      <c r="A493" s="1">
        <v>164.0</v>
      </c>
      <c r="B493" s="1">
        <v>504.0</v>
      </c>
      <c r="C493" s="1">
        <v>1.0</v>
      </c>
      <c r="D493" s="1">
        <v>20.0</v>
      </c>
      <c r="F493" s="1" t="str">
        <f>LOOKUP(A493, NPCs!A:A, NPCs!C:C)</f>
        <v>Queen Butcher</v>
      </c>
      <c r="G493" s="1" t="str">
        <f>LOOKUP(B493, Items!A:A, Items!C:C)</f>
        <v>Wizards Staff of Enchantment</v>
      </c>
    </row>
    <row r="494" ht="15.75" customHeight="1">
      <c r="A494" s="1">
        <v>164.0</v>
      </c>
      <c r="B494" s="1">
        <v>505.0</v>
      </c>
      <c r="C494" s="1">
        <v>1.0</v>
      </c>
      <c r="D494" s="1">
        <v>20.0</v>
      </c>
      <c r="F494" s="1" t="str">
        <f>LOOKUP(A494, NPCs!A:A, NPCs!C:C)</f>
        <v>Queen Butcher</v>
      </c>
      <c r="G494" s="1" t="str">
        <f>LOOKUP(B494, Items!A:A, Items!C:C)</f>
        <v>Knights Sword of Awe</v>
      </c>
    </row>
    <row r="495" ht="15.75" customHeight="1">
      <c r="A495" s="1">
        <v>164.0</v>
      </c>
      <c r="B495" s="1">
        <v>506.0</v>
      </c>
      <c r="C495" s="1">
        <v>1.0</v>
      </c>
      <c r="D495" s="1">
        <v>20.0</v>
      </c>
      <c r="F495" s="1" t="str">
        <f>LOOKUP(A495, NPCs!A:A, NPCs!C:C)</f>
        <v>Queen Butcher</v>
      </c>
      <c r="G495" s="1" t="str">
        <f>LOOKUP(B495, Items!A:A, Items!C:C)</f>
        <v>Clerics Testament of Nobility</v>
      </c>
    </row>
    <row r="496" ht="15.75" customHeight="1">
      <c r="A496" s="1">
        <v>164.0</v>
      </c>
      <c r="B496" s="1">
        <v>507.0</v>
      </c>
      <c r="C496" s="1">
        <v>1.0</v>
      </c>
      <c r="D496" s="1">
        <v>20.0</v>
      </c>
      <c r="F496" s="1" t="str">
        <f>LOOKUP(A496, NPCs!A:A, NPCs!C:C)</f>
        <v>Queen Butcher</v>
      </c>
      <c r="G496" s="1" t="str">
        <f>LOOKUP(B496, Items!A:A, Items!C:C)</f>
        <v>Clerics Ward of Nobility</v>
      </c>
    </row>
    <row r="497" ht="15.75" customHeight="1">
      <c r="A497" s="1">
        <v>165.0</v>
      </c>
      <c r="B497" s="1">
        <v>508.0</v>
      </c>
      <c r="C497" s="1">
        <v>1.0</v>
      </c>
      <c r="D497" s="1">
        <v>20.0</v>
      </c>
      <c r="F497" s="1" t="str">
        <f>LOOKUP(A497, NPCs!A:A, NPCs!C:C)</f>
        <v>Princess Slayer</v>
      </c>
      <c r="G497" s="1" t="str">
        <f>LOOKUP(B497, Items!A:A, Items!C:C)</f>
        <v>Slayers Armguards</v>
      </c>
    </row>
    <row r="498" ht="15.75" customHeight="1">
      <c r="A498" s="1">
        <v>165.0</v>
      </c>
      <c r="B498" s="1">
        <v>509.0</v>
      </c>
      <c r="C498" s="1">
        <v>1.0</v>
      </c>
      <c r="D498" s="1">
        <v>20.0</v>
      </c>
      <c r="F498" s="1" t="str">
        <f>LOOKUP(A498, NPCs!A:A, NPCs!C:C)</f>
        <v>Princess Slayer</v>
      </c>
      <c r="G498" s="1" t="str">
        <f>LOOKUP(B498, Items!A:A, Items!C:C)</f>
        <v>Slayers Belt</v>
      </c>
    </row>
    <row r="499" ht="15.75" customHeight="1">
      <c r="A499" s="1">
        <v>165.0</v>
      </c>
      <c r="B499" s="1">
        <v>510.0</v>
      </c>
      <c r="C499" s="1">
        <v>1.0</v>
      </c>
      <c r="D499" s="1">
        <v>20.0</v>
      </c>
      <c r="F499" s="1" t="str">
        <f>LOOKUP(A499, NPCs!A:A, NPCs!C:C)</f>
        <v>Princess Slayer</v>
      </c>
      <c r="G499" s="1" t="str">
        <f>LOOKUP(B499, Items!A:A, Items!C:C)</f>
        <v>Slayers Gloves</v>
      </c>
    </row>
    <row r="500" ht="15.75" customHeight="1">
      <c r="A500" s="1">
        <v>175.0</v>
      </c>
      <c r="B500" s="1">
        <v>593.0</v>
      </c>
      <c r="C500" s="1">
        <v>1.0</v>
      </c>
      <c r="D500" s="1">
        <v>1.0</v>
      </c>
      <c r="F500" s="1" t="str">
        <f>LOOKUP(A500, NPCs!A:A, NPCs!C:C)</f>
        <v>Ancient Prisoner</v>
      </c>
      <c r="G500" s="1" t="str">
        <f>LOOKUP(B500, Items!A:A, Items!C:C)</f>
        <v>Scroll: Paradise Teleport</v>
      </c>
    </row>
    <row r="501" ht="15.75" customHeight="1">
      <c r="A501" s="1">
        <v>175.0</v>
      </c>
      <c r="B501" s="1">
        <v>594.0</v>
      </c>
      <c r="C501" s="1">
        <v>1.0</v>
      </c>
      <c r="D501" s="1">
        <v>2.0</v>
      </c>
      <c r="F501" s="1" t="str">
        <f>LOOKUP(A501, NPCs!A:A, NPCs!C:C)</f>
        <v>Ancient Prisoner</v>
      </c>
      <c r="G501" s="1" t="str">
        <f>LOOKUP(B501, Items!A:A, Items!C:C)</f>
        <v>Scroll: Ancient Covenant</v>
      </c>
    </row>
    <row r="502" ht="15.75" customHeight="1">
      <c r="A502" s="1">
        <v>175.0</v>
      </c>
      <c r="B502" s="1">
        <v>595.0</v>
      </c>
      <c r="C502" s="1">
        <v>1.0</v>
      </c>
      <c r="D502" s="1">
        <v>2.0</v>
      </c>
      <c r="F502" s="1" t="str">
        <f>LOOKUP(A502, NPCs!A:A, NPCs!C:C)</f>
        <v>Ancient Prisoner</v>
      </c>
      <c r="G502" s="1" t="str">
        <f>LOOKUP(B502, Items!A:A, Items!C:C)</f>
        <v>Scroll: Ancient Sacrifice 2</v>
      </c>
    </row>
    <row r="503" ht="15.75" customHeight="1">
      <c r="A503" s="1">
        <v>175.0</v>
      </c>
      <c r="B503" s="1">
        <v>597.0</v>
      </c>
      <c r="C503" s="1">
        <v>1.0</v>
      </c>
      <c r="D503" s="1">
        <v>2.0</v>
      </c>
      <c r="F503" s="1" t="str">
        <f>LOOKUP(A503, NPCs!A:A, NPCs!C:C)</f>
        <v>Ancient Prisoner</v>
      </c>
      <c r="G503" s="1" t="str">
        <f>LOOKUP(B503, Items!A:A, Items!C:C)</f>
        <v>Scroll: Ancient Taunt 2</v>
      </c>
    </row>
    <row r="504" ht="15.75" customHeight="1">
      <c r="A504" s="1">
        <v>176.0</v>
      </c>
      <c r="B504" s="1">
        <v>593.0</v>
      </c>
      <c r="C504" s="1">
        <v>1.0</v>
      </c>
      <c r="D504" s="1">
        <v>4.0</v>
      </c>
      <c r="F504" s="1" t="str">
        <f>LOOKUP(A504, NPCs!A:A, NPCs!C:C)</f>
        <v>Ancient Prison Superior</v>
      </c>
      <c r="G504" s="1" t="str">
        <f>LOOKUP(B504, Items!A:A, Items!C:C)</f>
        <v>Scroll: Paradise Teleport</v>
      </c>
    </row>
    <row r="505" ht="15.75" customHeight="1">
      <c r="A505" s="1">
        <v>176.0</v>
      </c>
      <c r="B505" s="1">
        <v>594.0</v>
      </c>
      <c r="C505" s="1">
        <v>1.0</v>
      </c>
      <c r="D505" s="1">
        <v>25.0</v>
      </c>
      <c r="F505" s="1" t="str">
        <f>LOOKUP(A505, NPCs!A:A, NPCs!C:C)</f>
        <v>Ancient Prison Superior</v>
      </c>
      <c r="G505" s="1" t="str">
        <f>LOOKUP(B505, Items!A:A, Items!C:C)</f>
        <v>Scroll: Ancient Covenant</v>
      </c>
    </row>
    <row r="506" ht="15.75" customHeight="1">
      <c r="A506" s="1">
        <v>176.0</v>
      </c>
      <c r="B506" s="1">
        <v>595.0</v>
      </c>
      <c r="C506" s="1">
        <v>1.0</v>
      </c>
      <c r="D506" s="1">
        <v>25.0</v>
      </c>
      <c r="F506" s="1" t="str">
        <f>LOOKUP(A506, NPCs!A:A, NPCs!C:C)</f>
        <v>Ancient Prison Superior</v>
      </c>
      <c r="G506" s="1" t="str">
        <f>LOOKUP(B506, Items!A:A, Items!C:C)</f>
        <v>Scroll: Ancient Sacrifice 2</v>
      </c>
    </row>
    <row r="507" ht="15.75" customHeight="1">
      <c r="A507" s="1">
        <v>176.0</v>
      </c>
      <c r="B507" s="1">
        <v>597.0</v>
      </c>
      <c r="C507" s="1">
        <v>1.0</v>
      </c>
      <c r="D507" s="1">
        <v>25.0</v>
      </c>
      <c r="F507" s="1" t="str">
        <f>LOOKUP(A507, NPCs!A:A, NPCs!C:C)</f>
        <v>Ancient Prison Superior</v>
      </c>
      <c r="G507" s="1" t="str">
        <f>LOOKUP(B507, Items!A:A, Items!C:C)</f>
        <v>Scroll: Ancient Taunt 2</v>
      </c>
    </row>
    <row r="508" ht="15.75" customHeight="1">
      <c r="A508" s="1">
        <v>177.0</v>
      </c>
      <c r="B508" s="1">
        <v>591.0</v>
      </c>
      <c r="C508" s="1">
        <v>1.0</v>
      </c>
      <c r="D508" s="1">
        <v>7.0</v>
      </c>
      <c r="F508" s="1" t="str">
        <f>LOOKUP(A508, NPCs!A:A, NPCs!C:C)</f>
        <v>Henry</v>
      </c>
      <c r="G508" s="1" t="str">
        <f>LOOKUP(B508, Items!A:A, Items!C:C)</f>
        <v>Howto: Helm Enchantment</v>
      </c>
    </row>
    <row r="509" ht="15.75" customHeight="1">
      <c r="A509" s="1">
        <v>177.0</v>
      </c>
      <c r="B509" s="1">
        <v>591.0</v>
      </c>
      <c r="C509" s="1">
        <v>1.0</v>
      </c>
      <c r="D509" s="1">
        <v>7.0</v>
      </c>
      <c r="F509" s="1" t="str">
        <f>LOOKUP(A509, NPCs!A:A, NPCs!C:C)</f>
        <v>Henry</v>
      </c>
      <c r="G509" s="1" t="str">
        <f>LOOKUP(B509, Items!A:A, Items!C:C)</f>
        <v>Howto: Helm Enchantment</v>
      </c>
    </row>
    <row r="510" ht="15.75" customHeight="1">
      <c r="A510" s="1">
        <v>177.0</v>
      </c>
      <c r="B510" s="1">
        <v>591.0</v>
      </c>
      <c r="C510" s="1">
        <v>1.0</v>
      </c>
      <c r="D510" s="1">
        <v>7.0</v>
      </c>
      <c r="F510" s="1" t="str">
        <f>LOOKUP(A510, NPCs!A:A, NPCs!C:C)</f>
        <v>Henry</v>
      </c>
      <c r="G510" s="1" t="str">
        <f>LOOKUP(B510, Items!A:A, Items!C:C)</f>
        <v>Howto: Helm Enchantment</v>
      </c>
    </row>
    <row r="511" ht="15.75" customHeight="1">
      <c r="A511" s="1">
        <v>177.0</v>
      </c>
      <c r="B511" s="1">
        <v>592.0</v>
      </c>
      <c r="C511" s="1">
        <v>1.0</v>
      </c>
      <c r="D511" s="1">
        <v>5.0</v>
      </c>
      <c r="F511" s="1" t="str">
        <f>LOOKUP(A511, NPCs!A:A, NPCs!C:C)</f>
        <v>Henry</v>
      </c>
      <c r="G511" s="1" t="str">
        <f>LOOKUP(B511, Items!A:A, Items!C:C)</f>
        <v>Scroll: Group Ancient Dungeons Teleport</v>
      </c>
    </row>
    <row r="512" ht="15.75" customHeight="1">
      <c r="A512" s="1">
        <v>178.0</v>
      </c>
      <c r="B512" s="1">
        <v>586.0</v>
      </c>
      <c r="C512" s="1">
        <v>1.0</v>
      </c>
      <c r="D512" s="1">
        <v>25.0</v>
      </c>
      <c r="F512" s="1" t="str">
        <f>LOOKUP(A512, NPCs!A:A, NPCs!C:C)</f>
        <v>Gordon</v>
      </c>
      <c r="G512" s="1" t="str">
        <f>LOOKUP(B512, Items!A:A, Items!C:C)</f>
        <v>Prison Gloves</v>
      </c>
    </row>
    <row r="513" ht="15.75" customHeight="1">
      <c r="A513" s="1">
        <v>178.0</v>
      </c>
      <c r="B513" s="1">
        <v>592.0</v>
      </c>
      <c r="C513" s="1">
        <v>1.0</v>
      </c>
      <c r="D513" s="1">
        <v>5.0</v>
      </c>
      <c r="F513" s="1" t="str">
        <f>LOOKUP(A513, NPCs!A:A, NPCs!C:C)</f>
        <v>Gordon</v>
      </c>
      <c r="G513" s="1" t="str">
        <f>LOOKUP(B513, Items!A:A, Items!C:C)</f>
        <v>Scroll: Group Ancient Dungeons Teleport</v>
      </c>
    </row>
    <row r="514" ht="15.75" customHeight="1">
      <c r="A514" s="1">
        <v>179.0</v>
      </c>
      <c r="B514" s="1">
        <v>585.0</v>
      </c>
      <c r="C514" s="1">
        <v>1.0</v>
      </c>
      <c r="D514" s="1">
        <v>8.0</v>
      </c>
      <c r="F514" s="1" t="str">
        <f>LOOKUP(A514, NPCs!A:A, NPCs!C:C)</f>
        <v>Rueben</v>
      </c>
      <c r="G514" s="1" t="str">
        <f>LOOKUP(B514, Items!A:A, Items!C:C)</f>
        <v>Howto: Bracelet Enchantment</v>
      </c>
    </row>
    <row r="515" ht="15.75" customHeight="1">
      <c r="A515" s="1">
        <v>179.0</v>
      </c>
      <c r="B515" s="1">
        <v>585.0</v>
      </c>
      <c r="C515" s="1">
        <v>1.0</v>
      </c>
      <c r="D515" s="1">
        <v>8.0</v>
      </c>
      <c r="F515" s="1" t="str">
        <f>LOOKUP(A515, NPCs!A:A, NPCs!C:C)</f>
        <v>Rueben</v>
      </c>
      <c r="G515" s="1" t="str">
        <f>LOOKUP(B515, Items!A:A, Items!C:C)</f>
        <v>Howto: Bracelet Enchantment</v>
      </c>
    </row>
    <row r="516" ht="15.75" customHeight="1">
      <c r="A516" s="1">
        <v>179.0</v>
      </c>
      <c r="B516" s="1">
        <v>585.0</v>
      </c>
      <c r="C516" s="1">
        <v>1.0</v>
      </c>
      <c r="D516" s="1">
        <v>8.0</v>
      </c>
      <c r="F516" s="1" t="str">
        <f>LOOKUP(A516, NPCs!A:A, NPCs!C:C)</f>
        <v>Rueben</v>
      </c>
      <c r="G516" s="1" t="str">
        <f>LOOKUP(B516, Items!A:A, Items!C:C)</f>
        <v>Howto: Bracelet Enchantment</v>
      </c>
    </row>
    <row r="517" ht="15.75" customHeight="1">
      <c r="A517" s="1">
        <v>179.0</v>
      </c>
      <c r="B517" s="1">
        <v>585.0</v>
      </c>
      <c r="C517" s="1">
        <v>1.0</v>
      </c>
      <c r="D517" s="1">
        <v>8.0</v>
      </c>
      <c r="F517" s="1" t="str">
        <f>LOOKUP(A517, NPCs!A:A, NPCs!C:C)</f>
        <v>Rueben</v>
      </c>
      <c r="G517" s="1" t="str">
        <f>LOOKUP(B517, Items!A:A, Items!C:C)</f>
        <v>Howto: Bracelet Enchantment</v>
      </c>
    </row>
    <row r="518" ht="15.75" customHeight="1">
      <c r="A518" s="1">
        <v>179.0</v>
      </c>
      <c r="B518" s="1">
        <v>592.0</v>
      </c>
      <c r="C518" s="1">
        <v>1.0</v>
      </c>
      <c r="D518" s="1">
        <v>5.0</v>
      </c>
      <c r="F518" s="1" t="str">
        <f>LOOKUP(A518, NPCs!A:A, NPCs!C:C)</f>
        <v>Rueben</v>
      </c>
      <c r="G518" s="1" t="str">
        <f>LOOKUP(B518, Items!A:A, Items!C:C)</f>
        <v>Scroll: Group Ancient Dungeons Teleport</v>
      </c>
    </row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1043</v>
      </c>
      <c r="B1" s="1" t="s">
        <v>1127</v>
      </c>
      <c r="C1" s="1" t="s">
        <v>1173</v>
      </c>
      <c r="D1" s="1" t="s">
        <v>1175</v>
      </c>
      <c r="E1" s="1" t="s">
        <v>1176</v>
      </c>
      <c r="G1" s="1" t="s">
        <v>1047</v>
      </c>
      <c r="H1" s="1" t="s">
        <v>1130</v>
      </c>
    </row>
    <row r="2">
      <c r="A2" s="1">
        <v>84.0</v>
      </c>
      <c r="B2" s="1">
        <v>88.0</v>
      </c>
      <c r="E2" s="1">
        <v>1.0</v>
      </c>
      <c r="G2" s="1" t="str">
        <f>LOOKUP(A2, NPCs!A:A, NPCs!C:C)</f>
        <v>Hair Dye Guy</v>
      </c>
      <c r="H2" s="1" t="str">
        <f>LOOKUP(B2, Items!A:A, Items!C:C)</f>
        <v>Hair Dye: Black</v>
      </c>
    </row>
    <row r="3">
      <c r="A3" s="1">
        <v>84.0</v>
      </c>
      <c r="B3" s="1">
        <v>169.0</v>
      </c>
      <c r="E3" s="1">
        <v>2.0</v>
      </c>
      <c r="G3" s="1" t="str">
        <f>LOOKUP(A3, NPCs!A:A, NPCs!C:C)</f>
        <v>Hair Dye Guy</v>
      </c>
      <c r="H3" s="1" t="str">
        <f>LOOKUP(B3, Items!A:A, Items!C:C)</f>
        <v>Hair Dye: Red</v>
      </c>
    </row>
    <row r="4">
      <c r="A4" s="1">
        <v>84.0</v>
      </c>
      <c r="B4" s="1">
        <v>170.0</v>
      </c>
      <c r="E4" s="1">
        <v>3.0</v>
      </c>
      <c r="G4" s="1" t="str">
        <f>LOOKUP(A4, NPCs!A:A, NPCs!C:C)</f>
        <v>Hair Dye Guy</v>
      </c>
      <c r="H4" s="1" t="str">
        <f>LOOKUP(B4, Items!A:A, Items!C:C)</f>
        <v>Hair Dye: Blue</v>
      </c>
    </row>
    <row r="5">
      <c r="A5" s="1">
        <v>84.0</v>
      </c>
      <c r="B5" s="1">
        <v>171.0</v>
      </c>
      <c r="E5" s="1">
        <v>4.0</v>
      </c>
      <c r="G5" s="1" t="str">
        <f>LOOKUP(A5, NPCs!A:A, NPCs!C:C)</f>
        <v>Hair Dye Guy</v>
      </c>
      <c r="H5" s="1" t="str">
        <f>LOOKUP(B5, Items!A:A, Items!C:C)</f>
        <v>Hair Dye: Grey</v>
      </c>
    </row>
    <row r="6">
      <c r="A6" s="1">
        <v>84.0</v>
      </c>
      <c r="B6" s="1">
        <v>546.0</v>
      </c>
      <c r="E6" s="1">
        <v>5.0</v>
      </c>
      <c r="G6" s="1" t="str">
        <f>LOOKUP(A6, NPCs!A:A, NPCs!C:C)</f>
        <v>Hair Dye Guy</v>
      </c>
      <c r="H6" s="1" t="str">
        <f>LOOKUP(B6, Items!A:A, Items!C:C)</f>
        <v>Hair Dye: Green</v>
      </c>
    </row>
    <row r="7">
      <c r="A7" s="1">
        <v>84.0</v>
      </c>
      <c r="B7" s="1">
        <v>547.0</v>
      </c>
      <c r="E7" s="1">
        <v>6.0</v>
      </c>
      <c r="G7" s="1" t="str">
        <f>LOOKUP(A7, NPCs!A:A, NPCs!C:C)</f>
        <v>Hair Dye Guy</v>
      </c>
      <c r="H7" s="1" t="str">
        <f>LOOKUP(B7, Items!A:A, Items!C:C)</f>
        <v>Hair Dye: Blonde</v>
      </c>
    </row>
    <row r="8">
      <c r="A8" s="1">
        <v>85.0</v>
      </c>
      <c r="B8" s="1">
        <v>172.0</v>
      </c>
      <c r="E8" s="1">
        <v>1.0</v>
      </c>
      <c r="G8" s="1" t="str">
        <f>LOOKUP(A8, NPCs!A:A, NPCs!C:C)</f>
        <v>Hair 1</v>
      </c>
      <c r="H8" s="1" t="str">
        <f>LOOKUP(B8, Items!A:A, Items!C:C)</f>
        <v>Hair Cut: 1</v>
      </c>
    </row>
    <row r="9">
      <c r="A9" s="1">
        <v>86.0</v>
      </c>
      <c r="B9" s="1">
        <v>173.0</v>
      </c>
      <c r="E9" s="1">
        <v>1.0</v>
      </c>
      <c r="G9" s="1" t="str">
        <f>LOOKUP(A9, NPCs!A:A, NPCs!C:C)</f>
        <v>Hair 2</v>
      </c>
      <c r="H9" s="1" t="str">
        <f>LOOKUP(B9, Items!A:A, Items!C:C)</f>
        <v>Hair Cut: 2</v>
      </c>
    </row>
    <row r="10">
      <c r="A10" s="1">
        <v>87.0</v>
      </c>
      <c r="B10" s="1">
        <v>174.0</v>
      </c>
      <c r="E10" s="1">
        <v>1.0</v>
      </c>
      <c r="G10" s="1" t="str">
        <f>LOOKUP(A10, NPCs!A:A, NPCs!C:C)</f>
        <v>Hair 3</v>
      </c>
      <c r="H10" s="1" t="str">
        <f>LOOKUP(B10, Items!A:A, Items!C:C)</f>
        <v>Hair Cut: 3</v>
      </c>
    </row>
    <row r="11">
      <c r="A11" s="1">
        <v>88.0</v>
      </c>
      <c r="B11" s="1">
        <v>175.0</v>
      </c>
      <c r="E11" s="1">
        <v>1.0</v>
      </c>
      <c r="G11" s="1" t="str">
        <f>LOOKUP(A11, NPCs!A:A, NPCs!C:C)</f>
        <v>Hair 4</v>
      </c>
      <c r="H11" s="1" t="str">
        <f>LOOKUP(B11, Items!A:A, Items!C:C)</f>
        <v>Hair Cut: 4</v>
      </c>
    </row>
    <row r="12">
      <c r="A12" s="1">
        <v>89.0</v>
      </c>
      <c r="B12" s="1">
        <v>176.0</v>
      </c>
      <c r="E12" s="1">
        <v>1.0</v>
      </c>
      <c r="G12" s="1" t="str">
        <f>LOOKUP(A12, NPCs!A:A, NPCs!C:C)</f>
        <v>Hair 5</v>
      </c>
      <c r="H12" s="1" t="str">
        <f>LOOKUP(B12, Items!A:A, Items!C:C)</f>
        <v>Hair Cut: 5</v>
      </c>
    </row>
    <row r="13">
      <c r="A13" s="1">
        <v>90.0</v>
      </c>
      <c r="B13" s="1">
        <v>177.0</v>
      </c>
      <c r="E13" s="1">
        <v>1.0</v>
      </c>
      <c r="G13" s="1" t="str">
        <f>LOOKUP(A13, NPCs!A:A, NPCs!C:C)</f>
        <v>Hair 6</v>
      </c>
      <c r="H13" s="1" t="str">
        <f>LOOKUP(B13, Items!A:A, Items!C:C)</f>
        <v>Hair Cut: 6</v>
      </c>
    </row>
    <row r="14">
      <c r="A14" s="1">
        <v>91.0</v>
      </c>
      <c r="B14" s="1">
        <v>178.0</v>
      </c>
      <c r="E14" s="1">
        <v>1.0</v>
      </c>
      <c r="G14" s="1" t="str">
        <f>LOOKUP(A14, NPCs!A:A, NPCs!C:C)</f>
        <v>Hair 7</v>
      </c>
      <c r="H14" s="1" t="str">
        <f>LOOKUP(B14, Items!A:A, Items!C:C)</f>
        <v>Hair Cut: 7</v>
      </c>
    </row>
    <row r="15">
      <c r="A15" s="1">
        <v>92.0</v>
      </c>
      <c r="B15" s="1">
        <v>179.0</v>
      </c>
      <c r="E15" s="1">
        <v>1.0</v>
      </c>
      <c r="G15" s="1" t="str">
        <f>LOOKUP(A15, NPCs!A:A, NPCs!C:C)</f>
        <v>Face 1</v>
      </c>
      <c r="H15" s="1" t="str">
        <f>LOOKUP(B15, Items!A:A, Items!C:C)</f>
        <v>Face: 1</v>
      </c>
    </row>
    <row r="16">
      <c r="A16" s="1">
        <v>93.0</v>
      </c>
      <c r="B16" s="1">
        <v>180.0</v>
      </c>
      <c r="E16" s="1">
        <v>1.0</v>
      </c>
      <c r="G16" s="1" t="str">
        <f>LOOKUP(A16, NPCs!A:A, NPCs!C:C)</f>
        <v>Face 2</v>
      </c>
      <c r="H16" s="1" t="str">
        <f>LOOKUP(B16, Items!A:A, Items!C:C)</f>
        <v>Face: 2</v>
      </c>
    </row>
    <row r="17">
      <c r="A17" s="1">
        <v>94.0</v>
      </c>
      <c r="B17" s="1">
        <v>181.0</v>
      </c>
      <c r="E17" s="1">
        <v>1.0</v>
      </c>
      <c r="G17" s="1" t="str">
        <f>LOOKUP(A17, NPCs!A:A, NPCs!C:C)</f>
        <v>Face 3</v>
      </c>
      <c r="H17" s="1" t="str">
        <f>LOOKUP(B17, Items!A:A, Items!C:C)</f>
        <v>Face: 3</v>
      </c>
    </row>
    <row r="18">
      <c r="A18" s="1">
        <v>95.0</v>
      </c>
      <c r="B18" s="1">
        <v>182.0</v>
      </c>
      <c r="E18" s="1">
        <v>1.0</v>
      </c>
      <c r="G18" s="1" t="str">
        <f>LOOKUP(A18, NPCs!A:A, NPCs!C:C)</f>
        <v>Face 4</v>
      </c>
      <c r="H18" s="1" t="str">
        <f>LOOKUP(B18, Items!A:A, Items!C:C)</f>
        <v>Face: 4</v>
      </c>
    </row>
    <row r="19">
      <c r="A19" s="1">
        <v>96.0</v>
      </c>
      <c r="B19" s="1">
        <v>183.0</v>
      </c>
      <c r="E19" s="1">
        <v>1.0</v>
      </c>
      <c r="G19" s="1" t="str">
        <f>LOOKUP(A19, NPCs!A:A, NPCs!C:C)</f>
        <v>Male</v>
      </c>
      <c r="H19" s="1" t="str">
        <f>LOOKUP(B19, Items!A:A, Items!C:C)</f>
        <v>Sexchange: Male</v>
      </c>
    </row>
    <row r="20">
      <c r="A20" s="1">
        <v>97.0</v>
      </c>
      <c r="B20" s="1">
        <v>184.0</v>
      </c>
      <c r="E20" s="1">
        <v>1.0</v>
      </c>
      <c r="G20" s="1" t="str">
        <f>LOOKUP(A20, NPCs!A:A, NPCs!C:C)</f>
        <v>Female</v>
      </c>
      <c r="H20" s="1" t="str">
        <f>LOOKUP(B20, Items!A:A, Items!C:C)</f>
        <v>Sexchange: Female</v>
      </c>
    </row>
    <row r="21" ht="15.75" customHeight="1">
      <c r="A21" s="1">
        <v>98.0</v>
      </c>
      <c r="B21" s="1">
        <v>25.0</v>
      </c>
      <c r="E21" s="1">
        <v>1.0</v>
      </c>
      <c r="G21" s="1" t="str">
        <f>LOOKUP(A21, NPCs!A:A, NPCs!C:C)</f>
        <v>Magus Trainer</v>
      </c>
      <c r="H21" s="1" t="str">
        <f>LOOKUP(B21, Items!A:A, Items!C:C)</f>
        <v>Scroll: Elemental Strike 1</v>
      </c>
    </row>
    <row r="22" ht="15.75" customHeight="1">
      <c r="A22" s="1">
        <v>98.0</v>
      </c>
      <c r="B22" s="1">
        <v>26.0</v>
      </c>
      <c r="E22" s="1">
        <v>2.0</v>
      </c>
      <c r="G22" s="1" t="str">
        <f>LOOKUP(A22, NPCs!A:A, NPCs!C:C)</f>
        <v>Magus Trainer</v>
      </c>
      <c r="H22" s="1" t="str">
        <f>LOOKUP(B22, Items!A:A, Items!C:C)</f>
        <v>Scroll: Elemental Strike 2</v>
      </c>
    </row>
    <row r="23" ht="15.75" customHeight="1">
      <c r="A23" s="1">
        <v>98.0</v>
      </c>
      <c r="B23" s="1">
        <v>27.0</v>
      </c>
      <c r="E23" s="1">
        <v>3.0</v>
      </c>
      <c r="G23" s="1" t="str">
        <f>LOOKUP(A23, NPCs!A:A, NPCs!C:C)</f>
        <v>Magus Trainer</v>
      </c>
      <c r="H23" s="1" t="str">
        <f>LOOKUP(B23, Items!A:A, Items!C:C)</f>
        <v>Scroll: Arcane Shield 1</v>
      </c>
    </row>
    <row r="24" ht="15.75" customHeight="1">
      <c r="A24" s="1">
        <v>98.0</v>
      </c>
      <c r="B24" s="1">
        <v>28.0</v>
      </c>
      <c r="E24" s="1">
        <v>4.0</v>
      </c>
      <c r="G24" s="1" t="str">
        <f>LOOKUP(A24, NPCs!A:A, NPCs!C:C)</f>
        <v>Magus Trainer</v>
      </c>
      <c r="H24" s="1" t="str">
        <f>LOOKUP(B24, Items!A:A, Items!C:C)</f>
        <v>Scroll: Elemental Strike 3</v>
      </c>
    </row>
    <row r="25" ht="15.75" customHeight="1">
      <c r="A25" s="1">
        <v>98.0</v>
      </c>
      <c r="B25" s="1">
        <v>29.0</v>
      </c>
      <c r="E25" s="1">
        <v>5.0</v>
      </c>
      <c r="G25" s="1" t="str">
        <f>LOOKUP(A25, NPCs!A:A, NPCs!C:C)</f>
        <v>Magus Trainer</v>
      </c>
      <c r="H25" s="1" t="str">
        <f>LOOKUP(B25, Items!A:A, Items!C:C)</f>
        <v>Scroll: Elemental Shield 1</v>
      </c>
    </row>
    <row r="26" ht="15.75" customHeight="1">
      <c r="A26" s="1">
        <v>98.0</v>
      </c>
      <c r="B26" s="1">
        <v>186.0</v>
      </c>
      <c r="E26" s="1">
        <v>6.0</v>
      </c>
      <c r="G26" s="1" t="str">
        <f>LOOKUP(A26, NPCs!A:A, NPCs!C:C)</f>
        <v>Magus Trainer</v>
      </c>
      <c r="H26" s="1" t="str">
        <f>LOOKUP(B26, Items!A:A, Items!C:C)</f>
        <v>Scroll: Group Elemental Shield 1</v>
      </c>
    </row>
    <row r="27" ht="15.75" customHeight="1">
      <c r="A27" s="1">
        <v>98.0</v>
      </c>
      <c r="B27" s="1">
        <v>34.0</v>
      </c>
      <c r="E27" s="1">
        <v>7.0</v>
      </c>
      <c r="G27" s="1" t="str">
        <f>LOOKUP(A27, NPCs!A:A, NPCs!C:C)</f>
        <v>Magus Trainer</v>
      </c>
      <c r="H27" s="1" t="str">
        <f>LOOKUP(B27, Items!A:A, Items!C:C)</f>
        <v>Scroll: Gate</v>
      </c>
    </row>
    <row r="28" ht="15.75" customHeight="1">
      <c r="A28" s="1">
        <v>98.0</v>
      </c>
      <c r="B28" s="1">
        <v>30.0</v>
      </c>
      <c r="E28" s="1">
        <v>8.0</v>
      </c>
      <c r="G28" s="1" t="str">
        <f>LOOKUP(A28, NPCs!A:A, NPCs!C:C)</f>
        <v>Magus Trainer</v>
      </c>
      <c r="H28" s="1" t="str">
        <f>LOOKUP(B28, Items!A:A, Items!C:C)</f>
        <v>Scroll: Teleportation</v>
      </c>
    </row>
    <row r="29" ht="15.75" customHeight="1">
      <c r="A29" s="1">
        <v>98.0</v>
      </c>
      <c r="B29" s="1">
        <v>31.0</v>
      </c>
      <c r="E29" s="1">
        <v>9.0</v>
      </c>
      <c r="G29" s="1" t="str">
        <f>LOOKUP(A29, NPCs!A:A, NPCs!C:C)</f>
        <v>Magus Trainer</v>
      </c>
      <c r="H29" s="1" t="str">
        <f>LOOKUP(B29, Items!A:A, Items!C:C)</f>
        <v>Scroll: Root</v>
      </c>
    </row>
    <row r="30" ht="15.75" customHeight="1">
      <c r="A30" s="1">
        <v>98.0</v>
      </c>
      <c r="B30" s="1">
        <v>32.0</v>
      </c>
      <c r="E30" s="1">
        <v>10.0</v>
      </c>
      <c r="G30" s="1" t="str">
        <f>LOOKUP(A30, NPCs!A:A, NPCs!C:C)</f>
        <v>Magus Trainer</v>
      </c>
      <c r="H30" s="1" t="str">
        <f>LOOKUP(B30, Items!A:A, Items!C:C)</f>
        <v>Scroll: Elemental Strike 4</v>
      </c>
    </row>
    <row r="31" ht="15.75" customHeight="1">
      <c r="A31" s="1">
        <v>98.0</v>
      </c>
      <c r="B31" s="1">
        <v>185.0</v>
      </c>
      <c r="E31" s="1">
        <v>11.0</v>
      </c>
      <c r="G31" s="1" t="str">
        <f>LOOKUP(A31, NPCs!A:A, NPCs!C:C)</f>
        <v>Magus Trainer</v>
      </c>
      <c r="H31" s="1" t="str">
        <f>LOOKUP(B31, Items!A:A, Items!C:C)</f>
        <v>Scroll: Arcane Shield 2</v>
      </c>
    </row>
    <row r="32" ht="15.75" customHeight="1">
      <c r="A32" s="1">
        <v>98.0</v>
      </c>
      <c r="B32" s="1">
        <v>33.0</v>
      </c>
      <c r="E32" s="1">
        <v>12.0</v>
      </c>
      <c r="G32" s="1" t="str">
        <f>LOOKUP(A32, NPCs!A:A, NPCs!C:C)</f>
        <v>Magus Trainer</v>
      </c>
      <c r="H32" s="1" t="str">
        <f>LOOKUP(B32, Items!A:A, Items!C:C)</f>
        <v>Scroll: Snare</v>
      </c>
    </row>
    <row r="33" ht="15.75" customHeight="1">
      <c r="A33" s="1">
        <v>98.0</v>
      </c>
      <c r="B33" s="1">
        <v>36.0</v>
      </c>
      <c r="E33" s="1">
        <v>13.0</v>
      </c>
      <c r="G33" s="1" t="str">
        <f>LOOKUP(A33, NPCs!A:A, NPCs!C:C)</f>
        <v>Magus Trainer</v>
      </c>
      <c r="H33" s="1" t="str">
        <f>LOOKUP(B33, Items!A:A, Items!C:C)</f>
        <v>Scroll: Elemental Strike 5</v>
      </c>
    </row>
    <row r="34" ht="15.75" customHeight="1">
      <c r="A34" s="1">
        <v>98.0</v>
      </c>
      <c r="B34" s="1">
        <v>35.0</v>
      </c>
      <c r="E34" s="1">
        <v>14.0</v>
      </c>
      <c r="G34" s="1" t="str">
        <f>LOOKUP(A34, NPCs!A:A, NPCs!C:C)</f>
        <v>Magus Trainer</v>
      </c>
      <c r="H34" s="1" t="str">
        <f>LOOKUP(B34, Items!A:A, Items!C:C)</f>
        <v>Scroll: Regeneration 1</v>
      </c>
    </row>
    <row r="35" ht="15.75" customHeight="1">
      <c r="A35" s="1">
        <v>98.0</v>
      </c>
      <c r="B35" s="1">
        <v>37.0</v>
      </c>
      <c r="E35" s="1">
        <v>15.0</v>
      </c>
      <c r="G35" s="1" t="str">
        <f>LOOKUP(A35, NPCs!A:A, NPCs!C:C)</f>
        <v>Magus Trainer</v>
      </c>
      <c r="H35" s="1" t="str">
        <f>LOOKUP(B35, Items!A:A, Items!C:C)</f>
        <v>Scroll: Bind Self</v>
      </c>
    </row>
    <row r="36" ht="15.75" customHeight="1">
      <c r="A36" s="1">
        <v>98.0</v>
      </c>
      <c r="B36" s="1">
        <v>38.0</v>
      </c>
      <c r="E36" s="1">
        <v>16.0</v>
      </c>
      <c r="G36" s="1" t="str">
        <f>LOOKUP(A36, NPCs!A:A, NPCs!C:C)</f>
        <v>Magus Trainer</v>
      </c>
      <c r="H36" s="1" t="str">
        <f>LOOKUP(B36, Items!A:A, Items!C:C)</f>
        <v>Scroll: Group Teleportation</v>
      </c>
    </row>
    <row r="37" ht="15.75" customHeight="1">
      <c r="A37" s="1">
        <v>98.0</v>
      </c>
      <c r="B37" s="1">
        <v>39.0</v>
      </c>
      <c r="E37" s="1">
        <v>17.0</v>
      </c>
      <c r="G37" s="1" t="str">
        <f>LOOKUP(A37, NPCs!A:A, NPCs!C:C)</f>
        <v>Magus Trainer</v>
      </c>
      <c r="H37" s="1" t="str">
        <f>LOOKUP(B37, Items!A:A, Items!C:C)</f>
        <v>Scroll: Elemental Strike 6</v>
      </c>
    </row>
    <row r="38" ht="15.75" customHeight="1">
      <c r="A38" s="1">
        <v>98.0</v>
      </c>
      <c r="B38" s="1">
        <v>201.0</v>
      </c>
      <c r="E38" s="1">
        <v>18.0</v>
      </c>
      <c r="G38" s="1" t="str">
        <f>LOOKUP(A38, NPCs!A:A, NPCs!C:C)</f>
        <v>Magus Trainer</v>
      </c>
      <c r="H38" s="1" t="str">
        <f>LOOKUP(B38, Items!A:A, Items!C:C)</f>
        <v>Scroll: Arcane Shield 3</v>
      </c>
    </row>
    <row r="39" ht="15.75" customHeight="1">
      <c r="A39" s="1">
        <v>98.0</v>
      </c>
      <c r="B39" s="1">
        <v>187.0</v>
      </c>
      <c r="E39" s="1">
        <v>19.0</v>
      </c>
      <c r="G39" s="1" t="str">
        <f>LOOKUP(A39, NPCs!A:A, NPCs!C:C)</f>
        <v>Magus Trainer</v>
      </c>
      <c r="H39" s="1" t="str">
        <f>LOOKUP(B39, Items!A:A, Items!C:C)</f>
        <v>Scroll: Invisibility</v>
      </c>
    </row>
    <row r="40" ht="15.75" customHeight="1">
      <c r="A40" s="1">
        <v>98.0</v>
      </c>
      <c r="B40" s="1">
        <v>188.0</v>
      </c>
      <c r="E40" s="1">
        <v>20.0</v>
      </c>
      <c r="G40" s="1" t="str">
        <f>LOOKUP(A40, NPCs!A:A, NPCs!C:C)</f>
        <v>Magus Trainer</v>
      </c>
      <c r="H40" s="1" t="str">
        <f>LOOKUP(B40, Items!A:A, Items!C:C)</f>
        <v>Scroll: Elemental Strike 7</v>
      </c>
    </row>
    <row r="41" ht="15.75" customHeight="1">
      <c r="A41" s="1">
        <v>98.0</v>
      </c>
      <c r="B41" s="1">
        <v>189.0</v>
      </c>
      <c r="E41" s="1">
        <v>21.0</v>
      </c>
      <c r="G41" s="1" t="str">
        <f>LOOKUP(A41, NPCs!A:A, NPCs!C:C)</f>
        <v>Magus Trainer</v>
      </c>
      <c r="H41" s="1" t="str">
        <f>LOOKUP(B41, Items!A:A, Items!C:C)</f>
        <v>Scroll: Elemental Shield 2</v>
      </c>
    </row>
    <row r="42" ht="15.75" customHeight="1">
      <c r="A42" s="1">
        <v>98.0</v>
      </c>
      <c r="B42" s="1">
        <v>190.0</v>
      </c>
      <c r="E42" s="1">
        <v>22.0</v>
      </c>
      <c r="G42" s="1" t="str">
        <f>LOOKUP(A42, NPCs!A:A, NPCs!C:C)</f>
        <v>Magus Trainer</v>
      </c>
      <c r="H42" s="1" t="str">
        <f>LOOKUP(B42, Items!A:A, Items!C:C)</f>
        <v>Scroll: Group Elemental Shield 2</v>
      </c>
    </row>
    <row r="43" ht="15.75" customHeight="1">
      <c r="A43" s="1">
        <v>98.0</v>
      </c>
      <c r="B43" s="1">
        <v>191.0</v>
      </c>
      <c r="E43" s="1">
        <v>23.0</v>
      </c>
      <c r="G43" s="1" t="str">
        <f>LOOKUP(A43, NPCs!A:A, NPCs!C:C)</f>
        <v>Magus Trainer</v>
      </c>
      <c r="H43" s="1" t="str">
        <f>LOOKUP(B43, Items!A:A, Items!C:C)</f>
        <v>Scroll: Regeneration 2</v>
      </c>
    </row>
    <row r="44" ht="15.75" customHeight="1">
      <c r="A44" s="1">
        <v>98.0</v>
      </c>
      <c r="B44" s="1">
        <v>192.0</v>
      </c>
      <c r="E44" s="1">
        <v>24.0</v>
      </c>
      <c r="G44" s="1" t="str">
        <f>LOOKUP(A44, NPCs!A:A, NPCs!C:C)</f>
        <v>Magus Trainer</v>
      </c>
      <c r="H44" s="1" t="str">
        <f>LOOKUP(B44, Items!A:A, Items!C:C)</f>
        <v>Scroll: Bind Other</v>
      </c>
    </row>
    <row r="45" ht="15.75" customHeight="1">
      <c r="A45" s="1">
        <v>98.0</v>
      </c>
      <c r="B45" s="1">
        <v>193.0</v>
      </c>
      <c r="E45" s="1">
        <v>25.0</v>
      </c>
      <c r="G45" s="1" t="str">
        <f>LOOKUP(A45, NPCs!A:A, NPCs!C:C)</f>
        <v>Magus Trainer</v>
      </c>
      <c r="H45" s="1" t="str">
        <f>LOOKUP(B45, Items!A:A, Items!C:C)</f>
        <v>Scroll: Otherlands Teleport</v>
      </c>
    </row>
    <row r="46" ht="15.75" customHeight="1">
      <c r="A46" s="1">
        <v>98.0</v>
      </c>
      <c r="B46" s="1">
        <v>194.0</v>
      </c>
      <c r="E46" s="1">
        <v>26.0</v>
      </c>
      <c r="G46" s="1" t="str">
        <f>LOOKUP(A46, NPCs!A:A, NPCs!C:C)</f>
        <v>Magus Trainer</v>
      </c>
      <c r="H46" s="1" t="str">
        <f>LOOKUP(B46, Items!A:A, Items!C:C)</f>
        <v>Scroll: Group Otherlands Teleport</v>
      </c>
    </row>
    <row r="47" ht="15.75" customHeight="1">
      <c r="A47" s="1">
        <v>99.0</v>
      </c>
      <c r="B47" s="1">
        <v>10.0</v>
      </c>
      <c r="E47" s="1">
        <v>1.0</v>
      </c>
      <c r="G47" s="1" t="str">
        <f>LOOKUP(A47, NPCs!A:A, NPCs!C:C)</f>
        <v>Priest Trainer</v>
      </c>
      <c r="H47" s="1" t="str">
        <f>LOOKUP(B47, Items!A:A, Items!C:C)</f>
        <v>Scroll: Healing 1</v>
      </c>
    </row>
    <row r="48" ht="15.75" customHeight="1">
      <c r="A48" s="1">
        <v>99.0</v>
      </c>
      <c r="B48" s="1">
        <v>22.0</v>
      </c>
      <c r="E48" s="1">
        <v>2.0</v>
      </c>
      <c r="G48" s="1" t="str">
        <f>LOOKUP(A48, NPCs!A:A, NPCs!C:C)</f>
        <v>Priest Trainer</v>
      </c>
      <c r="H48" s="1" t="str">
        <f>LOOKUP(B48, Items!A:A, Items!C:C)</f>
        <v>Scroll: Fortify 1</v>
      </c>
    </row>
    <row r="49" ht="15.75" customHeight="1">
      <c r="A49" s="1">
        <v>99.0</v>
      </c>
      <c r="B49" s="1">
        <v>69.0</v>
      </c>
      <c r="E49" s="1">
        <v>3.0</v>
      </c>
      <c r="G49" s="1" t="str">
        <f>LOOKUP(A49, NPCs!A:A, NPCs!C:C)</f>
        <v>Priest Trainer</v>
      </c>
      <c r="H49" s="1" t="str">
        <f>LOOKUP(B49, Items!A:A, Items!C:C)</f>
        <v>Scroll: Strength 1</v>
      </c>
    </row>
    <row r="50" ht="15.75" customHeight="1">
      <c r="A50" s="1">
        <v>99.0</v>
      </c>
      <c r="B50" s="1">
        <v>61.0</v>
      </c>
      <c r="E50" s="1">
        <v>4.0</v>
      </c>
      <c r="G50" s="1" t="str">
        <f>LOOKUP(A50, NPCs!A:A, NPCs!C:C)</f>
        <v>Priest Trainer</v>
      </c>
      <c r="H50" s="1" t="str">
        <f>LOOKUP(B50, Items!A:A, Items!C:C)</f>
        <v>Scroll: Healing 2</v>
      </c>
    </row>
    <row r="51" ht="15.75" customHeight="1">
      <c r="A51" s="1">
        <v>99.0</v>
      </c>
      <c r="B51" s="1">
        <v>74.0</v>
      </c>
      <c r="E51" s="1">
        <v>5.0</v>
      </c>
      <c r="G51" s="1" t="str">
        <f>LOOKUP(A51, NPCs!A:A, NPCs!C:C)</f>
        <v>Priest Trainer</v>
      </c>
      <c r="H51" s="1" t="str">
        <f>LOOKUP(B51, Items!A:A, Items!C:C)</f>
        <v>Scroll: Stamina 1</v>
      </c>
    </row>
    <row r="52" ht="15.75" customHeight="1">
      <c r="A52" s="1">
        <v>99.0</v>
      </c>
      <c r="B52" s="1">
        <v>34.0</v>
      </c>
      <c r="E52" s="1">
        <v>6.0</v>
      </c>
      <c r="G52" s="1" t="str">
        <f>LOOKUP(A52, NPCs!A:A, NPCs!C:C)</f>
        <v>Priest Trainer</v>
      </c>
      <c r="H52" s="1" t="str">
        <f>LOOKUP(B52, Items!A:A, Items!C:C)</f>
        <v>Scroll: Gate</v>
      </c>
    </row>
    <row r="53" ht="15.75" customHeight="1">
      <c r="A53" s="1">
        <v>99.0</v>
      </c>
      <c r="B53" s="1">
        <v>31.0</v>
      </c>
      <c r="E53" s="1">
        <v>7.0</v>
      </c>
      <c r="G53" s="1" t="str">
        <f>LOOKUP(A53, NPCs!A:A, NPCs!C:C)</f>
        <v>Priest Trainer</v>
      </c>
      <c r="H53" s="1" t="str">
        <f>LOOKUP(B53, Items!A:A, Items!C:C)</f>
        <v>Scroll: Root</v>
      </c>
    </row>
    <row r="54" ht="15.75" customHeight="1">
      <c r="A54" s="1">
        <v>99.0</v>
      </c>
      <c r="B54" s="1">
        <v>65.0</v>
      </c>
      <c r="E54" s="1">
        <v>8.0</v>
      </c>
      <c r="G54" s="1" t="str">
        <f>LOOKUP(A54, NPCs!A:A, NPCs!C:C)</f>
        <v>Priest Trainer</v>
      </c>
      <c r="H54" s="1" t="str">
        <f>LOOKUP(B54, Items!A:A, Items!C:C)</f>
        <v>Scroll: Fortify 2</v>
      </c>
    </row>
    <row r="55" ht="15.75" customHeight="1">
      <c r="A55" s="1">
        <v>99.0</v>
      </c>
      <c r="B55" s="1">
        <v>84.0</v>
      </c>
      <c r="E55" s="1">
        <v>9.0</v>
      </c>
      <c r="G55" s="1" t="str">
        <f>LOOKUP(A55, NPCs!A:A, NPCs!C:C)</f>
        <v>Priest Trainer</v>
      </c>
      <c r="H55" s="1" t="str">
        <f>LOOKUP(B55, Items!A:A, Items!C:C)</f>
        <v>Scroll: See Invisible</v>
      </c>
    </row>
    <row r="56" ht="15.75" customHeight="1">
      <c r="A56" s="1">
        <v>99.0</v>
      </c>
      <c r="B56" s="1">
        <v>70.0</v>
      </c>
      <c r="E56" s="1">
        <v>10.0</v>
      </c>
      <c r="G56" s="1" t="str">
        <f>LOOKUP(A56, NPCs!A:A, NPCs!C:C)</f>
        <v>Priest Trainer</v>
      </c>
      <c r="H56" s="1" t="str">
        <f>LOOKUP(B56, Items!A:A, Items!C:C)</f>
        <v>Scroll: Strength 2</v>
      </c>
    </row>
    <row r="57" ht="15.75" customHeight="1">
      <c r="A57" s="1">
        <v>99.0</v>
      </c>
      <c r="B57" s="1">
        <v>62.0</v>
      </c>
      <c r="E57" s="1">
        <v>11.0</v>
      </c>
      <c r="G57" s="1" t="str">
        <f>LOOKUP(A57, NPCs!A:A, NPCs!C:C)</f>
        <v>Priest Trainer</v>
      </c>
      <c r="H57" s="1" t="str">
        <f>LOOKUP(B57, Items!A:A, Items!C:C)</f>
        <v>Scroll: Healing 3</v>
      </c>
    </row>
    <row r="58" ht="15.75" customHeight="1">
      <c r="A58" s="1">
        <v>99.0</v>
      </c>
      <c r="B58" s="1">
        <v>75.0</v>
      </c>
      <c r="E58" s="1">
        <v>12.0</v>
      </c>
      <c r="G58" s="1" t="str">
        <f>LOOKUP(A58, NPCs!A:A, NPCs!C:C)</f>
        <v>Priest Trainer</v>
      </c>
      <c r="H58" s="1" t="str">
        <f>LOOKUP(B58, Items!A:A, Items!C:C)</f>
        <v>Scroll: Stamina 2</v>
      </c>
    </row>
    <row r="59" ht="15.75" customHeight="1">
      <c r="A59" s="1">
        <v>99.0</v>
      </c>
      <c r="B59" s="1">
        <v>37.0</v>
      </c>
      <c r="E59" s="1">
        <v>13.0</v>
      </c>
      <c r="G59" s="1" t="str">
        <f>LOOKUP(A59, NPCs!A:A, NPCs!C:C)</f>
        <v>Priest Trainer</v>
      </c>
      <c r="H59" s="1" t="str">
        <f>LOOKUP(B59, Items!A:A, Items!C:C)</f>
        <v>Scroll: Bind Self</v>
      </c>
    </row>
    <row r="60" ht="15.75" customHeight="1">
      <c r="A60" s="1">
        <v>99.0</v>
      </c>
      <c r="B60" s="1">
        <v>78.0</v>
      </c>
      <c r="E60" s="1">
        <v>14.0</v>
      </c>
      <c r="G60" s="1" t="str">
        <f>LOOKUP(A60, NPCs!A:A, NPCs!C:C)</f>
        <v>Priest Trainer</v>
      </c>
      <c r="H60" s="1" t="str">
        <f>LOOKUP(B60, Items!A:A, Items!C:C)</f>
        <v>Scroll: Intelligence 1</v>
      </c>
    </row>
    <row r="61" ht="15.75" customHeight="1">
      <c r="A61" s="1">
        <v>99.0</v>
      </c>
      <c r="B61" s="1">
        <v>66.0</v>
      </c>
      <c r="E61" s="1">
        <v>15.0</v>
      </c>
      <c r="G61" s="1" t="str">
        <f>LOOKUP(A61, NPCs!A:A, NPCs!C:C)</f>
        <v>Priest Trainer</v>
      </c>
      <c r="H61" s="1" t="str">
        <f>LOOKUP(B61, Items!A:A, Items!C:C)</f>
        <v>Scroll: Fortify 3</v>
      </c>
    </row>
    <row r="62" ht="15.75" customHeight="1">
      <c r="A62" s="1">
        <v>99.0</v>
      </c>
      <c r="B62" s="1">
        <v>71.0</v>
      </c>
      <c r="E62" s="1">
        <v>16.0</v>
      </c>
      <c r="G62" s="1" t="str">
        <f>LOOKUP(A62, NPCs!A:A, NPCs!C:C)</f>
        <v>Priest Trainer</v>
      </c>
      <c r="H62" s="1" t="str">
        <f>LOOKUP(B62, Items!A:A, Items!C:C)</f>
        <v>Scroll: Strength 3</v>
      </c>
    </row>
    <row r="63" ht="15.75" customHeight="1">
      <c r="A63" s="1">
        <v>99.0</v>
      </c>
      <c r="B63" s="1">
        <v>63.0</v>
      </c>
      <c r="E63" s="1">
        <v>17.0</v>
      </c>
      <c r="G63" s="1" t="str">
        <f>LOOKUP(A63, NPCs!A:A, NPCs!C:C)</f>
        <v>Priest Trainer</v>
      </c>
      <c r="H63" s="1" t="str">
        <f>LOOKUP(B63, Items!A:A, Items!C:C)</f>
        <v>Scroll: Healing 4</v>
      </c>
    </row>
    <row r="64" ht="15.75" customHeight="1">
      <c r="A64" s="1">
        <v>99.0</v>
      </c>
      <c r="B64" s="1">
        <v>76.0</v>
      </c>
      <c r="E64" s="1">
        <v>18.0</v>
      </c>
      <c r="G64" s="1" t="str">
        <f>LOOKUP(A64, NPCs!A:A, NPCs!C:C)</f>
        <v>Priest Trainer</v>
      </c>
      <c r="H64" s="1" t="str">
        <f>LOOKUP(B64, Items!A:A, Items!C:C)</f>
        <v>Scroll: Stamina 3</v>
      </c>
    </row>
    <row r="65" ht="15.75" customHeight="1">
      <c r="A65" s="1">
        <v>99.0</v>
      </c>
      <c r="B65" s="1">
        <v>82.0</v>
      </c>
      <c r="E65" s="1">
        <v>19.0</v>
      </c>
      <c r="G65" s="1" t="str">
        <f>LOOKUP(A65, NPCs!A:A, NPCs!C:C)</f>
        <v>Priest Trainer</v>
      </c>
      <c r="H65" s="1" t="str">
        <f>LOOKUP(B65, Items!A:A, Items!C:C)</f>
        <v>Scroll: Mana Regeneration 1</v>
      </c>
    </row>
    <row r="66" ht="15.75" customHeight="1">
      <c r="A66" s="1">
        <v>99.0</v>
      </c>
      <c r="B66" s="1">
        <v>79.0</v>
      </c>
      <c r="E66" s="1">
        <v>20.0</v>
      </c>
      <c r="G66" s="1" t="str">
        <f>LOOKUP(A66, NPCs!A:A, NPCs!C:C)</f>
        <v>Priest Trainer</v>
      </c>
      <c r="H66" s="1" t="str">
        <f>LOOKUP(B66, Items!A:A, Items!C:C)</f>
        <v>Scroll: Intelligence 2</v>
      </c>
    </row>
    <row r="67" ht="15.75" customHeight="1">
      <c r="A67" s="1">
        <v>99.0</v>
      </c>
      <c r="B67" s="1">
        <v>85.0</v>
      </c>
      <c r="E67" s="1">
        <v>21.0</v>
      </c>
      <c r="G67" s="1" t="str">
        <f>LOOKUP(A67, NPCs!A:A, NPCs!C:C)</f>
        <v>Priest Trainer</v>
      </c>
      <c r="H67" s="1" t="str">
        <f>LOOKUP(B67, Items!A:A, Items!C:C)</f>
        <v>Scroll: Sacrifice</v>
      </c>
    </row>
    <row r="68" ht="15.75" customHeight="1">
      <c r="A68" s="1">
        <v>100.0</v>
      </c>
      <c r="B68" s="1">
        <v>4.0</v>
      </c>
      <c r="E68" s="1">
        <v>1.0</v>
      </c>
      <c r="G68" s="1" t="str">
        <f>LOOKUP(A68, NPCs!A:A, NPCs!C:C)</f>
        <v>Potion Guy</v>
      </c>
      <c r="H68" s="1" t="str">
        <f>LOOKUP(B68, Items!A:A, Items!C:C)</f>
        <v>Small Health Potion</v>
      </c>
    </row>
    <row r="69" ht="15.75" customHeight="1">
      <c r="A69" s="1">
        <v>100.0</v>
      </c>
      <c r="B69" s="1">
        <v>5.0</v>
      </c>
      <c r="E69" s="1">
        <v>2.0</v>
      </c>
      <c r="G69" s="1" t="str">
        <f>LOOKUP(A69, NPCs!A:A, NPCs!C:C)</f>
        <v>Potion Guy</v>
      </c>
      <c r="H69" s="1" t="str">
        <f>LOOKUP(B69, Items!A:A, Items!C:C)</f>
        <v>Small Mana Potion</v>
      </c>
    </row>
    <row r="70" ht="15.75" customHeight="1">
      <c r="A70" s="1">
        <v>100.0</v>
      </c>
      <c r="B70" s="1">
        <v>42.0</v>
      </c>
      <c r="E70" s="1">
        <v>6.0</v>
      </c>
      <c r="G70" s="1" t="str">
        <f>LOOKUP(A70, NPCs!A:A, NPCs!C:C)</f>
        <v>Potion Guy</v>
      </c>
      <c r="H70" s="1" t="str">
        <f>LOOKUP(B70, Items!A:A, Items!C:C)</f>
        <v>Health Potion</v>
      </c>
    </row>
    <row r="71" ht="15.75" customHeight="1">
      <c r="A71" s="1">
        <v>100.0</v>
      </c>
      <c r="B71" s="1">
        <v>43.0</v>
      </c>
      <c r="E71" s="1">
        <v>7.0</v>
      </c>
      <c r="G71" s="1" t="str">
        <f>LOOKUP(A71, NPCs!A:A, NPCs!C:C)</f>
        <v>Potion Guy</v>
      </c>
      <c r="H71" s="1" t="str">
        <f>LOOKUP(B71, Items!A:A, Items!C:C)</f>
        <v>Mana Potion</v>
      </c>
    </row>
    <row r="72" ht="15.75" customHeight="1">
      <c r="A72" s="1">
        <v>100.0</v>
      </c>
      <c r="B72" s="1">
        <v>44.0</v>
      </c>
      <c r="E72" s="1">
        <v>11.0</v>
      </c>
      <c r="G72" s="1" t="str">
        <f>LOOKUP(A72, NPCs!A:A, NPCs!C:C)</f>
        <v>Potion Guy</v>
      </c>
      <c r="H72" s="1" t="str">
        <f>LOOKUP(B72, Items!A:A, Items!C:C)</f>
        <v>Large Health Potion</v>
      </c>
    </row>
    <row r="73" ht="15.75" customHeight="1">
      <c r="A73" s="1">
        <v>100.0</v>
      </c>
      <c r="B73" s="1">
        <v>45.0</v>
      </c>
      <c r="E73" s="1">
        <v>12.0</v>
      </c>
      <c r="G73" s="1" t="str">
        <f>LOOKUP(A73, NPCs!A:A, NPCs!C:C)</f>
        <v>Potion Guy</v>
      </c>
      <c r="H73" s="1" t="str">
        <f>LOOKUP(B73, Items!A:A, Items!C:C)</f>
        <v>Large Mana Potion</v>
      </c>
    </row>
    <row r="74" ht="15.75" customHeight="1">
      <c r="A74" s="1">
        <v>101.0</v>
      </c>
      <c r="B74" s="1">
        <v>89.0</v>
      </c>
      <c r="E74" s="1">
        <v>1.0</v>
      </c>
      <c r="G74" s="1" t="str">
        <f>LOOKUP(A74, NPCs!A:A, NPCs!C:C)</f>
        <v>Bronze Armor Guy</v>
      </c>
      <c r="H74" s="1" t="str">
        <f>LOOKUP(B74, Items!A:A, Items!C:C)</f>
        <v>Bronze Helmet</v>
      </c>
    </row>
    <row r="75" ht="15.75" customHeight="1">
      <c r="A75" s="1">
        <v>101.0</v>
      </c>
      <c r="B75" s="1">
        <v>148.0</v>
      </c>
      <c r="E75" s="1">
        <v>2.0</v>
      </c>
      <c r="G75" s="1" t="str">
        <f>LOOKUP(A75, NPCs!A:A, NPCs!C:C)</f>
        <v>Bronze Armor Guy</v>
      </c>
      <c r="H75" s="1" t="str">
        <f>LOOKUP(B75, Items!A:A, Items!C:C)</f>
        <v>Bronze Chestplate</v>
      </c>
    </row>
    <row r="76" ht="15.75" customHeight="1">
      <c r="A76" s="1">
        <v>101.0</v>
      </c>
      <c r="B76" s="1">
        <v>106.0</v>
      </c>
      <c r="E76" s="1">
        <v>3.0</v>
      </c>
      <c r="G76" s="1" t="str">
        <f>LOOKUP(A76, NPCs!A:A, NPCs!C:C)</f>
        <v>Bronze Armor Guy</v>
      </c>
      <c r="H76" s="1" t="str">
        <f>LOOKUP(B76, Items!A:A, Items!C:C)</f>
        <v>Bronze Legplates</v>
      </c>
    </row>
    <row r="77" ht="15.75" customHeight="1">
      <c r="A77" s="1">
        <v>101.0</v>
      </c>
      <c r="B77" s="1">
        <v>123.0</v>
      </c>
      <c r="E77" s="1">
        <v>4.0</v>
      </c>
      <c r="G77" s="1" t="str">
        <f>LOOKUP(A77, NPCs!A:A, NPCs!C:C)</f>
        <v>Bronze Armor Guy</v>
      </c>
      <c r="H77" s="1" t="str">
        <f>LOOKUP(B77, Items!A:A, Items!C:C)</f>
        <v>Bronze Boots</v>
      </c>
    </row>
    <row r="78" ht="15.75" customHeight="1">
      <c r="A78" s="1">
        <v>102.0</v>
      </c>
      <c r="B78" s="1">
        <v>97.0</v>
      </c>
      <c r="E78" s="1">
        <v>1.0</v>
      </c>
      <c r="G78" s="1" t="str">
        <f>LOOKUP(A78, NPCs!A:A, NPCs!C:C)</f>
        <v>Iron Armor Guy</v>
      </c>
      <c r="H78" s="1" t="str">
        <f>LOOKUP(B78, Items!A:A, Items!C:C)</f>
        <v>Iron Helmet</v>
      </c>
    </row>
    <row r="79" ht="15.75" customHeight="1">
      <c r="A79" s="1">
        <v>102.0</v>
      </c>
      <c r="B79" s="1">
        <v>154.0</v>
      </c>
      <c r="E79" s="1">
        <v>2.0</v>
      </c>
      <c r="G79" s="1" t="str">
        <f>LOOKUP(A79, NPCs!A:A, NPCs!C:C)</f>
        <v>Iron Armor Guy</v>
      </c>
      <c r="H79" s="1" t="str">
        <f>LOOKUP(B79, Items!A:A, Items!C:C)</f>
        <v>Iron Chestplate</v>
      </c>
    </row>
    <row r="80" ht="15.75" customHeight="1">
      <c r="A80" s="1">
        <v>102.0</v>
      </c>
      <c r="B80" s="1">
        <v>110.0</v>
      </c>
      <c r="E80" s="1">
        <v>3.0</v>
      </c>
      <c r="G80" s="1" t="str">
        <f>LOOKUP(A80, NPCs!A:A, NPCs!C:C)</f>
        <v>Iron Armor Guy</v>
      </c>
      <c r="H80" s="1" t="str">
        <f>LOOKUP(B80, Items!A:A, Items!C:C)</f>
        <v>Iron Legplates</v>
      </c>
    </row>
    <row r="81" ht="15.75" customHeight="1">
      <c r="A81" s="1">
        <v>102.0</v>
      </c>
      <c r="B81" s="1">
        <v>128.0</v>
      </c>
      <c r="E81" s="1">
        <v>4.0</v>
      </c>
      <c r="G81" s="1" t="str">
        <f>LOOKUP(A81, NPCs!A:A, NPCs!C:C)</f>
        <v>Iron Armor Guy</v>
      </c>
      <c r="H81" s="1" t="str">
        <f>LOOKUP(B81, Items!A:A, Items!C:C)</f>
        <v>Iron Boots</v>
      </c>
    </row>
    <row r="82" ht="15.75" customHeight="1">
      <c r="A82" s="1">
        <v>103.0</v>
      </c>
      <c r="B82" s="1">
        <v>103.0</v>
      </c>
      <c r="E82" s="1">
        <v>1.0</v>
      </c>
      <c r="G82" s="1" t="str">
        <f>LOOKUP(A82, NPCs!A:A, NPCs!C:C)</f>
        <v>Steel Armor Guy</v>
      </c>
      <c r="H82" s="1" t="str">
        <f>LOOKUP(B82, Items!A:A, Items!C:C)</f>
        <v>Steel Helmet</v>
      </c>
    </row>
    <row r="83" ht="15.75" customHeight="1">
      <c r="A83" s="1">
        <v>103.0</v>
      </c>
      <c r="B83" s="1">
        <v>159.0</v>
      </c>
      <c r="E83" s="1">
        <v>2.0</v>
      </c>
      <c r="G83" s="1" t="str">
        <f>LOOKUP(A83, NPCs!A:A, NPCs!C:C)</f>
        <v>Steel Armor Guy</v>
      </c>
      <c r="H83" s="1" t="str">
        <f>LOOKUP(B83, Items!A:A, Items!C:C)</f>
        <v>Steel Chestplate</v>
      </c>
    </row>
    <row r="84" ht="15.75" customHeight="1">
      <c r="A84" s="1">
        <v>103.0</v>
      </c>
      <c r="B84" s="1">
        <v>114.0</v>
      </c>
      <c r="E84" s="1">
        <v>3.0</v>
      </c>
      <c r="G84" s="1" t="str">
        <f>LOOKUP(A84, NPCs!A:A, NPCs!C:C)</f>
        <v>Steel Armor Guy</v>
      </c>
      <c r="H84" s="1" t="str">
        <f>LOOKUP(B84, Items!A:A, Items!C:C)</f>
        <v>Steel Legplates</v>
      </c>
    </row>
    <row r="85" ht="15.75" customHeight="1">
      <c r="A85" s="1">
        <v>103.0</v>
      </c>
      <c r="B85" s="1">
        <v>133.0</v>
      </c>
      <c r="E85" s="1">
        <v>4.0</v>
      </c>
      <c r="G85" s="1" t="str">
        <f>LOOKUP(A85, NPCs!A:A, NPCs!C:C)</f>
        <v>Steel Armor Guy</v>
      </c>
      <c r="H85" s="1" t="str">
        <f>LOOKUP(B85, Items!A:A, Items!C:C)</f>
        <v>Steel Boots</v>
      </c>
    </row>
    <row r="86" ht="15.75" customHeight="1">
      <c r="A86" s="1">
        <v>104.0</v>
      </c>
      <c r="B86" s="1">
        <v>122.0</v>
      </c>
      <c r="E86" s="1">
        <v>1.0</v>
      </c>
      <c r="G86" s="1" t="str">
        <f>LOOKUP(A86, NPCs!A:A, NPCs!C:C)</f>
        <v>Shield Guy</v>
      </c>
      <c r="H86" s="1" t="str">
        <f>LOOKUP(B86, Items!A:A, Items!C:C)</f>
        <v>Wooden Buckler</v>
      </c>
    </row>
    <row r="87" ht="15.75" customHeight="1">
      <c r="A87" s="1">
        <v>104.0</v>
      </c>
      <c r="B87" s="1">
        <v>121.0</v>
      </c>
      <c r="E87" s="1">
        <v>6.0</v>
      </c>
      <c r="G87" s="1" t="str">
        <f>LOOKUP(A87, NPCs!A:A, NPCs!C:C)</f>
        <v>Shield Guy</v>
      </c>
      <c r="H87" s="1" t="str">
        <f>LOOKUP(B87, Items!A:A, Items!C:C)</f>
        <v>Kite Shield</v>
      </c>
    </row>
    <row r="88" ht="15.75" customHeight="1">
      <c r="A88" s="1">
        <v>104.0</v>
      </c>
      <c r="B88" s="1">
        <v>222.0</v>
      </c>
      <c r="E88" s="1">
        <v>7.0</v>
      </c>
      <c r="G88" s="1" t="str">
        <f>LOOKUP(A88, NPCs!A:A, NPCs!C:C)</f>
        <v>Shield Guy</v>
      </c>
      <c r="H88" s="1" t="str">
        <f>LOOKUP(B88, Items!A:A, Items!C:C)</f>
        <v>Firebrand Shield</v>
      </c>
    </row>
    <row r="89" ht="15.75" customHeight="1">
      <c r="A89" s="1">
        <v>104.0</v>
      </c>
      <c r="B89" s="1">
        <v>309.0</v>
      </c>
      <c r="E89" s="1">
        <v>8.0</v>
      </c>
      <c r="G89" s="1" t="str">
        <f>LOOKUP(A89, NPCs!A:A, NPCs!C:C)</f>
        <v>Shield Guy</v>
      </c>
      <c r="H89" s="1" t="str">
        <f>LOOKUP(B89, Items!A:A, Items!C:C)</f>
        <v>Earthbrand Shield</v>
      </c>
    </row>
    <row r="90" ht="15.75" customHeight="1">
      <c r="A90" s="1">
        <v>104.0</v>
      </c>
      <c r="B90" s="1">
        <v>116.0</v>
      </c>
      <c r="E90" s="1">
        <v>11.0</v>
      </c>
      <c r="G90" s="1" t="str">
        <f>LOOKUP(A90, NPCs!A:A, NPCs!C:C)</f>
        <v>Shield Guy</v>
      </c>
      <c r="H90" s="1" t="str">
        <f>LOOKUP(B90, Items!A:A, Items!C:C)</f>
        <v>Fiber Buckler</v>
      </c>
    </row>
    <row r="91" ht="15.75" customHeight="1">
      <c r="A91" s="1">
        <v>104.0</v>
      </c>
      <c r="B91" s="1">
        <v>117.0</v>
      </c>
      <c r="E91" s="1">
        <v>12.0</v>
      </c>
      <c r="G91" s="1" t="str">
        <f>LOOKUP(A91, NPCs!A:A, NPCs!C:C)</f>
        <v>Shield Guy</v>
      </c>
      <c r="H91" s="1" t="str">
        <f>LOOKUP(B91, Items!A:A, Items!C:C)</f>
        <v>Firebrand Buckler</v>
      </c>
    </row>
    <row r="92" ht="15.75" customHeight="1">
      <c r="A92" s="1">
        <v>104.0</v>
      </c>
      <c r="B92" s="1">
        <v>310.0</v>
      </c>
      <c r="E92" s="1">
        <v>13.0</v>
      </c>
      <c r="G92" s="1" t="str">
        <f>LOOKUP(A92, NPCs!A:A, NPCs!C:C)</f>
        <v>Shield Guy</v>
      </c>
      <c r="H92" s="1" t="str">
        <f>LOOKUP(B92, Items!A:A, Items!C:C)</f>
        <v>Earthbrand Buckler</v>
      </c>
    </row>
    <row r="93" ht="15.75" customHeight="1">
      <c r="A93" s="1">
        <v>104.0</v>
      </c>
      <c r="B93" s="1">
        <v>120.0</v>
      </c>
      <c r="E93" s="1">
        <v>16.0</v>
      </c>
      <c r="G93" s="1" t="str">
        <f>LOOKUP(A93, NPCs!A:A, NPCs!C:C)</f>
        <v>Shield Guy</v>
      </c>
      <c r="H93" s="1" t="str">
        <f>LOOKUP(B93, Items!A:A, Items!C:C)</f>
        <v>Light Guard</v>
      </c>
    </row>
    <row r="94" ht="15.75" customHeight="1">
      <c r="A94" s="1">
        <v>104.0</v>
      </c>
      <c r="B94" s="1">
        <v>119.0</v>
      </c>
      <c r="E94" s="1">
        <v>17.0</v>
      </c>
      <c r="G94" s="1" t="str">
        <f>LOOKUP(A94, NPCs!A:A, NPCs!C:C)</f>
        <v>Shield Guy</v>
      </c>
      <c r="H94" s="1" t="str">
        <f>LOOKUP(B94, Items!A:A, Items!C:C)</f>
        <v>Firebrand Guard</v>
      </c>
    </row>
    <row r="95" ht="15.75" customHeight="1">
      <c r="A95" s="1">
        <v>104.0</v>
      </c>
      <c r="B95" s="1">
        <v>311.0</v>
      </c>
      <c r="E95" s="1">
        <v>18.0</v>
      </c>
      <c r="G95" s="1" t="str">
        <f>LOOKUP(A95, NPCs!A:A, NPCs!C:C)</f>
        <v>Shield Guy</v>
      </c>
      <c r="H95" s="1" t="str">
        <f>LOOKUP(B95, Items!A:A, Items!C:C)</f>
        <v>Earthbrand Guard</v>
      </c>
    </row>
    <row r="96" ht="15.75" customHeight="1">
      <c r="A96" s="1">
        <v>105.0</v>
      </c>
      <c r="B96" s="1">
        <v>3.0</v>
      </c>
      <c r="E96" s="1">
        <v>1.0</v>
      </c>
      <c r="G96" s="1" t="str">
        <f>LOOKUP(A96, NPCs!A:A, NPCs!C:C)</f>
        <v>Weapon Guy</v>
      </c>
      <c r="H96" s="1" t="str">
        <f>LOOKUP(B96, Items!A:A, Items!C:C)</f>
        <v>Stick</v>
      </c>
    </row>
    <row r="97" ht="15.75" customHeight="1">
      <c r="A97" s="1">
        <v>105.0</v>
      </c>
      <c r="B97" s="1">
        <v>14.0</v>
      </c>
      <c r="E97" s="1">
        <v>2.0</v>
      </c>
      <c r="G97" s="1" t="str">
        <f>LOOKUP(A97, NPCs!A:A, NPCs!C:C)</f>
        <v>Weapon Guy</v>
      </c>
      <c r="H97" s="1" t="str">
        <f>LOOKUP(B97, Items!A:A, Items!C:C)</f>
        <v>Small Sword</v>
      </c>
    </row>
    <row r="98" ht="15.75" customHeight="1">
      <c r="A98" s="1">
        <v>105.0</v>
      </c>
      <c r="B98" s="1">
        <v>18.0</v>
      </c>
      <c r="E98" s="1">
        <v>7.0</v>
      </c>
      <c r="G98" s="1" t="str">
        <f>LOOKUP(A98, NPCs!A:A, NPCs!C:C)</f>
        <v>Weapon Guy</v>
      </c>
      <c r="H98" s="1" t="str">
        <f>LOOKUP(B98, Items!A:A, Items!C:C)</f>
        <v>Long Sword</v>
      </c>
    </row>
    <row r="99" ht="15.75" customHeight="1">
      <c r="A99" s="1">
        <v>105.0</v>
      </c>
      <c r="B99" s="1">
        <v>202.0</v>
      </c>
      <c r="E99" s="1">
        <v>12.0</v>
      </c>
      <c r="G99" s="1" t="str">
        <f>LOOKUP(A99, NPCs!A:A, NPCs!C:C)</f>
        <v>Weapon Guy</v>
      </c>
      <c r="H99" s="1" t="str">
        <f>LOOKUP(B99, Items!A:A, Items!C:C)</f>
        <v>Bastard Sword</v>
      </c>
    </row>
    <row r="100" ht="15.75" customHeight="1">
      <c r="A100" s="1">
        <v>105.0</v>
      </c>
      <c r="B100" s="1">
        <v>13.0</v>
      </c>
      <c r="E100" s="1">
        <v>3.0</v>
      </c>
      <c r="G100" s="1" t="str">
        <f>LOOKUP(A100, NPCs!A:A, NPCs!C:C)</f>
        <v>Weapon Guy</v>
      </c>
      <c r="H100" s="1" t="str">
        <f>LOOKUP(B100, Items!A:A, Items!C:C)</f>
        <v>Small Dagger</v>
      </c>
    </row>
    <row r="101" ht="15.75" customHeight="1">
      <c r="A101" s="1">
        <v>105.0</v>
      </c>
      <c r="B101" s="1">
        <v>17.0</v>
      </c>
      <c r="E101" s="1">
        <v>8.0</v>
      </c>
      <c r="G101" s="1" t="str">
        <f>LOOKUP(A101, NPCs!A:A, NPCs!C:C)</f>
        <v>Weapon Guy</v>
      </c>
      <c r="H101" s="1" t="str">
        <f>LOOKUP(B101, Items!A:A, Items!C:C)</f>
        <v>Grim Dagger</v>
      </c>
    </row>
    <row r="102" ht="15.75" customHeight="1">
      <c r="A102" s="1">
        <v>105.0</v>
      </c>
      <c r="B102" s="1">
        <v>211.0</v>
      </c>
      <c r="E102" s="1">
        <v>13.0</v>
      </c>
      <c r="G102" s="1" t="str">
        <f>LOOKUP(A102, NPCs!A:A, NPCs!C:C)</f>
        <v>Weapon Guy</v>
      </c>
      <c r="H102" s="1" t="str">
        <f>LOOKUP(B102, Items!A:A, Items!C:C)</f>
        <v>Malignant Dagger</v>
      </c>
    </row>
    <row r="103" ht="15.75" customHeight="1">
      <c r="A103" s="1">
        <v>105.0</v>
      </c>
      <c r="B103" s="1">
        <v>12.0</v>
      </c>
      <c r="E103" s="1">
        <v>4.0</v>
      </c>
      <c r="G103" s="1" t="str">
        <f>LOOKUP(A103, NPCs!A:A, NPCs!C:C)</f>
        <v>Weapon Guy</v>
      </c>
      <c r="H103" s="1" t="str">
        <f>LOOKUP(B103, Items!A:A, Items!C:C)</f>
        <v>Wooden Stave</v>
      </c>
    </row>
    <row r="104" ht="15.75" customHeight="1">
      <c r="A104" s="1">
        <v>105.0</v>
      </c>
      <c r="B104" s="1">
        <v>16.0</v>
      </c>
      <c r="E104" s="1">
        <v>9.0</v>
      </c>
      <c r="G104" s="1" t="str">
        <f>LOOKUP(A104, NPCs!A:A, NPCs!C:C)</f>
        <v>Weapon Guy</v>
      </c>
      <c r="H104" s="1" t="str">
        <f>LOOKUP(B104, Items!A:A, Items!C:C)</f>
        <v>Hardwood Stave</v>
      </c>
    </row>
    <row r="105" ht="15.75" customHeight="1">
      <c r="A105" s="1">
        <v>105.0</v>
      </c>
      <c r="B105" s="1">
        <v>215.0</v>
      </c>
      <c r="E105" s="1">
        <v>14.0</v>
      </c>
      <c r="G105" s="1" t="str">
        <f>LOOKUP(A105, NPCs!A:A, NPCs!C:C)</f>
        <v>Weapon Guy</v>
      </c>
      <c r="H105" s="1" t="str">
        <f>LOOKUP(B105, Items!A:A, Items!C:C)</f>
        <v>Thicket Stave</v>
      </c>
    </row>
    <row r="106" ht="15.75" customHeight="1">
      <c r="A106" s="1">
        <v>105.0</v>
      </c>
      <c r="B106" s="1">
        <v>11.0</v>
      </c>
      <c r="E106" s="1">
        <v>5.0</v>
      </c>
      <c r="G106" s="1" t="str">
        <f>LOOKUP(A106, NPCs!A:A, NPCs!C:C)</f>
        <v>Weapon Guy</v>
      </c>
      <c r="H106" s="1" t="str">
        <f>LOOKUP(B106, Items!A:A, Items!C:C)</f>
        <v>Small Hammer</v>
      </c>
    </row>
    <row r="107" ht="15.75" customHeight="1">
      <c r="A107" s="1">
        <v>105.0</v>
      </c>
      <c r="B107" s="1">
        <v>15.0</v>
      </c>
      <c r="E107" s="1">
        <v>10.0</v>
      </c>
      <c r="G107" s="1" t="str">
        <f>LOOKUP(A107, NPCs!A:A, NPCs!C:C)</f>
        <v>Weapon Guy</v>
      </c>
      <c r="H107" s="1" t="str">
        <f>LOOKUP(B107, Items!A:A, Items!C:C)</f>
        <v>Stone Hammer</v>
      </c>
    </row>
    <row r="108" ht="15.75" customHeight="1">
      <c r="A108" s="1">
        <v>105.0</v>
      </c>
      <c r="B108" s="1">
        <v>203.0</v>
      </c>
      <c r="E108" s="1">
        <v>15.0</v>
      </c>
      <c r="G108" s="1" t="str">
        <f>LOOKUP(A108, NPCs!A:A, NPCs!C:C)</f>
        <v>Weapon Guy</v>
      </c>
      <c r="H108" s="1" t="str">
        <f>LOOKUP(B108, Items!A:A, Items!C:C)</f>
        <v>Brilliant Hammer</v>
      </c>
    </row>
    <row r="109" ht="15.75" customHeight="1">
      <c r="A109" s="1">
        <v>106.0</v>
      </c>
      <c r="B109" s="1">
        <v>91.0</v>
      </c>
      <c r="E109" s="1">
        <v>1.0</v>
      </c>
      <c r="G109" s="1" t="str">
        <f>LOOKUP(A109, NPCs!A:A, NPCs!C:C)</f>
        <v>Cloth Armor Guy</v>
      </c>
      <c r="H109" s="1" t="str">
        <f>LOOKUP(B109, Items!A:A, Items!C:C)</f>
        <v>Cloth Cap</v>
      </c>
    </row>
    <row r="110" ht="15.75" customHeight="1">
      <c r="A110" s="1">
        <v>106.0</v>
      </c>
      <c r="B110" s="1">
        <v>150.0</v>
      </c>
      <c r="E110" s="1">
        <v>2.0</v>
      </c>
      <c r="G110" s="1" t="str">
        <f>LOOKUP(A110, NPCs!A:A, NPCs!C:C)</f>
        <v>Cloth Armor Guy</v>
      </c>
      <c r="H110" s="1" t="str">
        <f>LOOKUP(B110, Items!A:A, Items!C:C)</f>
        <v>Cloth Tunic</v>
      </c>
    </row>
    <row r="111" ht="15.75" customHeight="1">
      <c r="A111" s="1">
        <v>106.0</v>
      </c>
      <c r="B111" s="1">
        <v>108.0</v>
      </c>
      <c r="E111" s="1">
        <v>3.0</v>
      </c>
      <c r="G111" s="1" t="str">
        <f>LOOKUP(A111, NPCs!A:A, NPCs!C:C)</f>
        <v>Cloth Armor Guy</v>
      </c>
      <c r="H111" s="1" t="str">
        <f>LOOKUP(B111, Items!A:A, Items!C:C)</f>
        <v>Cloth Leggings</v>
      </c>
    </row>
    <row r="112" ht="15.75" customHeight="1">
      <c r="A112" s="1">
        <v>106.0</v>
      </c>
      <c r="B112" s="1">
        <v>124.0</v>
      </c>
      <c r="E112" s="1">
        <v>4.0</v>
      </c>
      <c r="G112" s="1" t="str">
        <f>LOOKUP(A112, NPCs!A:A, NPCs!C:C)</f>
        <v>Cloth Armor Guy</v>
      </c>
      <c r="H112" s="1" t="str">
        <f>LOOKUP(B112, Items!A:A, Items!C:C)</f>
        <v>Cloth Shoes</v>
      </c>
    </row>
    <row r="113" ht="15.75" customHeight="1">
      <c r="A113" s="1">
        <v>106.0</v>
      </c>
      <c r="B113" s="1">
        <v>2.0</v>
      </c>
      <c r="E113" s="1">
        <v>6.0</v>
      </c>
      <c r="G113" s="1" t="str">
        <f>LOOKUP(A113, NPCs!A:A, NPCs!C:C)</f>
        <v>Cloth Armor Guy</v>
      </c>
      <c r="H113" s="1" t="str">
        <f>LOOKUP(B113, Items!A:A, Items!C:C)</f>
        <v>Old Rags</v>
      </c>
    </row>
    <row r="114" ht="15.75" customHeight="1">
      <c r="A114" s="1">
        <v>106.0</v>
      </c>
      <c r="B114" s="1">
        <v>223.0</v>
      </c>
      <c r="E114" s="1">
        <v>7.0</v>
      </c>
      <c r="G114" s="1" t="str">
        <f>LOOKUP(A114, NPCs!A:A, NPCs!C:C)</f>
        <v>Cloth Armor Guy</v>
      </c>
      <c r="H114" s="1" t="str">
        <f>LOOKUP(B114, Items!A:A, Items!C:C)</f>
        <v>Peasant Dress</v>
      </c>
    </row>
    <row r="115" ht="15.75" customHeight="1">
      <c r="A115" s="1">
        <v>107.0</v>
      </c>
      <c r="B115" s="1">
        <v>98.0</v>
      </c>
      <c r="E115" s="1">
        <v>1.0</v>
      </c>
      <c r="G115" s="1" t="str">
        <f>LOOKUP(A115, NPCs!A:A, NPCs!C:C)</f>
        <v>Leather Armor Guy</v>
      </c>
      <c r="H115" s="1" t="str">
        <f>LOOKUP(B115, Items!A:A, Items!C:C)</f>
        <v>Leather Cap</v>
      </c>
    </row>
    <row r="116" ht="15.75" customHeight="1">
      <c r="A116" s="1">
        <v>107.0</v>
      </c>
      <c r="B116" s="1">
        <v>155.0</v>
      </c>
      <c r="E116" s="1">
        <v>2.0</v>
      </c>
      <c r="G116" s="1" t="str">
        <f>LOOKUP(A116, NPCs!A:A, NPCs!C:C)</f>
        <v>Leather Armor Guy</v>
      </c>
      <c r="H116" s="1" t="str">
        <f>LOOKUP(B116, Items!A:A, Items!C:C)</f>
        <v>Leather Tunic</v>
      </c>
    </row>
    <row r="117" ht="15.75" customHeight="1">
      <c r="A117" s="1">
        <v>107.0</v>
      </c>
      <c r="B117" s="1">
        <v>111.0</v>
      </c>
      <c r="E117" s="1">
        <v>3.0</v>
      </c>
      <c r="G117" s="1" t="str">
        <f>LOOKUP(A117, NPCs!A:A, NPCs!C:C)</f>
        <v>Leather Armor Guy</v>
      </c>
      <c r="H117" s="1" t="str">
        <f>LOOKUP(B117, Items!A:A, Items!C:C)</f>
        <v>Leather Leggings</v>
      </c>
    </row>
    <row r="118" ht="15.75" customHeight="1">
      <c r="A118" s="1">
        <v>107.0</v>
      </c>
      <c r="B118" s="1">
        <v>129.0</v>
      </c>
      <c r="E118" s="1">
        <v>4.0</v>
      </c>
      <c r="G118" s="1" t="str">
        <f>LOOKUP(A118, NPCs!A:A, NPCs!C:C)</f>
        <v>Leather Armor Guy</v>
      </c>
      <c r="H118" s="1" t="str">
        <f>LOOKUP(B118, Items!A:A, Items!C:C)</f>
        <v>Leather Boots</v>
      </c>
    </row>
    <row r="119" ht="15.75" customHeight="1">
      <c r="A119" s="1">
        <v>108.0</v>
      </c>
      <c r="B119" s="1">
        <v>101.0</v>
      </c>
      <c r="E119" s="1">
        <v>1.0</v>
      </c>
      <c r="G119" s="1" t="str">
        <f>LOOKUP(A119, NPCs!A:A, NPCs!C:C)</f>
        <v>Silk Armor Guy</v>
      </c>
      <c r="H119" s="1" t="str">
        <f>LOOKUP(B119, Items!A:A, Items!C:C)</f>
        <v>Silk Cap</v>
      </c>
    </row>
    <row r="120" ht="15.75" customHeight="1">
      <c r="A120" s="1">
        <v>108.0</v>
      </c>
      <c r="B120" s="1">
        <v>158.0</v>
      </c>
      <c r="E120" s="1">
        <v>2.0</v>
      </c>
      <c r="G120" s="1" t="str">
        <f>LOOKUP(A120, NPCs!A:A, NPCs!C:C)</f>
        <v>Silk Armor Guy</v>
      </c>
      <c r="H120" s="1" t="str">
        <f>LOOKUP(B120, Items!A:A, Items!C:C)</f>
        <v>Silk Tunic</v>
      </c>
    </row>
    <row r="121" ht="15.75" customHeight="1">
      <c r="A121" s="1">
        <v>108.0</v>
      </c>
      <c r="B121" s="1">
        <v>113.0</v>
      </c>
      <c r="E121" s="1">
        <v>3.0</v>
      </c>
      <c r="G121" s="1" t="str">
        <f>LOOKUP(A121, NPCs!A:A, NPCs!C:C)</f>
        <v>Silk Armor Guy</v>
      </c>
      <c r="H121" s="1" t="str">
        <f>LOOKUP(B121, Items!A:A, Items!C:C)</f>
        <v>Silk Leggings</v>
      </c>
    </row>
    <row r="122" ht="15.75" customHeight="1">
      <c r="A122" s="1">
        <v>108.0</v>
      </c>
      <c r="B122" s="1">
        <v>131.0</v>
      </c>
      <c r="E122" s="1">
        <v>4.0</v>
      </c>
      <c r="G122" s="1" t="str">
        <f>LOOKUP(A122, NPCs!A:A, NPCs!C:C)</f>
        <v>Silk Armor Guy</v>
      </c>
      <c r="H122" s="1" t="str">
        <f>LOOKUP(B122, Items!A:A, Items!C:C)</f>
        <v>Silk Slippers</v>
      </c>
    </row>
    <row r="123" ht="15.75" customHeight="1">
      <c r="A123" s="1">
        <v>119.0</v>
      </c>
      <c r="B123" s="1">
        <v>279.0</v>
      </c>
      <c r="E123" s="1">
        <v>1.0</v>
      </c>
      <c r="G123" s="1" t="str">
        <f>LOOKUP(A123, NPCs!A:A, NPCs!C:C)</f>
        <v>Teleporter Vendor Guy</v>
      </c>
      <c r="H123" s="1" t="str">
        <f>LOOKUP(B123, Items!A:A, Items!C:C)</f>
        <v>Teleport: Minita</v>
      </c>
    </row>
    <row r="124" ht="15.75" customHeight="1">
      <c r="A124" s="1">
        <v>119.0</v>
      </c>
      <c r="B124" s="1">
        <v>280.0</v>
      </c>
      <c r="E124" s="1">
        <v>2.0</v>
      </c>
      <c r="G124" s="1" t="str">
        <f>LOOKUP(A124, NPCs!A:A, NPCs!C:C)</f>
        <v>Teleporter Vendor Guy</v>
      </c>
      <c r="H124" s="1" t="str">
        <f>LOOKUP(B124, Items!A:A, Items!C:C)</f>
        <v>Teleport: Bound</v>
      </c>
    </row>
    <row r="125" ht="15.75" customHeight="1">
      <c r="A125" s="1">
        <v>119.0</v>
      </c>
      <c r="B125" s="1">
        <v>281.0</v>
      </c>
      <c r="E125" s="1">
        <v>3.0</v>
      </c>
      <c r="G125" s="1" t="str">
        <f>LOOKUP(A125, NPCs!A:A, NPCs!C:C)</f>
        <v>Teleporter Vendor Guy</v>
      </c>
      <c r="H125" s="1" t="str">
        <f>LOOKUP(B125, Items!A:A, Items!C:C)</f>
        <v>Teleport: Otherlands</v>
      </c>
    </row>
    <row r="126" ht="15.75" customHeight="1">
      <c r="A126" s="1">
        <v>120.0</v>
      </c>
      <c r="B126" s="1">
        <v>138.0</v>
      </c>
      <c r="E126" s="1">
        <v>1.0</v>
      </c>
      <c r="G126" s="1" t="str">
        <f>LOOKUP(A126, NPCs!A:A, NPCs!C:C)</f>
        <v>Stranger with Candy</v>
      </c>
      <c r="H126" s="1" t="str">
        <f>LOOKUP(B126, Items!A:A, Items!C:C)</f>
        <v>Candy Necklace</v>
      </c>
    </row>
    <row r="127" ht="15.75" customHeight="1">
      <c r="A127" s="1">
        <v>121.0</v>
      </c>
      <c r="B127" s="1">
        <v>279.0</v>
      </c>
      <c r="E127" s="1">
        <v>1.0</v>
      </c>
      <c r="G127" s="1" t="str">
        <f>LOOKUP(A127, NPCs!A:A, NPCs!C:C)</f>
        <v>Paradise Teleporter Vendor Guy</v>
      </c>
      <c r="H127" s="1" t="str">
        <f>LOOKUP(B127, Items!A:A, Items!C:C)</f>
        <v>Teleport: Minita</v>
      </c>
    </row>
    <row r="128" ht="15.75" customHeight="1">
      <c r="A128" s="1">
        <v>121.0</v>
      </c>
      <c r="B128" s="1">
        <v>280.0</v>
      </c>
      <c r="E128" s="1">
        <v>2.0</v>
      </c>
      <c r="G128" s="1" t="str">
        <f>LOOKUP(A128, NPCs!A:A, NPCs!C:C)</f>
        <v>Paradise Teleporter Vendor Guy</v>
      </c>
      <c r="H128" s="1" t="str">
        <f>LOOKUP(B128, Items!A:A, Items!C:C)</f>
        <v>Teleport: Bound</v>
      </c>
    </row>
    <row r="129" ht="15.75" customHeight="1">
      <c r="A129" s="1">
        <v>121.0</v>
      </c>
      <c r="B129" s="1">
        <v>281.0</v>
      </c>
      <c r="E129" s="1">
        <v>3.0</v>
      </c>
      <c r="G129" s="1" t="str">
        <f>LOOKUP(A129, NPCs!A:A, NPCs!C:C)</f>
        <v>Paradise Teleporter Vendor Guy</v>
      </c>
      <c r="H129" s="1" t="str">
        <f>LOOKUP(B129, Items!A:A, Items!C:C)</f>
        <v>Teleport: Otherlands</v>
      </c>
    </row>
    <row r="130" ht="15.75" customHeight="1">
      <c r="A130" s="1">
        <v>121.0</v>
      </c>
      <c r="B130" s="1">
        <v>301.0</v>
      </c>
      <c r="E130" s="1">
        <v>4.0</v>
      </c>
      <c r="G130" s="1" t="str">
        <f>LOOKUP(A130, NPCs!A:A, NPCs!C:C)</f>
        <v>Paradise Teleporter Vendor Guy</v>
      </c>
      <c r="H130" s="1" t="str">
        <f>LOOKUP(B130, Items!A:A, Items!C:C)</f>
        <v>Teleport: Paradise</v>
      </c>
    </row>
    <row r="131" ht="15.75" customHeight="1">
      <c r="A131" s="1">
        <v>122.0</v>
      </c>
      <c r="B131" s="1">
        <v>365.0</v>
      </c>
      <c r="E131" s="1">
        <v>1.0</v>
      </c>
      <c r="G131" s="1" t="str">
        <f>LOOKUP(A131, NPCs!A:A, NPCs!C:C)</f>
        <v>The Bat Man</v>
      </c>
      <c r="H131" s="1" t="str">
        <f>LOOKUP(B131, Items!A:A, Items!C:C)</f>
        <v>Valiant Helmet</v>
      </c>
    </row>
    <row r="132" ht="15.75" customHeight="1">
      <c r="A132" s="1">
        <v>122.0</v>
      </c>
      <c r="B132" s="1">
        <v>366.0</v>
      </c>
      <c r="E132" s="1">
        <v>2.0</v>
      </c>
      <c r="G132" s="1" t="str">
        <f>LOOKUP(A132, NPCs!A:A, NPCs!C:C)</f>
        <v>The Bat Man</v>
      </c>
      <c r="H132" s="1" t="str">
        <f>LOOKUP(B132, Items!A:A, Items!C:C)</f>
        <v>Valiant Chestplate</v>
      </c>
    </row>
    <row r="133" ht="15.75" customHeight="1">
      <c r="A133" s="1">
        <v>122.0</v>
      </c>
      <c r="B133" s="1">
        <v>367.0</v>
      </c>
      <c r="E133" s="1">
        <v>3.0</v>
      </c>
      <c r="G133" s="1" t="str">
        <f>LOOKUP(A133, NPCs!A:A, NPCs!C:C)</f>
        <v>The Bat Man</v>
      </c>
      <c r="H133" s="1" t="str">
        <f>LOOKUP(B133, Items!A:A, Items!C:C)</f>
        <v>Valiant Legplates</v>
      </c>
    </row>
    <row r="134" ht="15.75" customHeight="1">
      <c r="A134" s="1">
        <v>122.0</v>
      </c>
      <c r="B134" s="1">
        <v>368.0</v>
      </c>
      <c r="E134" s="1">
        <v>4.0</v>
      </c>
      <c r="G134" s="1" t="str">
        <f>LOOKUP(A134, NPCs!A:A, NPCs!C:C)</f>
        <v>The Bat Man</v>
      </c>
      <c r="H134" s="1" t="str">
        <f>LOOKUP(B134, Items!A:A, Items!C:C)</f>
        <v>Valiant Boots</v>
      </c>
    </row>
    <row r="135" ht="15.75" customHeight="1">
      <c r="A135" s="1">
        <v>122.0</v>
      </c>
      <c r="B135" s="1">
        <v>369.0</v>
      </c>
      <c r="E135" s="1">
        <v>5.0</v>
      </c>
      <c r="G135" s="1" t="str">
        <f>LOOKUP(A135, NPCs!A:A, NPCs!C:C)</f>
        <v>The Bat Man</v>
      </c>
      <c r="H135" s="1" t="str">
        <f>LOOKUP(B135, Items!A:A, Items!C:C)</f>
        <v>Valiant Cap</v>
      </c>
    </row>
    <row r="136" ht="15.75" customHeight="1">
      <c r="A136" s="1">
        <v>122.0</v>
      </c>
      <c r="B136" s="1">
        <v>370.0</v>
      </c>
      <c r="E136" s="1">
        <v>6.0</v>
      </c>
      <c r="G136" s="1" t="str">
        <f>LOOKUP(A136, NPCs!A:A, NPCs!C:C)</f>
        <v>The Bat Man</v>
      </c>
      <c r="H136" s="1" t="str">
        <f>LOOKUP(B136, Items!A:A, Items!C:C)</f>
        <v>Valiant Robes</v>
      </c>
    </row>
    <row r="137" ht="15.75" customHeight="1">
      <c r="A137" s="1">
        <v>122.0</v>
      </c>
      <c r="B137" s="1">
        <v>371.0</v>
      </c>
      <c r="E137" s="1">
        <v>7.0</v>
      </c>
      <c r="G137" s="1" t="str">
        <f>LOOKUP(A137, NPCs!A:A, NPCs!C:C)</f>
        <v>The Bat Man</v>
      </c>
      <c r="H137" s="1" t="str">
        <f>LOOKUP(B137, Items!A:A, Items!C:C)</f>
        <v>Valiant Mesh</v>
      </c>
    </row>
    <row r="138" ht="15.75" customHeight="1">
      <c r="A138" s="1">
        <v>122.0</v>
      </c>
      <c r="B138" s="1">
        <v>372.0</v>
      </c>
      <c r="E138" s="1">
        <v>8.0</v>
      </c>
      <c r="G138" s="1" t="str">
        <f>LOOKUP(A138, NPCs!A:A, NPCs!C:C)</f>
        <v>The Bat Man</v>
      </c>
      <c r="H138" s="1" t="str">
        <f>LOOKUP(B138, Items!A:A, Items!C:C)</f>
        <v>Valiant Stealth</v>
      </c>
    </row>
    <row r="139" ht="15.75" customHeight="1">
      <c r="A139" s="1">
        <v>148.0</v>
      </c>
      <c r="B139" s="1">
        <v>340.0</v>
      </c>
      <c r="E139" s="1">
        <v>1.0</v>
      </c>
      <c r="G139" s="1" t="str">
        <f>LOOKUP(A139, NPCs!A:A, NPCs!C:C)</f>
        <v>Tailoring Supplies</v>
      </c>
      <c r="H139" s="1" t="str">
        <f>LOOKUP(B139, Items!A:A, Items!C:C)</f>
        <v>Needle</v>
      </c>
    </row>
    <row r="140" ht="15.75" customHeight="1">
      <c r="A140" s="1">
        <v>148.0</v>
      </c>
      <c r="B140" s="1">
        <v>345.0</v>
      </c>
      <c r="E140" s="1">
        <v>2.0</v>
      </c>
      <c r="G140" s="1" t="str">
        <f>LOOKUP(A140, NPCs!A:A, NPCs!C:C)</f>
        <v>Tailoring Supplies</v>
      </c>
      <c r="H140" s="1" t="str">
        <f>LOOKUP(B140, Items!A:A, Items!C:C)</f>
        <v>Sharp Scissors</v>
      </c>
    </row>
    <row r="141" ht="15.75" customHeight="1">
      <c r="A141" s="1">
        <v>148.0</v>
      </c>
      <c r="B141" s="1">
        <v>346.0</v>
      </c>
      <c r="E141" s="1">
        <v>3.0</v>
      </c>
      <c r="G141" s="1" t="str">
        <f>LOOKUP(A141, NPCs!A:A, NPCs!C:C)</f>
        <v>Tailoring Supplies</v>
      </c>
      <c r="H141" s="1" t="str">
        <f>LOOKUP(B141, Items!A:A, Items!C:C)</f>
        <v>Shirt Pattern</v>
      </c>
    </row>
    <row r="142" ht="15.75" customHeight="1">
      <c r="A142" s="1">
        <v>148.0</v>
      </c>
      <c r="B142" s="1">
        <v>347.0</v>
      </c>
      <c r="E142" s="1">
        <v>4.0</v>
      </c>
      <c r="G142" s="1" t="str">
        <f>LOOKUP(A142, NPCs!A:A, NPCs!C:C)</f>
        <v>Tailoring Supplies</v>
      </c>
      <c r="H142" s="1" t="str">
        <f>LOOKUP(B142, Items!A:A, Items!C:C)</f>
        <v>Spool of Thread</v>
      </c>
    </row>
    <row r="143" ht="15.75" customHeight="1">
      <c r="A143" s="1">
        <v>148.0</v>
      </c>
      <c r="B143" s="1">
        <v>348.0</v>
      </c>
      <c r="E143" s="1">
        <v>5.0</v>
      </c>
      <c r="G143" s="1" t="str">
        <f>LOOKUP(A143, NPCs!A:A, NPCs!C:C)</f>
        <v>Tailoring Supplies</v>
      </c>
      <c r="H143" s="1" t="str">
        <f>LOOKUP(B143, Items!A:A, Items!C:C)</f>
        <v>Spool of Blue Thread</v>
      </c>
    </row>
    <row r="144" ht="15.75" customHeight="1">
      <c r="A144" s="1">
        <v>148.0</v>
      </c>
      <c r="B144" s="1">
        <v>349.0</v>
      </c>
      <c r="E144" s="1">
        <v>6.0</v>
      </c>
      <c r="G144" s="1" t="str">
        <f>LOOKUP(A144, NPCs!A:A, NPCs!C:C)</f>
        <v>Tailoring Supplies</v>
      </c>
      <c r="H144" s="1" t="str">
        <f>LOOKUP(B144, Items!A:A, Items!C:C)</f>
        <v>Spool of Green Thread</v>
      </c>
    </row>
    <row r="145" ht="15.75" customHeight="1">
      <c r="A145" s="1">
        <v>148.0</v>
      </c>
      <c r="B145" s="1">
        <v>350.0</v>
      </c>
      <c r="E145" s="1">
        <v>7.0</v>
      </c>
      <c r="G145" s="1" t="str">
        <f>LOOKUP(A145, NPCs!A:A, NPCs!C:C)</f>
        <v>Tailoring Supplies</v>
      </c>
      <c r="H145" s="1" t="str">
        <f>LOOKUP(B145, Items!A:A, Items!C:C)</f>
        <v>Spool of Red Thread</v>
      </c>
    </row>
    <row r="146" ht="15.75" customHeight="1">
      <c r="A146" s="1">
        <v>148.0</v>
      </c>
      <c r="B146" s="1">
        <v>351.0</v>
      </c>
      <c r="E146" s="1">
        <v>8.0</v>
      </c>
      <c r="G146" s="1" t="str">
        <f>LOOKUP(A146, NPCs!A:A, NPCs!C:C)</f>
        <v>Tailoring Supplies</v>
      </c>
      <c r="H146" s="1" t="str">
        <f>LOOKUP(B146, Items!A:A, Items!C:C)</f>
        <v>Spool of Black Thread</v>
      </c>
    </row>
    <row r="147" ht="15.75" customHeight="1">
      <c r="A147" s="1">
        <v>148.0</v>
      </c>
      <c r="B147" s="1">
        <v>352.0</v>
      </c>
      <c r="E147" s="1">
        <v>9.0</v>
      </c>
      <c r="G147" s="1" t="str">
        <f>LOOKUP(A147, NPCs!A:A, NPCs!C:C)</f>
        <v>Tailoring Supplies</v>
      </c>
      <c r="H147" s="1" t="str">
        <f>LOOKUP(B147, Items!A:A, Items!C:C)</f>
        <v>Spool of Pink Thread</v>
      </c>
    </row>
    <row r="148" ht="15.75" customHeight="1">
      <c r="A148" s="1">
        <v>148.0</v>
      </c>
      <c r="B148" s="1">
        <v>353.0</v>
      </c>
      <c r="E148" s="1">
        <v>10.0</v>
      </c>
      <c r="G148" s="1" t="str">
        <f>LOOKUP(A148, NPCs!A:A, NPCs!C:C)</f>
        <v>Tailoring Supplies</v>
      </c>
      <c r="H148" s="1" t="str">
        <f>LOOKUP(B148, Items!A:A, Items!C:C)</f>
        <v>Spool of Purple Thread</v>
      </c>
    </row>
    <row r="149" ht="15.75" customHeight="1">
      <c r="A149" s="1">
        <v>149.0</v>
      </c>
      <c r="B149" s="1">
        <v>332.0</v>
      </c>
      <c r="E149" s="1">
        <v>1.0</v>
      </c>
      <c r="G149" s="1" t="str">
        <f>LOOKUP(A149, NPCs!A:A, NPCs!C:C)</f>
        <v>Smithing Supplies</v>
      </c>
      <c r="H149" s="1" t="str">
        <f>LOOKUP(B149, Items!A:A, Items!C:C)</f>
        <v>Chisel</v>
      </c>
    </row>
    <row r="150" ht="15.75" customHeight="1">
      <c r="A150" s="1">
        <v>149.0</v>
      </c>
      <c r="B150" s="1">
        <v>334.0</v>
      </c>
      <c r="E150" s="1">
        <v>2.0</v>
      </c>
      <c r="G150" s="1" t="str">
        <f>LOOKUP(A150, NPCs!A:A, NPCs!C:C)</f>
        <v>Smithing Supplies</v>
      </c>
      <c r="H150" s="1" t="str">
        <f>LOOKUP(B150, Items!A:A, Items!C:C)</f>
        <v>High Quality Blade</v>
      </c>
    </row>
    <row r="151" ht="15.75" customHeight="1">
      <c r="A151" s="1">
        <v>149.0</v>
      </c>
      <c r="B151" s="1">
        <v>335.0</v>
      </c>
      <c r="E151" s="1">
        <v>3.0</v>
      </c>
      <c r="G151" s="1" t="str">
        <f>LOOKUP(A151, NPCs!A:A, NPCs!C:C)</f>
        <v>Smithing Supplies</v>
      </c>
      <c r="H151" s="1" t="str">
        <f>LOOKUP(B151, Items!A:A, Items!C:C)</f>
        <v>High Quality Hilt</v>
      </c>
    </row>
    <row r="152" ht="15.75" customHeight="1">
      <c r="A152" s="1">
        <v>149.0</v>
      </c>
      <c r="B152" s="1">
        <v>336.0</v>
      </c>
      <c r="E152" s="1">
        <v>4.0</v>
      </c>
      <c r="G152" s="1" t="str">
        <f>LOOKUP(A152, NPCs!A:A, NPCs!C:C)</f>
        <v>Smithing Supplies</v>
      </c>
      <c r="H152" s="1" t="str">
        <f>LOOKUP(B152, Items!A:A, Items!C:C)</f>
        <v>Medium Quality Blade</v>
      </c>
    </row>
    <row r="153" ht="15.75" customHeight="1">
      <c r="A153" s="1">
        <v>149.0</v>
      </c>
      <c r="B153" s="1">
        <v>337.0</v>
      </c>
      <c r="E153" s="1">
        <v>5.0</v>
      </c>
      <c r="G153" s="1" t="str">
        <f>LOOKUP(A153, NPCs!A:A, NPCs!C:C)</f>
        <v>Smithing Supplies</v>
      </c>
      <c r="H153" s="1" t="str">
        <f>LOOKUP(B153, Items!A:A, Items!C:C)</f>
        <v>Medium Quality Hilt</v>
      </c>
    </row>
    <row r="154" ht="15.75" customHeight="1">
      <c r="A154" s="1">
        <v>149.0</v>
      </c>
      <c r="B154" s="1">
        <v>338.0</v>
      </c>
      <c r="E154" s="1">
        <v>6.0</v>
      </c>
      <c r="G154" s="1" t="str">
        <f>LOOKUP(A154, NPCs!A:A, NPCs!C:C)</f>
        <v>Smithing Supplies</v>
      </c>
      <c r="H154" s="1" t="str">
        <f>LOOKUP(B154, Items!A:A, Items!C:C)</f>
        <v>Low Quality Blade</v>
      </c>
    </row>
    <row r="155" ht="15.75" customHeight="1">
      <c r="A155" s="1">
        <v>149.0</v>
      </c>
      <c r="B155" s="1">
        <v>339.0</v>
      </c>
      <c r="E155" s="1">
        <v>7.0</v>
      </c>
      <c r="G155" s="1" t="str">
        <f>LOOKUP(A155, NPCs!A:A, NPCs!C:C)</f>
        <v>Smithing Supplies</v>
      </c>
      <c r="H155" s="1" t="str">
        <f>LOOKUP(B155, Items!A:A, Items!C:C)</f>
        <v>Low Quality Hilt</v>
      </c>
    </row>
    <row r="156" ht="15.75" customHeight="1">
      <c r="A156" s="1">
        <v>149.0</v>
      </c>
      <c r="B156" s="1">
        <v>342.0</v>
      </c>
      <c r="E156" s="1">
        <v>8.0</v>
      </c>
      <c r="G156" s="1" t="str">
        <f>LOOKUP(A156, NPCs!A:A, NPCs!C:C)</f>
        <v>Smithing Supplies</v>
      </c>
      <c r="H156" s="1" t="str">
        <f>LOOKUP(B156, Items!A:A, Items!C:C)</f>
        <v>Liquid Ore</v>
      </c>
    </row>
    <row r="157" ht="15.75" customHeight="1">
      <c r="A157" s="1">
        <v>149.0</v>
      </c>
      <c r="B157" s="1">
        <v>344.0</v>
      </c>
      <c r="E157" s="1">
        <v>9.0</v>
      </c>
      <c r="G157" s="1" t="str">
        <f>LOOKUP(A157, NPCs!A:A, NPCs!C:C)</f>
        <v>Smithing Supplies</v>
      </c>
      <c r="H157" s="1" t="str">
        <f>LOOKUP(B157, Items!A:A, Items!C:C)</f>
        <v>Rope</v>
      </c>
    </row>
    <row r="158" ht="15.75" customHeight="1">
      <c r="A158" s="1">
        <v>150.0</v>
      </c>
      <c r="B158" s="1">
        <v>341.0</v>
      </c>
      <c r="E158" s="1">
        <v>1.0</v>
      </c>
      <c r="G158" s="1" t="str">
        <f>LOOKUP(A158, NPCs!A:A, NPCs!C:C)</f>
        <v>Scriber</v>
      </c>
      <c r="H158" s="1" t="str">
        <f>LOOKUP(B158, Items!A:A, Items!C:C)</f>
        <v>Ink</v>
      </c>
    </row>
    <row r="159" ht="15.75" customHeight="1">
      <c r="A159" s="1">
        <v>150.0</v>
      </c>
      <c r="B159" s="1">
        <v>328.0</v>
      </c>
      <c r="E159" s="1">
        <v>2.0</v>
      </c>
      <c r="G159" s="1" t="str">
        <f>LOOKUP(A159, NPCs!A:A, NPCs!C:C)</f>
        <v>Scriber</v>
      </c>
      <c r="H159" s="1" t="str">
        <f>LOOKUP(B159, Items!A:A, Items!C:C)</f>
        <v>Blank Scroll</v>
      </c>
    </row>
    <row r="160" ht="15.75" customHeight="1">
      <c r="A160" s="1">
        <v>159.0</v>
      </c>
      <c r="B160" s="1">
        <v>481.0</v>
      </c>
      <c r="E160" s="1">
        <v>1.0</v>
      </c>
      <c r="G160" s="1" t="str">
        <f>LOOKUP(A160, NPCs!A:A, NPCs!C:C)</f>
        <v>Wandering Scribe</v>
      </c>
      <c r="H160" s="1" t="str">
        <f>LOOKUP(B160, Items!A:A, Items!C:C)</f>
        <v>Scroll: Augment</v>
      </c>
    </row>
    <row r="161" ht="15.75" customHeight="1">
      <c r="A161" s="1">
        <v>159.0</v>
      </c>
      <c r="B161" s="1">
        <v>482.0</v>
      </c>
      <c r="E161" s="1">
        <v>2.0</v>
      </c>
      <c r="G161" s="1" t="str">
        <f>LOOKUP(A161, NPCs!A:A, NPCs!C:C)</f>
        <v>Wandering Scribe</v>
      </c>
      <c r="H161" s="1" t="str">
        <f>LOOKUP(B161, Items!A:A, Items!C:C)</f>
        <v>Scroll: Empower</v>
      </c>
    </row>
    <row r="162" ht="15.75" customHeight="1">
      <c r="A162" s="1">
        <v>159.0</v>
      </c>
      <c r="B162" s="1">
        <v>483.0</v>
      </c>
      <c r="E162" s="1">
        <v>3.0</v>
      </c>
      <c r="G162" s="1" t="str">
        <f>LOOKUP(A162, NPCs!A:A, NPCs!C:C)</f>
        <v>Wandering Scribe</v>
      </c>
      <c r="H162" s="1" t="str">
        <f>LOOKUP(B162, Items!A:A, Items!C:C)</f>
        <v>Scroll: Bustle</v>
      </c>
    </row>
    <row r="163" ht="15.75" customHeight="1">
      <c r="A163" s="1">
        <v>159.0</v>
      </c>
      <c r="B163" s="1">
        <v>484.0</v>
      </c>
      <c r="E163" s="1">
        <v>4.0</v>
      </c>
      <c r="G163" s="1" t="str">
        <f>LOOKUP(A163, NPCs!A:A, NPCs!C:C)</f>
        <v>Wandering Scribe</v>
      </c>
      <c r="H163" s="1" t="str">
        <f>LOOKUP(B163, Items!A:A, Items!C:C)</f>
        <v>Scroll: Aggravate</v>
      </c>
    </row>
    <row r="164" ht="15.75" customHeight="1">
      <c r="A164" s="1">
        <v>160.0</v>
      </c>
      <c r="B164" s="1">
        <v>485.0</v>
      </c>
      <c r="E164" s="1">
        <v>1.0</v>
      </c>
      <c r="G164" s="1" t="str">
        <f>LOOKUP(A164, NPCs!A:A, NPCs!C:C)</f>
        <v>Wandering Scribe</v>
      </c>
      <c r="H164" s="1" t="str">
        <f>LOOKUP(B164, Items!A:A, Items!C:C)</f>
        <v>Scroll: Meditate</v>
      </c>
    </row>
    <row r="165" ht="15.75" customHeight="1">
      <c r="A165" s="1">
        <v>160.0</v>
      </c>
      <c r="B165" s="1">
        <v>486.0</v>
      </c>
      <c r="E165" s="1">
        <v>2.0</v>
      </c>
      <c r="G165" s="1" t="str">
        <f>LOOKUP(A165, NPCs!A:A, NPCs!C:C)</f>
        <v>Wandering Scribe</v>
      </c>
      <c r="H165" s="1" t="str">
        <f>LOOKUP(B165, Items!A:A, Items!C:C)</f>
        <v>Scroll: Bulk</v>
      </c>
    </row>
    <row r="166" ht="15.75" customHeight="1">
      <c r="A166" s="1">
        <v>160.0</v>
      </c>
      <c r="B166" s="1">
        <v>487.0</v>
      </c>
      <c r="E166" s="1">
        <v>3.0</v>
      </c>
      <c r="G166" s="1" t="str">
        <f>LOOKUP(A166, NPCs!A:A, NPCs!C:C)</f>
        <v>Wandering Scribe</v>
      </c>
      <c r="H166" s="1" t="str">
        <f>LOOKUP(B166, Items!A:A, Items!C:C)</f>
        <v>Scroll: Tumble</v>
      </c>
    </row>
    <row r="167" ht="15.75" customHeight="1">
      <c r="A167" s="1">
        <v>160.0</v>
      </c>
      <c r="B167" s="1">
        <v>488.0</v>
      </c>
      <c r="E167" s="1">
        <v>4.0</v>
      </c>
      <c r="G167" s="1" t="str">
        <f>LOOKUP(A167, NPCs!A:A, NPCs!C:C)</f>
        <v>Wandering Scribe</v>
      </c>
      <c r="H167" s="1" t="str">
        <f>LOOKUP(B167, Items!A:A, Items!C:C)</f>
        <v>Scroll: Forge</v>
      </c>
    </row>
    <row r="168" ht="15.75" customHeight="1">
      <c r="A168" s="1">
        <v>170.0</v>
      </c>
      <c r="B168" s="1">
        <v>210.0</v>
      </c>
      <c r="E168" s="1">
        <v>1.0</v>
      </c>
      <c r="G168" s="1" t="str">
        <f>LOOKUP(A168, NPCs!A:A, NPCs!C:C)</f>
        <v>Phat Lewtz</v>
      </c>
      <c r="H168" s="1" t="str">
        <f>LOOKUP(B168, Items!A:A, Items!C:C)</f>
        <v>Lucky Staff</v>
      </c>
    </row>
    <row r="169" ht="15.75" customHeight="1">
      <c r="A169" s="1">
        <v>170.0</v>
      </c>
      <c r="B169" s="1">
        <v>156.0</v>
      </c>
      <c r="E169" s="1">
        <v>2.0</v>
      </c>
      <c r="G169" s="1" t="str">
        <f>LOOKUP(A169, NPCs!A:A, NPCs!C:C)</f>
        <v>Phat Lewtz</v>
      </c>
      <c r="H169" s="1" t="str">
        <f>LOOKUP(B169, Items!A:A, Items!C:C)</f>
        <v>Lucky Robes</v>
      </c>
    </row>
    <row r="170" ht="15.75" customHeight="1">
      <c r="A170" s="1">
        <v>170.0</v>
      </c>
      <c r="B170" s="1">
        <v>112.0</v>
      </c>
      <c r="E170" s="1">
        <v>3.0</v>
      </c>
      <c r="G170" s="1" t="str">
        <f>LOOKUP(A170, NPCs!A:A, NPCs!C:C)</f>
        <v>Phat Lewtz</v>
      </c>
      <c r="H170" s="1" t="str">
        <f>LOOKUP(B170, Items!A:A, Items!C:C)</f>
        <v>Lucky Legplates</v>
      </c>
    </row>
    <row r="171" ht="15.75" customHeight="1">
      <c r="A171" s="1">
        <v>170.0</v>
      </c>
      <c r="B171" s="1">
        <v>130.0</v>
      </c>
      <c r="E171" s="1">
        <v>4.0</v>
      </c>
      <c r="G171" s="1" t="str">
        <f>LOOKUP(A171, NPCs!A:A, NPCs!C:C)</f>
        <v>Phat Lewtz</v>
      </c>
      <c r="H171" s="1" t="str">
        <f>LOOKUP(B171, Items!A:A, Items!C:C)</f>
        <v>Lucky Boots</v>
      </c>
    </row>
    <row r="172" ht="15.75" customHeight="1">
      <c r="A172" s="1">
        <v>170.0</v>
      </c>
      <c r="B172" s="1">
        <v>157.0</v>
      </c>
      <c r="E172" s="1">
        <v>5.0</v>
      </c>
      <c r="G172" s="1" t="str">
        <f>LOOKUP(A172, NPCs!A:A, NPCs!C:C)</f>
        <v>Phat Lewtz</v>
      </c>
      <c r="H172" s="1" t="str">
        <f>LOOKUP(B172, Items!A:A, Items!C:C)</f>
        <v>Lucky Chestplate</v>
      </c>
    </row>
    <row r="173" ht="15.75" customHeight="1">
      <c r="A173" s="1">
        <v>170.0</v>
      </c>
      <c r="B173" s="1">
        <v>209.0</v>
      </c>
      <c r="E173" s="1">
        <v>6.0</v>
      </c>
      <c r="G173" s="1" t="str">
        <f>LOOKUP(A173, NPCs!A:A, NPCs!C:C)</f>
        <v>Phat Lewtz</v>
      </c>
      <c r="H173" s="1" t="str">
        <f>LOOKUP(B173, Items!A:A, Items!C:C)</f>
        <v>Lucky Spear</v>
      </c>
    </row>
    <row r="174" ht="15.75" customHeight="1">
      <c r="A174" s="1">
        <v>170.0</v>
      </c>
      <c r="B174" s="1">
        <v>389.0</v>
      </c>
      <c r="E174" s="1">
        <v>7.0</v>
      </c>
      <c r="G174" s="1" t="str">
        <f>LOOKUP(A174, NPCs!A:A, NPCs!C:C)</f>
        <v>Phat Lewtz</v>
      </c>
      <c r="H174" s="1" t="str">
        <f>LOOKUP(B174, Items!A:A, Items!C:C)</f>
        <v>Lucky Dagger</v>
      </c>
    </row>
    <row r="175" ht="15.75" customHeight="1">
      <c r="A175" s="1">
        <v>170.0</v>
      </c>
      <c r="B175" s="1">
        <v>478.0</v>
      </c>
      <c r="E175" s="1">
        <v>8.0</v>
      </c>
      <c r="G175" s="1" t="str">
        <f>LOOKUP(A175, NPCs!A:A, NPCs!C:C)</f>
        <v>Phat Lewtz</v>
      </c>
      <c r="H175" s="1" t="str">
        <f>LOOKUP(B175, Items!A:A, Items!C:C)</f>
        <v>Scratch</v>
      </c>
    </row>
    <row r="176" ht="15.75" customHeight="1">
      <c r="A176" s="1">
        <v>170.0</v>
      </c>
      <c r="B176" s="1">
        <v>476.0</v>
      </c>
      <c r="E176" s="1">
        <v>9.0</v>
      </c>
      <c r="G176" s="1" t="str">
        <f>LOOKUP(A176, NPCs!A:A, NPCs!C:C)</f>
        <v>Phat Lewtz</v>
      </c>
      <c r="H176" s="1" t="str">
        <f>LOOKUP(B176, Items!A:A, Items!C:C)</f>
        <v>Star Shield</v>
      </c>
    </row>
    <row r="177" ht="15.75" customHeight="1">
      <c r="A177" s="1">
        <v>170.0</v>
      </c>
      <c r="B177" s="1">
        <v>477.0</v>
      </c>
      <c r="E177" s="1">
        <v>10.0</v>
      </c>
      <c r="G177" s="1" t="str">
        <f>LOOKUP(A177, NPCs!A:A, NPCs!C:C)</f>
        <v>Phat Lewtz</v>
      </c>
      <c r="H177" s="1" t="str">
        <f>LOOKUP(B177, Items!A:A, Items!C:C)</f>
        <v>Sanguine Chaos</v>
      </c>
    </row>
    <row r="178" ht="15.75" customHeight="1">
      <c r="A178" s="1">
        <v>170.0</v>
      </c>
      <c r="B178" s="1">
        <v>105.0</v>
      </c>
      <c r="E178" s="1">
        <v>11.0</v>
      </c>
      <c r="G178" s="1" t="str">
        <f>LOOKUP(A178, NPCs!A:A, NPCs!C:C)</f>
        <v>Phat Lewtz</v>
      </c>
      <c r="H178" s="1" t="str">
        <f>LOOKUP(B178, Items!A:A, Items!C:C)</f>
        <v>Wolfs Essence</v>
      </c>
    </row>
    <row r="179" ht="15.75" customHeight="1">
      <c r="A179" s="1">
        <v>170.0</v>
      </c>
      <c r="B179" s="1">
        <v>383.0</v>
      </c>
      <c r="E179" s="1">
        <v>12.0</v>
      </c>
      <c r="G179" s="1" t="str">
        <f>LOOKUP(A179, NPCs!A:A, NPCs!C:C)</f>
        <v>Phat Lewtz</v>
      </c>
      <c r="H179" s="1" t="str">
        <f>LOOKUP(B179, Items!A:A, Items!C:C)</f>
        <v>Battle Gown</v>
      </c>
    </row>
    <row r="180" ht="15.75" customHeight="1">
      <c r="A180" s="1">
        <v>170.0</v>
      </c>
      <c r="B180" s="1">
        <v>139.0</v>
      </c>
      <c r="E180" s="1">
        <v>13.0</v>
      </c>
      <c r="G180" s="1" t="str">
        <f>LOOKUP(A180, NPCs!A:A, NPCs!C:C)</f>
        <v>Phat Lewtz</v>
      </c>
      <c r="H180" s="1" t="str">
        <f>LOOKUP(B180, Items!A:A, Items!C:C)</f>
        <v>Divine Pauldrons</v>
      </c>
    </row>
    <row r="181" ht="15.75" customHeight="1">
      <c r="A181" s="1">
        <v>170.0</v>
      </c>
      <c r="B181" s="1">
        <v>381.0</v>
      </c>
      <c r="E181" s="1">
        <v>14.0</v>
      </c>
      <c r="G181" s="1" t="str">
        <f>LOOKUP(A181, NPCs!A:A, NPCs!C:C)</f>
        <v>Phat Lewtz</v>
      </c>
      <c r="H181" s="1" t="str">
        <f>LOOKUP(B181, Items!A:A, Items!C:C)</f>
        <v>Celestial Pauldrons</v>
      </c>
    </row>
    <row r="182" ht="15.75" customHeight="1">
      <c r="A182" s="1">
        <v>170.0</v>
      </c>
      <c r="B182" s="1">
        <v>99.0</v>
      </c>
      <c r="E182" s="1">
        <v>15.0</v>
      </c>
      <c r="G182" s="1" t="str">
        <f>LOOKUP(A182, NPCs!A:A, NPCs!C:C)</f>
        <v>Phat Lewtz</v>
      </c>
      <c r="H182" s="1" t="str">
        <f>LOOKUP(B182, Items!A:A, Items!C:C)</f>
        <v>Lucky Laurels</v>
      </c>
    </row>
    <row r="183" ht="15.75" customHeight="1">
      <c r="A183" s="1">
        <v>170.0</v>
      </c>
      <c r="B183" s="1">
        <v>384.0</v>
      </c>
      <c r="E183" s="1">
        <v>16.0</v>
      </c>
      <c r="G183" s="1" t="str">
        <f>LOOKUP(A183, NPCs!A:A, NPCs!C:C)</f>
        <v>Phat Lewtz</v>
      </c>
      <c r="H183" s="1" t="str">
        <f>LOOKUP(B183, Items!A:A, Items!C:C)</f>
        <v>Lucky Belt</v>
      </c>
    </row>
    <row r="184" ht="15.75" customHeight="1">
      <c r="A184" s="1">
        <v>170.0</v>
      </c>
      <c r="B184" s="1">
        <v>143.0</v>
      </c>
      <c r="E184" s="1">
        <v>17.0</v>
      </c>
      <c r="G184" s="1" t="str">
        <f>LOOKUP(A184, NPCs!A:A, NPCs!C:C)</f>
        <v>Phat Lewtz</v>
      </c>
      <c r="H184" s="1" t="str">
        <f>LOOKUP(B184, Items!A:A, Items!C:C)</f>
        <v>Lucky Necklace</v>
      </c>
    </row>
    <row r="185" ht="15.75" customHeight="1">
      <c r="A185" s="1">
        <v>170.0</v>
      </c>
      <c r="B185" s="1">
        <v>118.0</v>
      </c>
      <c r="E185" s="1">
        <v>18.0</v>
      </c>
      <c r="G185" s="1" t="str">
        <f>LOOKUP(A185, NPCs!A:A, NPCs!C:C)</f>
        <v>Phat Lewtz</v>
      </c>
      <c r="H185" s="1" t="str">
        <f>LOOKUP(B185, Items!A:A, Items!C:C)</f>
        <v>Firebreather Shield</v>
      </c>
    </row>
    <row r="186" ht="15.75" customHeight="1">
      <c r="A186" s="1">
        <v>170.0</v>
      </c>
      <c r="B186" s="1">
        <v>527.0</v>
      </c>
      <c r="E186" s="1">
        <v>19.0</v>
      </c>
      <c r="G186" s="1" t="str">
        <f>LOOKUP(A186, NPCs!A:A, NPCs!C:C)</f>
        <v>Phat Lewtz</v>
      </c>
      <c r="H186" s="1" t="str">
        <f>LOOKUP(B186, Items!A:A, Items!C:C)</f>
        <v>Scroll: First Aid</v>
      </c>
    </row>
    <row r="187" ht="15.75" customHeight="1">
      <c r="A187" s="1">
        <v>170.0</v>
      </c>
      <c r="B187" s="1">
        <v>528.0</v>
      </c>
      <c r="E187" s="1">
        <v>20.0</v>
      </c>
      <c r="G187" s="1" t="str">
        <f>LOOKUP(A187, NPCs!A:A, NPCs!C:C)</f>
        <v>Phat Lewtz</v>
      </c>
      <c r="H187" s="1" t="str">
        <f>LOOKUP(B187, Items!A:A, Items!C:C)</f>
        <v>Scroll: Recovery</v>
      </c>
    </row>
    <row r="188" ht="15.75" customHeight="1">
      <c r="A188" s="1">
        <v>170.0</v>
      </c>
      <c r="B188" s="1">
        <v>529.0</v>
      </c>
      <c r="E188" s="1">
        <v>21.0</v>
      </c>
      <c r="G188" s="1" t="str">
        <f>LOOKUP(A188, NPCs!A:A, NPCs!C:C)</f>
        <v>Phat Lewtz</v>
      </c>
      <c r="H188" s="1" t="str">
        <f>LOOKUP(B188, Items!A:A, Items!C:C)</f>
        <v>Scroll: Clobber</v>
      </c>
    </row>
    <row r="189" ht="15.75" customHeight="1">
      <c r="A189" s="1">
        <v>170.0</v>
      </c>
      <c r="B189" s="1">
        <v>530.0</v>
      </c>
      <c r="E189" s="1">
        <v>22.0</v>
      </c>
      <c r="G189" s="1" t="str">
        <f>LOOKUP(A189, NPCs!A:A, NPCs!C:C)</f>
        <v>Phat Lewtz</v>
      </c>
      <c r="H189" s="1" t="str">
        <f>LOOKUP(B189, Items!A:A, Items!C:C)</f>
        <v>Scroll: Pummel</v>
      </c>
    </row>
    <row r="190" ht="15.75" customHeight="1">
      <c r="A190" s="1">
        <v>170.0</v>
      </c>
      <c r="B190" s="1">
        <v>382.0</v>
      </c>
      <c r="E190" s="1">
        <v>23.0</v>
      </c>
      <c r="G190" s="1" t="str">
        <f>LOOKUP(A190, NPCs!A:A, NPCs!C:C)</f>
        <v>Phat Lewtz</v>
      </c>
      <c r="H190" s="1" t="str">
        <f>LOOKUP(B190, Items!A:A, Items!C:C)</f>
        <v>Shades</v>
      </c>
    </row>
    <row r="191" ht="15.75" customHeight="1">
      <c r="A191" s="1">
        <v>170.0</v>
      </c>
      <c r="B191" s="1">
        <v>616.0</v>
      </c>
      <c r="E191" s="1">
        <v>24.0</v>
      </c>
      <c r="G191" s="1" t="str">
        <f>LOOKUP(A191, NPCs!A:A, NPCs!C:C)</f>
        <v>Phat Lewtz</v>
      </c>
      <c r="H191" s="1" t="str">
        <f>LOOKUP(B191, Items!A:A, Items!C:C)</f>
        <v>Pet Bait</v>
      </c>
    </row>
    <row r="192" ht="15.75" customHeight="1">
      <c r="A192" s="1">
        <v>180.0</v>
      </c>
      <c r="B192" s="1">
        <v>541.0</v>
      </c>
      <c r="E192" s="1">
        <v>1.0</v>
      </c>
      <c r="G192" s="1" t="str">
        <f>LOOKUP(A192, NPCs!A:A, NPCs!C:C)</f>
        <v>Credit Exchange</v>
      </c>
      <c r="H192" s="1" t="str">
        <f>LOOKUP(B192, Items!A:A, Items!C:C)</f>
        <v>Pet Bait</v>
      </c>
    </row>
    <row r="193" ht="15.75" customHeight="1">
      <c r="A193" s="1">
        <v>180.0</v>
      </c>
      <c r="B193" s="1">
        <v>209.0</v>
      </c>
      <c r="E193" s="1">
        <v>2.0</v>
      </c>
      <c r="G193" s="1" t="str">
        <f>LOOKUP(A193, NPCs!A:A, NPCs!C:C)</f>
        <v>Credit Exchange</v>
      </c>
      <c r="H193" s="1" t="str">
        <f>LOOKUP(B193, Items!A:A, Items!C:C)</f>
        <v>Lucky Spear</v>
      </c>
    </row>
    <row r="194" ht="15.75" customHeight="1">
      <c r="A194" s="1">
        <v>180.0</v>
      </c>
      <c r="B194" s="1">
        <v>389.0</v>
      </c>
      <c r="E194" s="1">
        <v>3.0</v>
      </c>
      <c r="G194" s="1" t="str">
        <f>LOOKUP(A194, NPCs!A:A, NPCs!C:C)</f>
        <v>Credit Exchange</v>
      </c>
      <c r="H194" s="1" t="str">
        <f>LOOKUP(B194, Items!A:A, Items!C:C)</f>
        <v>Lucky Dagger</v>
      </c>
    </row>
    <row r="195" ht="15.75" customHeight="1">
      <c r="A195" s="1">
        <v>180.0</v>
      </c>
      <c r="B195" s="1">
        <v>478.0</v>
      </c>
      <c r="E195" s="1">
        <v>4.0</v>
      </c>
      <c r="G195" s="1" t="str">
        <f>LOOKUP(A195, NPCs!A:A, NPCs!C:C)</f>
        <v>Credit Exchange</v>
      </c>
      <c r="H195" s="1" t="str">
        <f>LOOKUP(B195, Items!A:A, Items!C:C)</f>
        <v>Scratch</v>
      </c>
    </row>
    <row r="196" ht="15.75" customHeight="1">
      <c r="A196" s="1">
        <v>180.0</v>
      </c>
      <c r="B196" s="1">
        <v>476.0</v>
      </c>
      <c r="E196" s="1">
        <v>5.0</v>
      </c>
      <c r="G196" s="1" t="str">
        <f>LOOKUP(A196, NPCs!A:A, NPCs!C:C)</f>
        <v>Credit Exchange</v>
      </c>
      <c r="H196" s="1" t="str">
        <f>LOOKUP(B196, Items!A:A, Items!C:C)</f>
        <v>Star Shield</v>
      </c>
    </row>
    <row r="197" ht="15.75" customHeight="1">
      <c r="A197" s="1">
        <v>180.0</v>
      </c>
      <c r="B197" s="1">
        <v>477.0</v>
      </c>
      <c r="E197" s="1">
        <v>6.0</v>
      </c>
      <c r="G197" s="1" t="str">
        <f>LOOKUP(A197, NPCs!A:A, NPCs!C:C)</f>
        <v>Credit Exchange</v>
      </c>
      <c r="H197" s="1" t="str">
        <f>LOOKUP(B197, Items!A:A, Items!C:C)</f>
        <v>Sanguine Chaos</v>
      </c>
    </row>
    <row r="198" ht="15.75" customHeight="1">
      <c r="A198" s="1">
        <v>180.0</v>
      </c>
      <c r="B198" s="1">
        <v>105.0</v>
      </c>
      <c r="E198" s="1">
        <v>7.0</v>
      </c>
      <c r="G198" s="1" t="str">
        <f>LOOKUP(A198, NPCs!A:A, NPCs!C:C)</f>
        <v>Credit Exchange</v>
      </c>
      <c r="H198" s="1" t="str">
        <f>LOOKUP(B198, Items!A:A, Items!C:C)</f>
        <v>Wolfs Essence</v>
      </c>
    </row>
    <row r="199" ht="15.75" customHeight="1">
      <c r="A199" s="1">
        <v>180.0</v>
      </c>
      <c r="B199" s="1">
        <v>383.0</v>
      </c>
      <c r="E199" s="1">
        <v>8.0</v>
      </c>
      <c r="G199" s="1" t="str">
        <f>LOOKUP(A199, NPCs!A:A, NPCs!C:C)</f>
        <v>Credit Exchange</v>
      </c>
      <c r="H199" s="1" t="str">
        <f>LOOKUP(B199, Items!A:A, Items!C:C)</f>
        <v>Battle Gown</v>
      </c>
    </row>
    <row r="200" ht="15.75" customHeight="1">
      <c r="A200" s="1">
        <v>180.0</v>
      </c>
      <c r="B200" s="1">
        <v>139.0</v>
      </c>
      <c r="E200" s="1">
        <v>9.0</v>
      </c>
      <c r="G200" s="1" t="str">
        <f>LOOKUP(A200, NPCs!A:A, NPCs!C:C)</f>
        <v>Credit Exchange</v>
      </c>
      <c r="H200" s="1" t="str">
        <f>LOOKUP(B200, Items!A:A, Items!C:C)</f>
        <v>Divine Pauldrons</v>
      </c>
    </row>
    <row r="201" ht="15.75" customHeight="1">
      <c r="A201" s="1">
        <v>180.0</v>
      </c>
      <c r="B201" s="1">
        <v>381.0</v>
      </c>
      <c r="E201" s="1">
        <v>10.0</v>
      </c>
      <c r="G201" s="1" t="str">
        <f>LOOKUP(A201, NPCs!A:A, NPCs!C:C)</f>
        <v>Credit Exchange</v>
      </c>
      <c r="H201" s="1" t="str">
        <f>LOOKUP(B201, Items!A:A, Items!C:C)</f>
        <v>Celestial Pauldrons</v>
      </c>
    </row>
    <row r="202" ht="15.75" customHeight="1">
      <c r="A202" s="1">
        <v>180.0</v>
      </c>
      <c r="B202" s="1">
        <v>99.0</v>
      </c>
      <c r="E202" s="1">
        <v>11.0</v>
      </c>
      <c r="G202" s="1" t="str">
        <f>LOOKUP(A202, NPCs!A:A, NPCs!C:C)</f>
        <v>Credit Exchange</v>
      </c>
      <c r="H202" s="1" t="str">
        <f>LOOKUP(B202, Items!A:A, Items!C:C)</f>
        <v>Lucky Laurels</v>
      </c>
    </row>
    <row r="203" ht="15.75" customHeight="1">
      <c r="A203" s="1">
        <v>180.0</v>
      </c>
      <c r="B203" s="1">
        <v>384.0</v>
      </c>
      <c r="E203" s="1">
        <v>12.0</v>
      </c>
      <c r="G203" s="1" t="str">
        <f>LOOKUP(A203, NPCs!A:A, NPCs!C:C)</f>
        <v>Credit Exchange</v>
      </c>
      <c r="H203" s="1" t="str">
        <f>LOOKUP(B203, Items!A:A, Items!C:C)</f>
        <v>Lucky Belt</v>
      </c>
    </row>
    <row r="204" ht="15.75" customHeight="1">
      <c r="A204" s="1">
        <v>180.0</v>
      </c>
      <c r="B204" s="1">
        <v>143.0</v>
      </c>
      <c r="E204" s="1">
        <v>13.0</v>
      </c>
      <c r="G204" s="1" t="str">
        <f>LOOKUP(A204, NPCs!A:A, NPCs!C:C)</f>
        <v>Credit Exchange</v>
      </c>
      <c r="H204" s="1" t="str">
        <f>LOOKUP(B204, Items!A:A, Items!C:C)</f>
        <v>Lucky Necklace</v>
      </c>
    </row>
    <row r="205" ht="15.75" customHeight="1">
      <c r="A205" s="1">
        <v>180.0</v>
      </c>
      <c r="B205" s="1">
        <v>118.0</v>
      </c>
      <c r="E205" s="1">
        <v>14.0</v>
      </c>
      <c r="G205" s="1" t="str">
        <f>LOOKUP(A205, NPCs!A:A, NPCs!C:C)</f>
        <v>Credit Exchange</v>
      </c>
      <c r="H205" s="1" t="str">
        <f>LOOKUP(B205, Items!A:A, Items!C:C)</f>
        <v>Firebreather Shield</v>
      </c>
    </row>
    <row r="206" ht="15.75" customHeight="1">
      <c r="A206" s="1">
        <v>180.0</v>
      </c>
      <c r="B206" s="1">
        <v>523.0</v>
      </c>
      <c r="E206" s="1">
        <v>15.0</v>
      </c>
      <c r="G206" s="1" t="str">
        <f>LOOKUP(A206, NPCs!A:A, NPCs!C:C)</f>
        <v>Credit Exchange</v>
      </c>
      <c r="H206" s="1" t="str">
        <f>LOOKUP(B206, Items!A:A, Items!C:C)</f>
        <v>Scroll: First Aid</v>
      </c>
    </row>
    <row r="207" ht="15.75" customHeight="1">
      <c r="A207" s="1">
        <v>180.0</v>
      </c>
      <c r="B207" s="1">
        <v>524.0</v>
      </c>
      <c r="E207" s="1">
        <v>16.0</v>
      </c>
      <c r="G207" s="1" t="str">
        <f>LOOKUP(A207, NPCs!A:A, NPCs!C:C)</f>
        <v>Credit Exchange</v>
      </c>
      <c r="H207" s="1" t="str">
        <f>LOOKUP(B207, Items!A:A, Items!C:C)</f>
        <v>Scroll: Recovery</v>
      </c>
    </row>
    <row r="208" ht="15.75" customHeight="1">
      <c r="A208" s="1">
        <v>180.0</v>
      </c>
      <c r="B208" s="1">
        <v>525.0</v>
      </c>
      <c r="E208" s="1">
        <v>17.0</v>
      </c>
      <c r="G208" s="1" t="str">
        <f>LOOKUP(A208, NPCs!A:A, NPCs!C:C)</f>
        <v>Credit Exchange</v>
      </c>
      <c r="H208" s="1" t="str">
        <f>LOOKUP(B208, Items!A:A, Items!C:C)</f>
        <v>Scroll: Clobber</v>
      </c>
    </row>
    <row r="209" ht="15.75" customHeight="1">
      <c r="A209" s="1">
        <v>180.0</v>
      </c>
      <c r="B209" s="1">
        <v>526.0</v>
      </c>
      <c r="E209" s="1">
        <v>18.0</v>
      </c>
      <c r="G209" s="1" t="str">
        <f>LOOKUP(A209, NPCs!A:A, NPCs!C:C)</f>
        <v>Credit Exchange</v>
      </c>
      <c r="H209" s="1" t="str">
        <f>LOOKUP(B209, Items!A:A, Items!C:C)</f>
        <v>Scroll: Pummel</v>
      </c>
    </row>
    <row r="210" ht="15.75" customHeight="1">
      <c r="A210" s="1">
        <v>180.0</v>
      </c>
      <c r="B210" s="1">
        <v>382.0</v>
      </c>
      <c r="E210" s="1">
        <v>19.0</v>
      </c>
      <c r="G210" s="1" t="str">
        <f>LOOKUP(A210, NPCs!A:A, NPCs!C:C)</f>
        <v>Credit Exchange</v>
      </c>
      <c r="H210" s="1" t="str">
        <f>LOOKUP(B210, Items!A:A, Items!C:C)</f>
        <v>Shades</v>
      </c>
    </row>
    <row r="211" ht="15.75" customHeight="1">
      <c r="A211" s="1">
        <v>180.0</v>
      </c>
      <c r="B211" s="1">
        <v>531.0</v>
      </c>
      <c r="E211" s="1">
        <v>20.0</v>
      </c>
      <c r="G211" s="1" t="str">
        <f>LOOKUP(A211, NPCs!A:A, NPCs!C:C)</f>
        <v>Credit Exchange</v>
      </c>
      <c r="H211" s="1" t="str">
        <f>LOOKUP(B211, Items!A:A, Items!C:C)</f>
        <v>Scroll: Tame Pet</v>
      </c>
    </row>
    <row r="212" ht="15.75" customHeight="1">
      <c r="A212" s="1">
        <v>181.0</v>
      </c>
      <c r="B212" s="1">
        <v>532.0</v>
      </c>
      <c r="E212" s="1">
        <v>1.0</v>
      </c>
      <c r="G212" s="1" t="str">
        <f>LOOKUP(A212, NPCs!A:A, NPCs!C:C)</f>
        <v>Pet Trainer</v>
      </c>
      <c r="H212" s="1" t="str">
        <f>LOOKUP(B212, Items!A:A, Items!C:C)</f>
        <v>Scroll: Pet Attack</v>
      </c>
    </row>
    <row r="213" ht="15.75" customHeight="1">
      <c r="A213" s="1">
        <v>181.0</v>
      </c>
      <c r="B213" s="1">
        <v>533.0</v>
      </c>
      <c r="E213" s="1">
        <v>2.0</v>
      </c>
      <c r="G213" s="1" t="str">
        <f>LOOKUP(A213, NPCs!A:A, NPCs!C:C)</f>
        <v>Pet Trainer</v>
      </c>
      <c r="H213" s="1" t="str">
        <f>LOOKUP(B213, Items!A:A, Items!C:C)</f>
        <v>Scroll: Pet Defend</v>
      </c>
    </row>
    <row r="214" ht="15.75" customHeight="1">
      <c r="A214" s="1">
        <v>181.0</v>
      </c>
      <c r="B214" s="1">
        <v>534.0</v>
      </c>
      <c r="E214" s="1">
        <v>3.0</v>
      </c>
      <c r="G214" s="1" t="str">
        <f>LOOKUP(A214, NPCs!A:A, NPCs!C:C)</f>
        <v>Pet Trainer</v>
      </c>
      <c r="H214" s="1" t="str">
        <f>LOOKUP(B214, Items!A:A, Items!C:C)</f>
        <v>Scroll: Pet Recall</v>
      </c>
    </row>
    <row r="215" ht="15.75" customHeight="1">
      <c r="A215" s="1">
        <v>181.0</v>
      </c>
      <c r="B215" s="1">
        <v>535.0</v>
      </c>
      <c r="E215" s="1">
        <v>4.0</v>
      </c>
      <c r="G215" s="1" t="str">
        <f>LOOKUP(A215, NPCs!A:A, NPCs!C:C)</f>
        <v>Pet Trainer</v>
      </c>
      <c r="H215" s="1" t="str">
        <f>LOOKUP(B215, Items!A:A, Items!C:C)</f>
        <v>Scroll: Pet Follow</v>
      </c>
    </row>
    <row r="216" ht="15.75" customHeight="1">
      <c r="A216" s="1">
        <v>181.0</v>
      </c>
      <c r="B216" s="1">
        <v>536.0</v>
      </c>
      <c r="E216" s="1">
        <v>5.0</v>
      </c>
      <c r="G216" s="1" t="str">
        <f>LOOKUP(A216, NPCs!A:A, NPCs!C:C)</f>
        <v>Pet Trainer</v>
      </c>
      <c r="H216" s="1" t="str">
        <f>LOOKUP(B216, Items!A:A, Items!C:C)</f>
        <v>Scroll: Pet Neutral</v>
      </c>
    </row>
    <row r="217" ht="15.75" customHeight="1">
      <c r="A217" s="1">
        <v>182.0</v>
      </c>
      <c r="B217" s="1">
        <v>621.0</v>
      </c>
      <c r="E217" s="1">
        <v>1.0</v>
      </c>
      <c r="G217" s="1" t="str">
        <f>LOOKUP(A217, NPCs!A:A, NPCs!C:C)</f>
        <v>Alchemy Supplier Guy</v>
      </c>
      <c r="H217" s="1" t="str">
        <f>LOOKUP(B217, Items!A:A, Items!C:C)</f>
        <v>Empty Bottle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4</v>
      </c>
      <c r="C1" s="1" t="s">
        <v>1407</v>
      </c>
      <c r="D1" s="1" t="s">
        <v>1408</v>
      </c>
      <c r="E1" s="1" t="s">
        <v>1409</v>
      </c>
      <c r="F1" s="1" t="s">
        <v>1410</v>
      </c>
      <c r="G1" s="1" t="s">
        <v>1411</v>
      </c>
      <c r="H1" s="1" t="s">
        <v>1412</v>
      </c>
      <c r="I1" s="1" t="s">
        <v>1413</v>
      </c>
      <c r="J1" s="1" t="s">
        <v>1414</v>
      </c>
      <c r="K1" s="1" t="s">
        <v>1416</v>
      </c>
      <c r="L1" s="1" t="s">
        <v>1417</v>
      </c>
      <c r="M1" s="1" t="s">
        <v>1418</v>
      </c>
      <c r="N1" s="1" t="s">
        <v>1419</v>
      </c>
      <c r="O1" s="1" t="s">
        <v>1420</v>
      </c>
      <c r="P1" s="1" t="s">
        <v>127</v>
      </c>
      <c r="Q1" s="1" t="s">
        <v>125</v>
      </c>
    </row>
    <row r="2">
      <c r="A2" s="1">
        <v>1.0</v>
      </c>
      <c r="B2" s="1" t="s">
        <v>1421</v>
      </c>
      <c r="C2" s="1" t="s">
        <v>1422</v>
      </c>
      <c r="M2" s="1">
        <v>1.0</v>
      </c>
    </row>
    <row r="3">
      <c r="A3" s="1">
        <v>2.0</v>
      </c>
      <c r="B3" s="1" t="s">
        <v>1423</v>
      </c>
      <c r="C3" s="1" t="s">
        <v>1424</v>
      </c>
    </row>
    <row r="4">
      <c r="A4" s="1">
        <v>3.0</v>
      </c>
      <c r="B4" s="1" t="s">
        <v>1426</v>
      </c>
      <c r="C4" s="1" t="s">
        <v>1427</v>
      </c>
    </row>
    <row r="5">
      <c r="A5" s="1">
        <v>4.0</v>
      </c>
      <c r="B5" s="1" t="s">
        <v>1428</v>
      </c>
      <c r="C5" s="1" t="s">
        <v>1429</v>
      </c>
      <c r="H5" s="1">
        <v>1.0</v>
      </c>
      <c r="O5" s="1">
        <v>0.0</v>
      </c>
    </row>
    <row r="6">
      <c r="A6" s="1">
        <v>5.0</v>
      </c>
      <c r="B6" s="1" t="s">
        <v>1430</v>
      </c>
      <c r="C6" s="1" t="s">
        <v>1431</v>
      </c>
    </row>
    <row r="7">
      <c r="A7" s="1">
        <v>6.0</v>
      </c>
      <c r="B7" s="1" t="s">
        <v>1432</v>
      </c>
      <c r="C7" s="1" t="s">
        <v>1433</v>
      </c>
    </row>
    <row r="8">
      <c r="A8" s="1">
        <v>7.0</v>
      </c>
      <c r="B8" s="1" t="s">
        <v>1435</v>
      </c>
      <c r="C8" s="1" t="s">
        <v>1436</v>
      </c>
    </row>
    <row r="9">
      <c r="A9" s="1">
        <v>8.0</v>
      </c>
      <c r="B9" s="1" t="s">
        <v>1437</v>
      </c>
      <c r="C9" s="1" t="s">
        <v>1438</v>
      </c>
      <c r="M9" s="1">
        <v>1.0</v>
      </c>
    </row>
    <row r="10">
      <c r="A10" s="1">
        <v>9.0</v>
      </c>
      <c r="B10" s="1" t="s">
        <v>1439</v>
      </c>
      <c r="C10" s="1" t="s">
        <v>1440</v>
      </c>
    </row>
    <row r="11">
      <c r="A11" s="1">
        <v>10.0</v>
      </c>
      <c r="B11" s="1" t="s">
        <v>1441</v>
      </c>
      <c r="C11" s="1" t="s">
        <v>1442</v>
      </c>
    </row>
    <row r="12">
      <c r="A12" s="1">
        <v>11.0</v>
      </c>
      <c r="B12" s="1" t="s">
        <v>1443</v>
      </c>
      <c r="C12" s="1" t="s">
        <v>1444</v>
      </c>
    </row>
    <row r="13">
      <c r="A13" s="1">
        <v>12.0</v>
      </c>
      <c r="B13" s="1" t="s">
        <v>1447</v>
      </c>
      <c r="C13" s="1" t="s">
        <v>1448</v>
      </c>
    </row>
    <row r="14">
      <c r="A14" s="1">
        <v>13.0</v>
      </c>
      <c r="B14" s="1" t="s">
        <v>1449</v>
      </c>
      <c r="C14" s="1" t="s">
        <v>1450</v>
      </c>
    </row>
    <row r="15">
      <c r="A15" s="1">
        <v>14.0</v>
      </c>
      <c r="B15" s="1" t="s">
        <v>1451</v>
      </c>
      <c r="C15" s="1" t="s">
        <v>1452</v>
      </c>
    </row>
    <row r="16">
      <c r="A16" s="1">
        <v>15.0</v>
      </c>
      <c r="B16" s="1" t="s">
        <v>1454</v>
      </c>
      <c r="C16" s="1" t="s">
        <v>1455</v>
      </c>
      <c r="H16" s="1">
        <v>1.0</v>
      </c>
      <c r="O16" s="1">
        <v>0.0</v>
      </c>
    </row>
    <row r="17">
      <c r="A17" s="1">
        <v>16.0</v>
      </c>
      <c r="B17" s="1" t="s">
        <v>1456</v>
      </c>
      <c r="C17" s="1" t="s">
        <v>1457</v>
      </c>
    </row>
    <row r="18">
      <c r="A18" s="1">
        <v>17.0</v>
      </c>
      <c r="B18" s="1" t="s">
        <v>1458</v>
      </c>
      <c r="C18" s="1" t="s">
        <v>1459</v>
      </c>
    </row>
    <row r="19">
      <c r="A19" s="1">
        <v>18.0</v>
      </c>
      <c r="B19" s="1" t="s">
        <v>1460</v>
      </c>
      <c r="C19" s="1" t="s">
        <v>1462</v>
      </c>
    </row>
    <row r="20">
      <c r="A20" s="1">
        <v>19.0</v>
      </c>
      <c r="B20" s="1" t="s">
        <v>1463</v>
      </c>
      <c r="C20" s="1" t="s">
        <v>1464</v>
      </c>
    </row>
    <row r="21" ht="15.75" customHeight="1">
      <c r="A21" s="1">
        <v>20.0</v>
      </c>
      <c r="B21" s="1" t="s">
        <v>1465</v>
      </c>
      <c r="C21" s="1" t="s">
        <v>1466</v>
      </c>
    </row>
    <row r="22" ht="15.75" customHeight="1">
      <c r="A22" s="1">
        <v>21.0</v>
      </c>
      <c r="B22" s="1">
        <v>21.0</v>
      </c>
      <c r="C22" s="1" t="s">
        <v>1467</v>
      </c>
    </row>
    <row r="23" ht="15.75" customHeight="1">
      <c r="A23" s="1">
        <v>22.0</v>
      </c>
      <c r="B23" s="1">
        <v>22.0</v>
      </c>
      <c r="C23" s="1" t="s">
        <v>1469</v>
      </c>
      <c r="H23" s="1">
        <v>1.0</v>
      </c>
    </row>
    <row r="24" ht="15.75" customHeight="1">
      <c r="A24" s="1">
        <v>23.0</v>
      </c>
      <c r="B24" s="1">
        <v>23.0</v>
      </c>
      <c r="C24" s="1" t="s">
        <v>1470</v>
      </c>
    </row>
    <row r="25" ht="15.75" customHeight="1">
      <c r="A25" s="1">
        <v>24.0</v>
      </c>
      <c r="B25" s="1" t="s">
        <v>1471</v>
      </c>
      <c r="C25" s="1" t="s">
        <v>1472</v>
      </c>
      <c r="F25" s="1">
        <v>1.0E8</v>
      </c>
      <c r="H25" s="1">
        <v>1.0</v>
      </c>
      <c r="O25" s="1">
        <v>0.0</v>
      </c>
    </row>
    <row r="26" ht="15.75" customHeight="1">
      <c r="A26" s="1">
        <v>25.0</v>
      </c>
      <c r="B26" s="1" t="s">
        <v>1473</v>
      </c>
      <c r="C26" s="1" t="s">
        <v>1474</v>
      </c>
    </row>
    <row r="27" ht="15.75" customHeight="1">
      <c r="A27" s="1">
        <v>26.0</v>
      </c>
      <c r="B27" s="1">
        <v>26.0</v>
      </c>
      <c r="C27" s="1" t="s">
        <v>1476</v>
      </c>
    </row>
    <row r="28" ht="15.75" customHeight="1">
      <c r="A28" s="1">
        <v>27.0</v>
      </c>
      <c r="B28" s="1" t="s">
        <v>1477</v>
      </c>
      <c r="C28" s="1" t="s">
        <v>1478</v>
      </c>
    </row>
    <row r="29" ht="15.75" customHeight="1">
      <c r="A29" s="1">
        <v>28.0</v>
      </c>
      <c r="B29" s="1" t="s">
        <v>1479</v>
      </c>
      <c r="C29" s="1" t="s">
        <v>1480</v>
      </c>
    </row>
    <row r="30" ht="15.75" customHeight="1">
      <c r="A30" s="1">
        <v>29.0</v>
      </c>
      <c r="B30" s="1" t="s">
        <v>1471</v>
      </c>
      <c r="C30" s="1" t="s">
        <v>1481</v>
      </c>
      <c r="F30" s="1">
        <v>2.0E7</v>
      </c>
      <c r="H30" s="1">
        <v>1.0</v>
      </c>
      <c r="O30" s="1">
        <v>0.0</v>
      </c>
    </row>
    <row r="31" ht="15.75" customHeight="1">
      <c r="A31" s="1">
        <v>30.0</v>
      </c>
      <c r="B31" s="1" t="s">
        <v>1483</v>
      </c>
      <c r="C31" s="1" t="s">
        <v>1484</v>
      </c>
    </row>
    <row r="32" ht="15.75" customHeight="1">
      <c r="A32" s="1">
        <v>31.0</v>
      </c>
      <c r="B32" s="1" t="s">
        <v>1485</v>
      </c>
      <c r="C32" s="1" t="s">
        <v>1486</v>
      </c>
    </row>
    <row r="33" ht="15.75" customHeight="1">
      <c r="A33" s="1">
        <v>32.0</v>
      </c>
      <c r="B33" s="1" t="s">
        <v>1487</v>
      </c>
      <c r="C33" s="1" t="s">
        <v>1488</v>
      </c>
      <c r="F33" s="1">
        <v>1.0E7</v>
      </c>
    </row>
    <row r="34" ht="15.75" customHeight="1">
      <c r="A34" s="1">
        <v>33.0</v>
      </c>
      <c r="B34" s="1" t="s">
        <v>1489</v>
      </c>
      <c r="C34" s="1" t="s">
        <v>1491</v>
      </c>
      <c r="F34" s="1">
        <v>6.0E7</v>
      </c>
    </row>
    <row r="35" ht="15.75" customHeight="1">
      <c r="A35" s="1">
        <v>34.0</v>
      </c>
      <c r="B35" s="1" t="s">
        <v>1492</v>
      </c>
      <c r="C35" s="1" t="s">
        <v>1493</v>
      </c>
      <c r="F35" s="1">
        <v>3.0E8</v>
      </c>
    </row>
    <row r="36" ht="15.75" customHeight="1">
      <c r="A36" s="1">
        <v>35.0</v>
      </c>
      <c r="B36" s="1" t="s">
        <v>1495</v>
      </c>
      <c r="C36" s="1" t="s">
        <v>1496</v>
      </c>
    </row>
    <row r="37" ht="15.75" customHeight="1">
      <c r="A37" s="1">
        <v>36.0</v>
      </c>
      <c r="B37" s="1" t="s">
        <v>1497</v>
      </c>
      <c r="C37" s="1" t="s">
        <v>1498</v>
      </c>
    </row>
    <row r="38" ht="15.75" customHeight="1">
      <c r="A38" s="1">
        <v>37.0</v>
      </c>
      <c r="B38" s="1" t="s">
        <v>1499</v>
      </c>
      <c r="C38" s="1" t="s">
        <v>1500</v>
      </c>
    </row>
    <row r="39" ht="15.75" customHeight="1">
      <c r="A39" s="1">
        <v>38.0</v>
      </c>
      <c r="B39" s="1" t="s">
        <v>1501</v>
      </c>
      <c r="C39" s="1" t="s">
        <v>1502</v>
      </c>
    </row>
    <row r="40" ht="15.75" customHeight="1">
      <c r="A40" s="1">
        <v>39.0</v>
      </c>
      <c r="B40" s="1" t="s">
        <v>1503</v>
      </c>
      <c r="C40" s="1" t="s">
        <v>1504</v>
      </c>
      <c r="D40" s="1">
        <v>40.0</v>
      </c>
    </row>
    <row r="41" ht="15.75" customHeight="1">
      <c r="A41" s="1">
        <v>40.0</v>
      </c>
      <c r="B41" s="1" t="s">
        <v>1471</v>
      </c>
      <c r="C41" s="1" t="s">
        <v>1506</v>
      </c>
      <c r="F41" s="1">
        <v>4.0E8</v>
      </c>
      <c r="H41" s="1">
        <v>1.0</v>
      </c>
      <c r="O41" s="1">
        <v>0.0</v>
      </c>
    </row>
    <row r="42" ht="15.75" customHeight="1">
      <c r="A42" s="1">
        <v>41.0</v>
      </c>
      <c r="B42" s="1" t="s">
        <v>1507</v>
      </c>
      <c r="C42" s="1" t="s">
        <v>1508</v>
      </c>
    </row>
    <row r="43" ht="15.75" customHeight="1">
      <c r="A43" s="1">
        <v>42.0</v>
      </c>
      <c r="B43" s="1" t="s">
        <v>1509</v>
      </c>
      <c r="C43" s="1" t="s">
        <v>1510</v>
      </c>
      <c r="F43" s="1">
        <v>1.0E8</v>
      </c>
    </row>
    <row r="44" ht="15.75" customHeight="1">
      <c r="A44" s="1">
        <v>43.0</v>
      </c>
      <c r="B44" s="1" t="s">
        <v>1511</v>
      </c>
      <c r="C44" s="1" t="s">
        <v>1512</v>
      </c>
      <c r="F44" s="1">
        <v>2.0E8</v>
      </c>
    </row>
    <row r="45" ht="15.75" customHeight="1">
      <c r="A45" s="1">
        <v>44.0</v>
      </c>
      <c r="B45" s="1" t="s">
        <v>1513</v>
      </c>
      <c r="C45" s="1" t="s">
        <v>1514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1517</v>
      </c>
      <c r="B1" s="1" t="s">
        <v>1518</v>
      </c>
    </row>
    <row r="2">
      <c r="A2" s="1">
        <v>29.0</v>
      </c>
      <c r="B2" s="1">
        <v>266.0</v>
      </c>
    </row>
    <row r="3">
      <c r="A3" s="1">
        <v>43.0</v>
      </c>
      <c r="B3" s="1">
        <v>458.0</v>
      </c>
    </row>
    <row r="4">
      <c r="A4" s="1">
        <v>40.0</v>
      </c>
      <c r="B4" s="1">
        <v>516.0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4</v>
      </c>
      <c r="C1" s="1" t="s">
        <v>1519</v>
      </c>
      <c r="D1" s="1" t="s">
        <v>1520</v>
      </c>
      <c r="E1" s="1" t="s">
        <v>1521</v>
      </c>
      <c r="F1" s="1" t="s">
        <v>1522</v>
      </c>
      <c r="G1" s="1" t="s">
        <v>1523</v>
      </c>
    </row>
    <row r="2">
      <c r="A2" s="1">
        <v>1.0</v>
      </c>
      <c r="B2" s="1" t="s">
        <v>141</v>
      </c>
    </row>
    <row r="3">
      <c r="A3" s="1">
        <v>2.0</v>
      </c>
      <c r="B3" s="1" t="s">
        <v>141</v>
      </c>
    </row>
    <row r="4">
      <c r="A4" s="1">
        <v>3.0</v>
      </c>
      <c r="B4" s="1" t="s">
        <v>141</v>
      </c>
    </row>
    <row r="5">
      <c r="A5" s="1">
        <v>4.0</v>
      </c>
      <c r="B5" s="1" t="s">
        <v>141</v>
      </c>
    </row>
    <row r="6">
      <c r="A6" s="1">
        <v>5.0</v>
      </c>
      <c r="B6" s="1" t="s">
        <v>141</v>
      </c>
    </row>
    <row r="7">
      <c r="A7" s="1">
        <v>6.0</v>
      </c>
      <c r="B7" s="1" t="s">
        <v>141</v>
      </c>
    </row>
    <row r="8">
      <c r="A8" s="1">
        <v>7.0</v>
      </c>
      <c r="B8" s="1" t="s">
        <v>1255</v>
      </c>
    </row>
    <row r="9">
      <c r="A9" s="1">
        <v>8.0</v>
      </c>
      <c r="B9" s="1" t="s">
        <v>1256</v>
      </c>
    </row>
    <row r="10">
      <c r="A10" s="1">
        <v>9.0</v>
      </c>
      <c r="B10" s="1" t="s">
        <v>1257</v>
      </c>
    </row>
    <row r="11">
      <c r="A11" s="1">
        <v>10.0</v>
      </c>
      <c r="B11" s="1" t="s">
        <v>1258</v>
      </c>
    </row>
    <row r="12">
      <c r="A12" s="1">
        <v>11.0</v>
      </c>
      <c r="B12" s="1" t="s">
        <v>1259</v>
      </c>
    </row>
    <row r="13">
      <c r="A13" s="1">
        <v>12.0</v>
      </c>
      <c r="B13" s="1" t="s">
        <v>1150</v>
      </c>
    </row>
    <row r="14">
      <c r="A14" s="1">
        <v>13.0</v>
      </c>
      <c r="B14" s="1" t="s">
        <v>1184</v>
      </c>
    </row>
    <row r="15">
      <c r="A15" s="1">
        <v>14.0</v>
      </c>
      <c r="B15" s="1" t="s">
        <v>1183</v>
      </c>
    </row>
    <row r="16">
      <c r="A16" s="1">
        <v>15.0</v>
      </c>
      <c r="B16" s="1" t="s">
        <v>940</v>
      </c>
    </row>
    <row r="17">
      <c r="A17" s="1">
        <v>16.0</v>
      </c>
      <c r="B17" s="1" t="s">
        <v>1148</v>
      </c>
    </row>
    <row r="18">
      <c r="A18" s="1">
        <v>17.0</v>
      </c>
      <c r="B18" s="1" t="s">
        <v>1180</v>
      </c>
    </row>
    <row r="19">
      <c r="A19" s="1">
        <v>18.0</v>
      </c>
      <c r="B19" s="1" t="s">
        <v>1179</v>
      </c>
    </row>
    <row r="20">
      <c r="A20" s="1">
        <v>19.0</v>
      </c>
      <c r="B20" s="1" t="s">
        <v>1181</v>
      </c>
    </row>
    <row r="21" ht="15.75" customHeight="1">
      <c r="A21" s="1">
        <v>20.0</v>
      </c>
      <c r="B21" s="1" t="s">
        <v>1261</v>
      </c>
    </row>
    <row r="22" ht="15.75" customHeight="1">
      <c r="A22" s="1">
        <v>21.0</v>
      </c>
      <c r="B22" s="1" t="s">
        <v>1068</v>
      </c>
    </row>
    <row r="23" ht="15.75" customHeight="1">
      <c r="A23" s="1">
        <v>22.0</v>
      </c>
      <c r="B23" s="1" t="s">
        <v>722</v>
      </c>
    </row>
    <row r="24" ht="15.75" customHeight="1">
      <c r="A24" s="1">
        <v>23.0</v>
      </c>
      <c r="B24" s="1" t="s">
        <v>1144</v>
      </c>
    </row>
    <row r="25" ht="15.75" customHeight="1">
      <c r="A25" s="1">
        <v>24.0</v>
      </c>
      <c r="B25" s="1" t="s">
        <v>1146</v>
      </c>
    </row>
    <row r="26" ht="15.75" customHeight="1">
      <c r="A26" s="1">
        <v>25.0</v>
      </c>
      <c r="B26" s="1" t="s">
        <v>1089</v>
      </c>
    </row>
    <row r="27" ht="15.75" customHeight="1">
      <c r="A27" s="1">
        <v>26.0</v>
      </c>
      <c r="B27" s="1" t="s">
        <v>1145</v>
      </c>
    </row>
    <row r="28" ht="15.75" customHeight="1">
      <c r="A28" s="1">
        <v>27.0</v>
      </c>
      <c r="B28" s="1" t="s">
        <v>1141</v>
      </c>
    </row>
    <row r="29" ht="15.75" customHeight="1">
      <c r="A29" s="1">
        <v>28.0</v>
      </c>
      <c r="B29" s="1" t="s">
        <v>1138</v>
      </c>
    </row>
    <row r="30" ht="15.75" customHeight="1">
      <c r="A30" s="1">
        <v>29.0</v>
      </c>
      <c r="B30" s="1" t="s">
        <v>1267</v>
      </c>
    </row>
    <row r="31" ht="15.75" customHeight="1">
      <c r="A31" s="1">
        <v>30.0</v>
      </c>
      <c r="B31" s="1" t="s">
        <v>1143</v>
      </c>
    </row>
    <row r="32" ht="15.75" customHeight="1">
      <c r="A32" s="1">
        <v>31.0</v>
      </c>
      <c r="B32" s="1" t="s">
        <v>1249</v>
      </c>
    </row>
    <row r="33" ht="15.75" customHeight="1">
      <c r="A33" s="1">
        <v>32.0</v>
      </c>
      <c r="B33" s="1" t="s">
        <v>1524</v>
      </c>
    </row>
    <row r="34" ht="15.75" customHeight="1">
      <c r="A34" s="1">
        <v>33.0</v>
      </c>
      <c r="B34" s="1" t="s">
        <v>1525</v>
      </c>
    </row>
    <row r="35" ht="15.75" customHeight="1">
      <c r="A35" s="1">
        <v>34.0</v>
      </c>
      <c r="B35" s="1" t="s">
        <v>1526</v>
      </c>
    </row>
    <row r="36" ht="15.75" customHeight="1">
      <c r="A36" s="1">
        <v>35.0</v>
      </c>
      <c r="B36" s="1" t="s">
        <v>1527</v>
      </c>
    </row>
    <row r="37" ht="15.75" customHeight="1">
      <c r="A37" s="1">
        <v>36.0</v>
      </c>
      <c r="B37" s="1" t="s">
        <v>1178</v>
      </c>
    </row>
    <row r="38" ht="15.75" customHeight="1">
      <c r="A38" s="1">
        <v>37.0</v>
      </c>
      <c r="B38" s="1" t="s">
        <v>1182</v>
      </c>
    </row>
    <row r="39" ht="15.75" customHeight="1">
      <c r="A39" s="1">
        <v>38.0</v>
      </c>
      <c r="B39" s="1" t="s">
        <v>1241</v>
      </c>
    </row>
    <row r="40" ht="15.75" customHeight="1">
      <c r="A40" s="1">
        <v>39.0</v>
      </c>
      <c r="B40" s="1" t="s">
        <v>1528</v>
      </c>
    </row>
    <row r="41" ht="15.75" customHeight="1">
      <c r="A41" s="1">
        <v>40.0</v>
      </c>
      <c r="B41" s="1" t="s">
        <v>1529</v>
      </c>
    </row>
    <row r="42" ht="15.75" customHeight="1">
      <c r="A42" s="1">
        <v>41.0</v>
      </c>
      <c r="B42" s="1" t="s">
        <v>1530</v>
      </c>
    </row>
    <row r="43" ht="15.75" customHeight="1">
      <c r="A43" s="1">
        <v>42.0</v>
      </c>
      <c r="B43" s="1" t="s">
        <v>1531</v>
      </c>
    </row>
    <row r="44" ht="15.75" customHeight="1">
      <c r="A44" s="1">
        <v>43.0</v>
      </c>
      <c r="B44" s="1" t="s">
        <v>1532</v>
      </c>
    </row>
    <row r="45" ht="15.75" customHeight="1">
      <c r="A45" s="1">
        <v>44.0</v>
      </c>
      <c r="B45" s="1" t="s">
        <v>1533</v>
      </c>
    </row>
    <row r="46" ht="15.75" customHeight="1">
      <c r="A46" s="1">
        <v>45.0</v>
      </c>
      <c r="B46" s="1" t="s">
        <v>1534</v>
      </c>
    </row>
    <row r="47" ht="15.75" customHeight="1">
      <c r="A47" s="1">
        <v>46.0</v>
      </c>
      <c r="B47" s="1" t="s">
        <v>1535</v>
      </c>
    </row>
    <row r="48" ht="15.75" customHeight="1">
      <c r="A48" s="1">
        <v>47.0</v>
      </c>
      <c r="B48" s="1" t="s">
        <v>1263</v>
      </c>
    </row>
    <row r="49" ht="15.75" customHeight="1">
      <c r="A49" s="1">
        <v>48.0</v>
      </c>
      <c r="B49" s="1" t="s">
        <v>1271</v>
      </c>
    </row>
    <row r="50" ht="15.75" customHeight="1">
      <c r="A50" s="1">
        <v>49.0</v>
      </c>
      <c r="B50" s="1" t="s">
        <v>1272</v>
      </c>
    </row>
    <row r="51" ht="15.75" customHeight="1">
      <c r="A51" s="1">
        <v>50.0</v>
      </c>
      <c r="B51" s="1" t="s">
        <v>1536</v>
      </c>
    </row>
    <row r="52" ht="15.75" customHeight="1">
      <c r="A52" s="1">
        <v>51.0</v>
      </c>
      <c r="B52" s="1" t="s">
        <v>1537</v>
      </c>
    </row>
    <row r="53" ht="15.75" customHeight="1">
      <c r="A53" s="1">
        <v>52.0</v>
      </c>
      <c r="B53" s="1" t="s">
        <v>1538</v>
      </c>
    </row>
    <row r="54" ht="15.75" customHeight="1">
      <c r="A54" s="1">
        <v>53.0</v>
      </c>
      <c r="B54" s="1" t="s">
        <v>1539</v>
      </c>
    </row>
    <row r="55" ht="15.75" customHeight="1">
      <c r="A55" s="1">
        <v>54.0</v>
      </c>
      <c r="B55" s="1" t="s">
        <v>1540</v>
      </c>
    </row>
    <row r="56" ht="15.75" customHeight="1">
      <c r="A56" s="1">
        <v>55.0</v>
      </c>
      <c r="B56" s="1" t="s">
        <v>1541</v>
      </c>
    </row>
    <row r="57" ht="15.75" customHeight="1">
      <c r="A57" s="1">
        <v>56.0</v>
      </c>
      <c r="B57" s="1" t="s">
        <v>1542</v>
      </c>
    </row>
    <row r="58" ht="15.75" customHeight="1">
      <c r="A58" s="1">
        <v>57.0</v>
      </c>
      <c r="B58" s="1" t="s">
        <v>1543</v>
      </c>
    </row>
    <row r="59" ht="15.75" customHeight="1">
      <c r="A59" s="1">
        <v>58.0</v>
      </c>
      <c r="B59" s="1" t="s">
        <v>1083</v>
      </c>
    </row>
    <row r="60" ht="15.75" customHeight="1">
      <c r="A60" s="1">
        <v>59.0</v>
      </c>
      <c r="B60" s="1" t="s">
        <v>1353</v>
      </c>
    </row>
    <row r="61" ht="15.75" customHeight="1">
      <c r="A61" s="1">
        <v>60.0</v>
      </c>
      <c r="B61" s="1" t="s">
        <v>1354</v>
      </c>
    </row>
    <row r="62" ht="15.75" customHeight="1">
      <c r="A62" s="1">
        <v>61.0</v>
      </c>
      <c r="B62" s="1" t="s">
        <v>1355</v>
      </c>
    </row>
    <row r="63" ht="15.75" customHeight="1">
      <c r="A63" s="1">
        <v>62.0</v>
      </c>
      <c r="B63" s="1" t="s">
        <v>1356</v>
      </c>
    </row>
    <row r="64" ht="15.75" customHeight="1">
      <c r="A64" s="1">
        <v>63.0</v>
      </c>
      <c r="B64" s="1" t="s">
        <v>1357</v>
      </c>
    </row>
    <row r="65" ht="15.75" customHeight="1">
      <c r="A65" s="1">
        <v>64.0</v>
      </c>
      <c r="B65" s="1" t="s">
        <v>1544</v>
      </c>
    </row>
    <row r="66" ht="15.75" customHeight="1">
      <c r="A66" s="1">
        <v>65.0</v>
      </c>
      <c r="B66" s="1" t="s">
        <v>1545</v>
      </c>
    </row>
    <row r="67" ht="15.75" customHeight="1">
      <c r="A67" s="1">
        <v>66.0</v>
      </c>
      <c r="B67" s="1" t="s">
        <v>1546</v>
      </c>
    </row>
    <row r="68" ht="15.75" customHeight="1">
      <c r="A68" s="1">
        <v>67.0</v>
      </c>
      <c r="B68" s="1" t="s">
        <v>1547</v>
      </c>
    </row>
    <row r="69" ht="15.75" customHeight="1">
      <c r="A69" s="1">
        <v>68.0</v>
      </c>
      <c r="B69" s="1" t="s">
        <v>1548</v>
      </c>
    </row>
    <row r="70" ht="15.75" customHeight="1">
      <c r="A70" s="1">
        <v>69.0</v>
      </c>
      <c r="B70" s="1" t="s">
        <v>1549</v>
      </c>
    </row>
    <row r="71" ht="15.75" customHeight="1">
      <c r="A71" s="1">
        <v>70.0</v>
      </c>
      <c r="B71" s="1" t="s">
        <v>1397</v>
      </c>
    </row>
    <row r="72" ht="15.75" customHeight="1">
      <c r="A72" s="1">
        <v>71.0</v>
      </c>
      <c r="B72" s="1" t="s">
        <v>1398</v>
      </c>
    </row>
    <row r="73" ht="15.75" customHeight="1">
      <c r="A73" s="1">
        <v>72.0</v>
      </c>
      <c r="B73" s="1" t="s">
        <v>1399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1550</v>
      </c>
      <c r="B1" s="1" t="s">
        <v>1551</v>
      </c>
      <c r="D1" s="1" t="s">
        <v>1552</v>
      </c>
      <c r="E1" s="1" t="s">
        <v>1553</v>
      </c>
    </row>
    <row r="2">
      <c r="A2" s="1">
        <v>1.0</v>
      </c>
      <c r="B2" s="1">
        <v>340.0</v>
      </c>
      <c r="D2" s="1" t="str">
        <f>LOOKUP(A2, Combinations!A:A, Combinations!B:B)</f>
        <v>Cloth</v>
      </c>
      <c r="E2" s="1" t="str">
        <f>LOOKUP(B2, Items!A:A, Items!C:C)</f>
        <v>Needle</v>
      </c>
    </row>
    <row r="3">
      <c r="A3" s="1">
        <v>1.0</v>
      </c>
      <c r="B3" s="1">
        <v>348.0</v>
      </c>
      <c r="D3" s="1" t="str">
        <f>LOOKUP(A3, Combinations!A:A, Combinations!B:B)</f>
        <v>Cloth</v>
      </c>
      <c r="E3" s="1" t="str">
        <f>LOOKUP(B3, Items!A:A, Items!C:C)</f>
        <v>Spool of Blue Thread</v>
      </c>
    </row>
    <row r="4">
      <c r="A4" s="1">
        <v>2.0</v>
      </c>
      <c r="B4" s="1">
        <v>340.0</v>
      </c>
      <c r="D4" s="1" t="str">
        <f>LOOKUP(A4, Combinations!A:A, Combinations!B:B)</f>
        <v>Cloth</v>
      </c>
      <c r="E4" s="1" t="str">
        <f>LOOKUP(B4, Items!A:A, Items!C:C)</f>
        <v>Needle</v>
      </c>
    </row>
    <row r="5">
      <c r="A5" s="1">
        <v>2.0</v>
      </c>
      <c r="B5" s="1">
        <v>349.0</v>
      </c>
      <c r="D5" s="1" t="str">
        <f>LOOKUP(A5, Combinations!A:A, Combinations!B:B)</f>
        <v>Cloth</v>
      </c>
      <c r="E5" s="1" t="str">
        <f>LOOKUP(B5, Items!A:A, Items!C:C)</f>
        <v>Spool of Green Thread</v>
      </c>
    </row>
    <row r="6">
      <c r="A6" s="1">
        <v>3.0</v>
      </c>
      <c r="B6" s="1">
        <v>340.0</v>
      </c>
      <c r="D6" s="1" t="str">
        <f>LOOKUP(A6, Combinations!A:A, Combinations!B:B)</f>
        <v>Cloth</v>
      </c>
      <c r="E6" s="1" t="str">
        <f>LOOKUP(B6, Items!A:A, Items!C:C)</f>
        <v>Needle</v>
      </c>
    </row>
    <row r="7">
      <c r="A7" s="1">
        <v>3.0</v>
      </c>
      <c r="B7" s="1">
        <v>350.0</v>
      </c>
      <c r="D7" s="1" t="str">
        <f>LOOKUP(A7, Combinations!A:A, Combinations!B:B)</f>
        <v>Cloth</v>
      </c>
      <c r="E7" s="1" t="str">
        <f>LOOKUP(B7, Items!A:A, Items!C:C)</f>
        <v>Spool of Red Thread</v>
      </c>
    </row>
    <row r="8">
      <c r="A8" s="1">
        <v>4.0</v>
      </c>
      <c r="B8" s="1">
        <v>340.0</v>
      </c>
      <c r="D8" s="1" t="str">
        <f>LOOKUP(A8, Combinations!A:A, Combinations!B:B)</f>
        <v>Cloth</v>
      </c>
      <c r="E8" s="1" t="str">
        <f>LOOKUP(B8, Items!A:A, Items!C:C)</f>
        <v>Needle</v>
      </c>
    </row>
    <row r="9">
      <c r="A9" s="1">
        <v>4.0</v>
      </c>
      <c r="B9" s="1">
        <v>351.0</v>
      </c>
      <c r="D9" s="1" t="str">
        <f>LOOKUP(A9, Combinations!A:A, Combinations!B:B)</f>
        <v>Cloth</v>
      </c>
      <c r="E9" s="1" t="str">
        <f>LOOKUP(B9, Items!A:A, Items!C:C)</f>
        <v>Spool of Black Thread</v>
      </c>
    </row>
    <row r="10">
      <c r="A10" s="1">
        <v>5.0</v>
      </c>
      <c r="B10" s="1">
        <v>340.0</v>
      </c>
      <c r="D10" s="1" t="str">
        <f>LOOKUP(A10, Combinations!A:A, Combinations!B:B)</f>
        <v>Cloth</v>
      </c>
      <c r="E10" s="1" t="str">
        <f>LOOKUP(B10, Items!A:A, Items!C:C)</f>
        <v>Needle</v>
      </c>
    </row>
    <row r="11">
      <c r="A11" s="1">
        <v>5.0</v>
      </c>
      <c r="B11" s="1">
        <v>352.0</v>
      </c>
      <c r="D11" s="1" t="str">
        <f>LOOKUP(A11, Combinations!A:A, Combinations!B:B)</f>
        <v>Cloth</v>
      </c>
      <c r="E11" s="1" t="str">
        <f>LOOKUP(B11, Items!A:A, Items!C:C)</f>
        <v>Spool of Pink Thread</v>
      </c>
    </row>
    <row r="12">
      <c r="A12" s="1">
        <v>6.0</v>
      </c>
      <c r="B12" s="1">
        <v>340.0</v>
      </c>
      <c r="D12" s="1" t="str">
        <f>LOOKUP(A12, Combinations!A:A, Combinations!B:B)</f>
        <v>Cloth</v>
      </c>
      <c r="E12" s="1" t="str">
        <f>LOOKUP(B12, Items!A:A, Items!C:C)</f>
        <v>Needle</v>
      </c>
    </row>
    <row r="13">
      <c r="A13" s="1">
        <v>6.0</v>
      </c>
      <c r="B13" s="1">
        <v>353.0</v>
      </c>
      <c r="D13" s="1" t="str">
        <f>LOOKUP(A13, Combinations!A:A, Combinations!B:B)</f>
        <v>Cloth</v>
      </c>
      <c r="E13" s="1" t="str">
        <f>LOOKUP(B13, Items!A:A, Items!C:C)</f>
        <v>Spool of Purple Thread</v>
      </c>
    </row>
    <row r="14">
      <c r="A14" s="1">
        <v>7.0</v>
      </c>
      <c r="B14" s="1">
        <v>449.0</v>
      </c>
      <c r="D14" s="1" t="str">
        <f>LOOKUP(A14, Combinations!A:A, Combinations!B:B)</f>
        <v>Cloth Shirt</v>
      </c>
      <c r="E14" s="1" t="str">
        <f>LOOKUP(B14, Items!A:A, Items!C:C)</f>
        <v>Cloth</v>
      </c>
    </row>
    <row r="15">
      <c r="A15" s="1">
        <v>7.0</v>
      </c>
      <c r="B15" s="1">
        <v>346.0</v>
      </c>
      <c r="D15" s="1" t="str">
        <f>LOOKUP(A15, Combinations!A:A, Combinations!B:B)</f>
        <v>Cloth Shirt</v>
      </c>
      <c r="E15" s="1" t="str">
        <f>LOOKUP(B15, Items!A:A, Items!C:C)</f>
        <v>Shirt Pattern</v>
      </c>
    </row>
    <row r="16">
      <c r="A16" s="1">
        <v>7.0</v>
      </c>
      <c r="B16" s="1">
        <v>340.0</v>
      </c>
      <c r="D16" s="1" t="str">
        <f>LOOKUP(A16, Combinations!A:A, Combinations!B:B)</f>
        <v>Cloth Shirt</v>
      </c>
      <c r="E16" s="1" t="str">
        <f>LOOKUP(B16, Items!A:A, Items!C:C)</f>
        <v>Needle</v>
      </c>
    </row>
    <row r="17">
      <c r="A17" s="1">
        <v>7.0</v>
      </c>
      <c r="B17" s="1">
        <v>347.0</v>
      </c>
      <c r="D17" s="1" t="str">
        <f>LOOKUP(A17, Combinations!A:A, Combinations!B:B)</f>
        <v>Cloth Shirt</v>
      </c>
      <c r="E17" s="1" t="str">
        <f>LOOKUP(B17, Items!A:A, Items!C:C)</f>
        <v>Spool of Thread</v>
      </c>
    </row>
    <row r="18">
      <c r="A18" s="1">
        <v>8.0</v>
      </c>
      <c r="B18" s="1">
        <v>449.0</v>
      </c>
      <c r="D18" s="1" t="str">
        <f>LOOKUP(A18, Combinations!A:A, Combinations!B:B)</f>
        <v>Practice Katana</v>
      </c>
      <c r="E18" s="1" t="str">
        <f>LOOKUP(B18, Items!A:A, Items!C:C)</f>
        <v>Cloth</v>
      </c>
    </row>
    <row r="19">
      <c r="A19" s="1">
        <v>8.0</v>
      </c>
      <c r="B19" s="1">
        <v>344.0</v>
      </c>
      <c r="D19" s="1" t="str">
        <f>LOOKUP(A19, Combinations!A:A, Combinations!B:B)</f>
        <v>Practice Katana</v>
      </c>
      <c r="E19" s="1" t="str">
        <f>LOOKUP(B19, Items!A:A, Items!C:C)</f>
        <v>Rope</v>
      </c>
    </row>
    <row r="20">
      <c r="A20" s="1">
        <v>8.0</v>
      </c>
      <c r="B20" s="1">
        <v>339.0</v>
      </c>
      <c r="D20" s="1" t="str">
        <f>LOOKUP(A20, Combinations!A:A, Combinations!B:B)</f>
        <v>Practice Katana</v>
      </c>
      <c r="E20" s="1" t="str">
        <f>LOOKUP(B20, Items!A:A, Items!C:C)</f>
        <v>Low Quality Hilt</v>
      </c>
    </row>
    <row r="21" ht="15.75" customHeight="1">
      <c r="A21" s="1">
        <v>8.0</v>
      </c>
      <c r="B21" s="1">
        <v>338.0</v>
      </c>
      <c r="D21" s="1" t="str">
        <f>LOOKUP(A21, Combinations!A:A, Combinations!B:B)</f>
        <v>Practice Katana</v>
      </c>
      <c r="E21" s="1" t="str">
        <f>LOOKUP(B21, Items!A:A, Items!C:C)</f>
        <v>Low Quality Blade</v>
      </c>
    </row>
    <row r="22" ht="15.75" customHeight="1">
      <c r="A22" s="1">
        <v>9.0</v>
      </c>
      <c r="B22" s="1">
        <v>8.0</v>
      </c>
      <c r="D22" s="1" t="str">
        <f>LOOKUP(A22, Combinations!A:A, Combinations!B:B)</f>
        <v>Soft Belt</v>
      </c>
      <c r="E22" s="1" t="str">
        <f>LOOKUP(B22, Items!A:A, Items!C:C)</f>
        <v>Rabbit Pelt</v>
      </c>
    </row>
    <row r="23" ht="15.75" customHeight="1">
      <c r="A23" s="1">
        <v>9.0</v>
      </c>
      <c r="B23" s="1">
        <v>345.0</v>
      </c>
      <c r="D23" s="1" t="str">
        <f>LOOKUP(A23, Combinations!A:A, Combinations!B:B)</f>
        <v>Soft Belt</v>
      </c>
      <c r="E23" s="1" t="str">
        <f>LOOKUP(B23, Items!A:A, Items!C:C)</f>
        <v>Sharp Scissors</v>
      </c>
    </row>
    <row r="24" ht="15.75" customHeight="1">
      <c r="A24" s="1">
        <v>10.0</v>
      </c>
      <c r="B24" s="1">
        <v>350.0</v>
      </c>
      <c r="D24" s="1" t="str">
        <f>LOOKUP(A24, Combinations!A:A, Combinations!B:B)</f>
        <v>Cat Ears</v>
      </c>
      <c r="E24" s="1" t="str">
        <f>LOOKUP(B24, Items!A:A, Items!C:C)</f>
        <v>Spool of Red Thread</v>
      </c>
    </row>
    <row r="25" ht="15.75" customHeight="1">
      <c r="A25" s="1">
        <v>10.0</v>
      </c>
      <c r="B25" s="1">
        <v>355.0</v>
      </c>
      <c r="D25" s="1" t="str">
        <f>LOOKUP(A25, Combinations!A:A, Combinations!B:B)</f>
        <v>Cat Ears</v>
      </c>
      <c r="E25" s="1" t="str">
        <f>LOOKUP(B25, Items!A:A, Items!C:C)</f>
        <v>Cats Hair</v>
      </c>
    </row>
    <row r="26" ht="15.75" customHeight="1">
      <c r="A26" s="1">
        <v>10.0</v>
      </c>
      <c r="B26" s="1">
        <v>340.0</v>
      </c>
      <c r="D26" s="1" t="str">
        <f>LOOKUP(A26, Combinations!A:A, Combinations!B:B)</f>
        <v>Cat Ears</v>
      </c>
      <c r="E26" s="1" t="str">
        <f>LOOKUP(B26, Items!A:A, Items!C:C)</f>
        <v>Needle</v>
      </c>
    </row>
    <row r="27" ht="15.75" customHeight="1">
      <c r="A27" s="1">
        <v>10.0</v>
      </c>
      <c r="B27" s="1">
        <v>455.0</v>
      </c>
      <c r="D27" s="1" t="str">
        <f>LOOKUP(A27, Combinations!A:A, Combinations!B:B)</f>
        <v>Cat Ears</v>
      </c>
      <c r="E27" s="1" t="str">
        <f>LOOKUP(B27, Items!A:A, Items!C:C)</f>
        <v>Leather Padding</v>
      </c>
    </row>
    <row r="28" ht="15.75" customHeight="1">
      <c r="A28" s="1">
        <v>11.0</v>
      </c>
      <c r="B28" s="1">
        <v>351.0</v>
      </c>
      <c r="D28" s="1" t="str">
        <f>LOOKUP(A28, Combinations!A:A, Combinations!B:B)</f>
        <v>Black Cat Ears</v>
      </c>
      <c r="E28" s="1" t="str">
        <f>LOOKUP(B28, Items!A:A, Items!C:C)</f>
        <v>Spool of Black Thread</v>
      </c>
    </row>
    <row r="29" ht="15.75" customHeight="1">
      <c r="A29" s="1">
        <v>11.0</v>
      </c>
      <c r="B29" s="1">
        <v>355.0</v>
      </c>
      <c r="D29" s="1" t="str">
        <f>LOOKUP(A29, Combinations!A:A, Combinations!B:B)</f>
        <v>Black Cat Ears</v>
      </c>
      <c r="E29" s="1" t="str">
        <f>LOOKUP(B29, Items!A:A, Items!C:C)</f>
        <v>Cats Hair</v>
      </c>
    </row>
    <row r="30" ht="15.75" customHeight="1">
      <c r="A30" s="1">
        <v>11.0</v>
      </c>
      <c r="B30" s="1">
        <v>340.0</v>
      </c>
      <c r="D30" s="1" t="str">
        <f>LOOKUP(A30, Combinations!A:A, Combinations!B:B)</f>
        <v>Black Cat Ears</v>
      </c>
      <c r="E30" s="1" t="str">
        <f>LOOKUP(B30, Items!A:A, Items!C:C)</f>
        <v>Needle</v>
      </c>
    </row>
    <row r="31" ht="15.75" customHeight="1">
      <c r="A31" s="1">
        <v>11.0</v>
      </c>
      <c r="B31" s="1">
        <v>455.0</v>
      </c>
      <c r="D31" s="1" t="str">
        <f>LOOKUP(A31, Combinations!A:A, Combinations!B:B)</f>
        <v>Black Cat Ears</v>
      </c>
      <c r="E31" s="1" t="str">
        <f>LOOKUP(B31, Items!A:A, Items!C:C)</f>
        <v>Leather Padding</v>
      </c>
    </row>
    <row r="32" ht="15.75" customHeight="1">
      <c r="A32" s="1">
        <v>12.0</v>
      </c>
      <c r="B32" s="1">
        <v>330.0</v>
      </c>
      <c r="D32" s="1" t="str">
        <f>LOOKUP(A32, Combinations!A:A, Combinations!B:B)</f>
        <v>Bonfire</v>
      </c>
      <c r="E32" s="1" t="str">
        <f>LOOKUP(B32, Items!A:A, Items!C:C)</f>
        <v>Flint</v>
      </c>
    </row>
    <row r="33" ht="15.75" customHeight="1">
      <c r="A33" s="1">
        <v>12.0</v>
      </c>
      <c r="B33" s="1">
        <v>3.0</v>
      </c>
      <c r="D33" s="1" t="str">
        <f>LOOKUP(A33, Combinations!A:A, Combinations!B:B)</f>
        <v>Bonfire</v>
      </c>
      <c r="E33" s="1" t="str">
        <f>LOOKUP(B33, Items!A:A, Items!C:C)</f>
        <v>Stick</v>
      </c>
    </row>
    <row r="34" ht="15.75" customHeight="1">
      <c r="A34" s="1">
        <v>13.0</v>
      </c>
      <c r="B34" s="1">
        <v>338.0</v>
      </c>
      <c r="D34" s="1" t="str">
        <f>LOOKUP(A34, Combinations!A:A, Combinations!B:B)</f>
        <v>Low Quality Walde</v>
      </c>
      <c r="E34" s="1" t="str">
        <f>LOOKUP(B34, Items!A:A, Items!C:C)</f>
        <v>Low Quality Blade</v>
      </c>
    </row>
    <row r="35" ht="15.75" customHeight="1">
      <c r="A35" s="1">
        <v>13.0</v>
      </c>
      <c r="B35" s="1">
        <v>339.0</v>
      </c>
      <c r="D35" s="1" t="str">
        <f>LOOKUP(A35, Combinations!A:A, Combinations!B:B)</f>
        <v>Low Quality Walde</v>
      </c>
      <c r="E35" s="1" t="str">
        <f>LOOKUP(B35, Items!A:A, Items!C:C)</f>
        <v>Low Quality Hilt</v>
      </c>
    </row>
    <row r="36" ht="15.75" customHeight="1">
      <c r="A36" s="1">
        <v>13.0</v>
      </c>
      <c r="B36" s="1">
        <v>342.0</v>
      </c>
      <c r="D36" s="1" t="str">
        <f>LOOKUP(A36, Combinations!A:A, Combinations!B:B)</f>
        <v>Low Quality Walde</v>
      </c>
      <c r="E36" s="1" t="str">
        <f>LOOKUP(B36, Items!A:A, Items!C:C)</f>
        <v>Liquid Ore</v>
      </c>
    </row>
    <row r="37" ht="15.75" customHeight="1">
      <c r="A37" s="1">
        <v>13.0</v>
      </c>
      <c r="B37" s="1">
        <v>332.0</v>
      </c>
      <c r="D37" s="1" t="str">
        <f>LOOKUP(A37, Combinations!A:A, Combinations!B:B)</f>
        <v>Low Quality Walde</v>
      </c>
      <c r="E37" s="1" t="str">
        <f>LOOKUP(B37, Items!A:A, Items!C:C)</f>
        <v>Chisel</v>
      </c>
    </row>
    <row r="38" ht="15.75" customHeight="1">
      <c r="A38" s="1">
        <v>14.0</v>
      </c>
      <c r="B38" s="1">
        <v>336.0</v>
      </c>
      <c r="D38" s="1" t="str">
        <f>LOOKUP(A38, Combinations!A:A, Combinations!B:B)</f>
        <v>Medium Quality Walde</v>
      </c>
      <c r="E38" s="1" t="str">
        <f>LOOKUP(B38, Items!A:A, Items!C:C)</f>
        <v>Medium Quality Blade</v>
      </c>
    </row>
    <row r="39" ht="15.75" customHeight="1">
      <c r="A39" s="1">
        <v>14.0</v>
      </c>
      <c r="B39" s="1">
        <v>337.0</v>
      </c>
      <c r="D39" s="1" t="str">
        <f>LOOKUP(A39, Combinations!A:A, Combinations!B:B)</f>
        <v>Medium Quality Walde</v>
      </c>
      <c r="E39" s="1" t="str">
        <f>LOOKUP(B39, Items!A:A, Items!C:C)</f>
        <v>Medium Quality Hilt</v>
      </c>
    </row>
    <row r="40" ht="15.75" customHeight="1">
      <c r="A40" s="1">
        <v>14.0</v>
      </c>
      <c r="B40" s="1">
        <v>342.0</v>
      </c>
      <c r="D40" s="1" t="str">
        <f>LOOKUP(A40, Combinations!A:A, Combinations!B:B)</f>
        <v>Medium Quality Walde</v>
      </c>
      <c r="E40" s="1" t="str">
        <f>LOOKUP(B40, Items!A:A, Items!C:C)</f>
        <v>Liquid Ore</v>
      </c>
    </row>
    <row r="41" ht="15.75" customHeight="1">
      <c r="A41" s="1">
        <v>14.0</v>
      </c>
      <c r="B41" s="1">
        <v>332.0</v>
      </c>
      <c r="D41" s="1" t="str">
        <f>LOOKUP(A41, Combinations!A:A, Combinations!B:B)</f>
        <v>Medium Quality Walde</v>
      </c>
      <c r="E41" s="1" t="str">
        <f>LOOKUP(B41, Items!A:A, Items!C:C)</f>
        <v>Chisel</v>
      </c>
    </row>
    <row r="42" ht="15.75" customHeight="1">
      <c r="A42" s="1">
        <v>15.0</v>
      </c>
      <c r="B42" s="1">
        <v>334.0</v>
      </c>
      <c r="D42" s="1" t="str">
        <f>LOOKUP(A42, Combinations!A:A, Combinations!B:B)</f>
        <v>High Quality Walde</v>
      </c>
      <c r="E42" s="1" t="str">
        <f>LOOKUP(B42, Items!A:A, Items!C:C)</f>
        <v>High Quality Blade</v>
      </c>
    </row>
    <row r="43" ht="15.75" customHeight="1">
      <c r="A43" s="1">
        <v>15.0</v>
      </c>
      <c r="B43" s="1">
        <v>335.0</v>
      </c>
      <c r="D43" s="1" t="str">
        <f>LOOKUP(A43, Combinations!A:A, Combinations!B:B)</f>
        <v>High Quality Walde</v>
      </c>
      <c r="E43" s="1" t="str">
        <f>LOOKUP(B43, Items!A:A, Items!C:C)</f>
        <v>High Quality Hilt</v>
      </c>
    </row>
    <row r="44" ht="15.75" customHeight="1">
      <c r="A44" s="1">
        <v>15.0</v>
      </c>
      <c r="B44" s="1">
        <v>342.0</v>
      </c>
      <c r="D44" s="1" t="str">
        <f>LOOKUP(A44, Combinations!A:A, Combinations!B:B)</f>
        <v>High Quality Walde</v>
      </c>
      <c r="E44" s="1" t="str">
        <f>LOOKUP(B44, Items!A:A, Items!C:C)</f>
        <v>Liquid Ore</v>
      </c>
    </row>
    <row r="45" ht="15.75" customHeight="1">
      <c r="A45" s="1">
        <v>15.0</v>
      </c>
      <c r="B45" s="1">
        <v>332.0</v>
      </c>
      <c r="D45" s="1" t="str">
        <f>LOOKUP(A45, Combinations!A:A, Combinations!B:B)</f>
        <v>High Quality Walde</v>
      </c>
      <c r="E45" s="1" t="str">
        <f>LOOKUP(B45, Items!A:A, Items!C:C)</f>
        <v>Chisel</v>
      </c>
    </row>
    <row r="46" ht="15.75" customHeight="1">
      <c r="A46" s="1">
        <v>16.0</v>
      </c>
      <c r="B46" s="1">
        <v>333.0</v>
      </c>
      <c r="D46" s="1" t="str">
        <f>LOOKUP(A46, Combinations!A:A, Combinations!B:B)</f>
        <v>Scroll: Bat Illusion</v>
      </c>
      <c r="E46" s="1" t="str">
        <f>LOOKUP(B46, Items!A:A, Items!C:C)</f>
        <v>Garlic</v>
      </c>
    </row>
    <row r="47" ht="15.75" customHeight="1">
      <c r="A47" s="1">
        <v>16.0</v>
      </c>
      <c r="B47" s="1">
        <v>328.0</v>
      </c>
      <c r="D47" s="1" t="str">
        <f>LOOKUP(A47, Combinations!A:A, Combinations!B:B)</f>
        <v>Scroll: Bat Illusion</v>
      </c>
      <c r="E47" s="1" t="str">
        <f>LOOKUP(B47, Items!A:A, Items!C:C)</f>
        <v>Blank Scroll</v>
      </c>
    </row>
    <row r="48" ht="15.75" customHeight="1">
      <c r="A48" s="1">
        <v>16.0</v>
      </c>
      <c r="B48" s="1">
        <v>341.0</v>
      </c>
      <c r="D48" s="1" t="str">
        <f>LOOKUP(A48, Combinations!A:A, Combinations!B:B)</f>
        <v>Scroll: Bat Illusion</v>
      </c>
      <c r="E48" s="1" t="str">
        <f>LOOKUP(B48, Items!A:A, Items!C:C)</f>
        <v>Ink</v>
      </c>
    </row>
    <row r="49" ht="15.75" customHeight="1">
      <c r="A49" s="1">
        <v>17.0</v>
      </c>
      <c r="B49" s="1">
        <v>445.0</v>
      </c>
      <c r="D49" s="1" t="str">
        <f>LOOKUP(A49, Combinations!A:A, Combinations!B:B)</f>
        <v>Crude Gold Ring</v>
      </c>
      <c r="E49" s="1" t="str">
        <f>LOOKUP(B49, Items!A:A, Items!C:C)</f>
        <v>Soft Gold Ore</v>
      </c>
    </row>
    <row r="50" ht="15.75" customHeight="1">
      <c r="A50" s="1">
        <v>17.0</v>
      </c>
      <c r="B50" s="1">
        <v>331.0</v>
      </c>
      <c r="D50" s="1" t="str">
        <f>LOOKUP(A50, Combinations!A:A, Combinations!B:B)</f>
        <v>Crude Gold Ring</v>
      </c>
      <c r="E50" s="1" t="str">
        <f>LOOKUP(B50, Items!A:A, Items!C:C)</f>
        <v>Bonfire</v>
      </c>
    </row>
    <row r="51" ht="15.75" customHeight="1">
      <c r="A51" s="1">
        <v>18.0</v>
      </c>
      <c r="B51" s="1">
        <v>358.0</v>
      </c>
      <c r="D51" s="1" t="str">
        <f>LOOKUP(A51, Combinations!A:A, Combinations!B:B)</f>
        <v>Crude Pearl Ring</v>
      </c>
      <c r="E51" s="1" t="str">
        <f>LOOKUP(B51, Items!A:A, Items!C:C)</f>
        <v>Crude Gold Ring</v>
      </c>
    </row>
    <row r="52" ht="15.75" customHeight="1">
      <c r="A52" s="1">
        <v>18.0</v>
      </c>
      <c r="B52" s="1">
        <v>343.0</v>
      </c>
      <c r="D52" s="1" t="str">
        <f>LOOKUP(A52, Combinations!A:A, Combinations!B:B)</f>
        <v>Crude Pearl Ring</v>
      </c>
      <c r="E52" s="1" t="str">
        <f>LOOKUP(B52, Items!A:A, Items!C:C)</f>
        <v>Pearl</v>
      </c>
    </row>
    <row r="53" ht="15.75" customHeight="1">
      <c r="A53" s="1">
        <v>19.0</v>
      </c>
      <c r="B53" s="1">
        <v>358.0</v>
      </c>
      <c r="D53" s="1" t="str">
        <f>LOOKUP(A53, Combinations!A:A, Combinations!B:B)</f>
        <v>Crude Ruby Ring</v>
      </c>
      <c r="E53" s="1" t="str">
        <f>LOOKUP(B53, Items!A:A, Items!C:C)</f>
        <v>Crude Gold Ring</v>
      </c>
    </row>
    <row r="54" ht="15.75" customHeight="1">
      <c r="A54" s="1">
        <v>19.0</v>
      </c>
      <c r="B54" s="1">
        <v>60.0</v>
      </c>
      <c r="D54" s="1" t="str">
        <f>LOOKUP(A54, Combinations!A:A, Combinations!B:B)</f>
        <v>Crude Ruby Ring</v>
      </c>
      <c r="E54" s="1" t="str">
        <f>LOOKUP(B54, Items!A:A, Items!C:C)</f>
        <v>Ruby</v>
      </c>
    </row>
    <row r="55" ht="15.75" customHeight="1">
      <c r="A55" s="1">
        <v>20.0</v>
      </c>
      <c r="B55" s="1">
        <v>451.0</v>
      </c>
      <c r="D55" s="1" t="str">
        <f>LOOKUP(A55, Combinations!A:A, Combinations!B:B)</f>
        <v>Fighting Katana</v>
      </c>
      <c r="E55" s="1" t="str">
        <f>LOOKUP(B55, Items!A:A, Items!C:C)</f>
        <v>Practice Katana</v>
      </c>
    </row>
    <row r="56" ht="15.75" customHeight="1">
      <c r="A56" s="1">
        <v>20.0</v>
      </c>
      <c r="B56" s="1">
        <v>354.0</v>
      </c>
      <c r="D56" s="1" t="str">
        <f>LOOKUP(A56, Combinations!A:A, Combinations!B:B)</f>
        <v>Fighting Katana</v>
      </c>
      <c r="E56" s="1" t="str">
        <f>LOOKUP(B56, Items!A:A, Items!C:C)</f>
        <v>Unrefined Ore</v>
      </c>
    </row>
    <row r="57" ht="15.75" customHeight="1">
      <c r="A57" s="1">
        <v>20.0</v>
      </c>
      <c r="B57" s="1">
        <v>332.0</v>
      </c>
      <c r="D57" s="1" t="str">
        <f>LOOKUP(A57, Combinations!A:A, Combinations!B:B)</f>
        <v>Fighting Katana</v>
      </c>
      <c r="E57" s="1" t="str">
        <f>LOOKUP(B57, Items!A:A, Items!C:C)</f>
        <v>Chisel</v>
      </c>
    </row>
    <row r="58" ht="15.75" customHeight="1">
      <c r="A58" s="1">
        <v>20.0</v>
      </c>
      <c r="B58" s="1">
        <v>58.0</v>
      </c>
      <c r="D58" s="1" t="str">
        <f>LOOKUP(A58, Combinations!A:A, Combinations!B:B)</f>
        <v>Fighting Katana</v>
      </c>
      <c r="E58" s="1" t="str">
        <f>LOOKUP(B58, Items!A:A, Items!C:C)</f>
        <v>Gem of Power</v>
      </c>
    </row>
    <row r="59" ht="15.75" customHeight="1">
      <c r="A59" s="1">
        <v>21.0</v>
      </c>
      <c r="B59" s="1">
        <v>267.0</v>
      </c>
      <c r="D59" s="1" t="str">
        <f>LOOKUP(A59, Combinations!A:A, Combinations!B:B)</f>
        <v>Coral Sword</v>
      </c>
      <c r="E59" s="1" t="str">
        <f>LOOKUP(B59, Items!A:A, Items!C:C)</f>
        <v>Unadorned Coral</v>
      </c>
    </row>
    <row r="60" ht="15.75" customHeight="1">
      <c r="A60" s="1">
        <v>21.0</v>
      </c>
      <c r="B60" s="1">
        <v>335.0</v>
      </c>
      <c r="D60" s="1" t="str">
        <f>LOOKUP(A60, Combinations!A:A, Combinations!B:B)</f>
        <v>Coral Sword</v>
      </c>
      <c r="E60" s="1" t="str">
        <f>LOOKUP(B60, Items!A:A, Items!C:C)</f>
        <v>High Quality Hilt</v>
      </c>
    </row>
    <row r="61" ht="15.75" customHeight="1">
      <c r="A61" s="1">
        <v>21.0</v>
      </c>
      <c r="B61" s="1">
        <v>332.0</v>
      </c>
      <c r="D61" s="1" t="str">
        <f>LOOKUP(A61, Combinations!A:A, Combinations!B:B)</f>
        <v>Coral Sword</v>
      </c>
      <c r="E61" s="1" t="str">
        <f>LOOKUP(B61, Items!A:A, Items!C:C)</f>
        <v>Chisel</v>
      </c>
    </row>
    <row r="62" ht="15.75" customHeight="1">
      <c r="A62" s="1">
        <v>21.0</v>
      </c>
      <c r="B62" s="1">
        <v>342.0</v>
      </c>
      <c r="D62" s="1" t="str">
        <f>LOOKUP(A62, Combinations!A:A, Combinations!B:B)</f>
        <v>Coral Sword</v>
      </c>
      <c r="E62" s="1" t="str">
        <f>LOOKUP(B62, Items!A:A, Items!C:C)</f>
        <v>Liquid Ore</v>
      </c>
    </row>
    <row r="63" ht="15.75" customHeight="1">
      <c r="A63" s="1">
        <v>21.0</v>
      </c>
      <c r="B63" s="1">
        <v>334.0</v>
      </c>
      <c r="D63" s="1" t="str">
        <f>LOOKUP(A63, Combinations!A:A, Combinations!B:B)</f>
        <v>Coral Sword</v>
      </c>
      <c r="E63" s="1" t="str">
        <f>LOOKUP(B63, Items!A:A, Items!C:C)</f>
        <v>High Quality Blade</v>
      </c>
    </row>
    <row r="64" ht="15.75" customHeight="1">
      <c r="A64" s="1">
        <v>21.0</v>
      </c>
      <c r="B64" s="1">
        <v>58.0</v>
      </c>
      <c r="D64" s="1" t="str">
        <f>LOOKUP(A64, Combinations!A:A, Combinations!B:B)</f>
        <v>Coral Sword</v>
      </c>
      <c r="E64" s="1" t="str">
        <f>LOOKUP(B64, Items!A:A, Items!C:C)</f>
        <v>Gem of Power</v>
      </c>
    </row>
    <row r="65" ht="15.75" customHeight="1">
      <c r="A65" s="1">
        <v>22.0</v>
      </c>
      <c r="B65" s="1">
        <v>331.0</v>
      </c>
      <c r="D65" s="1" t="str">
        <f>LOOKUP(A65, Combinations!A:A, Combinations!B:B)</f>
        <v>Harvest Medallion</v>
      </c>
      <c r="E65" s="1" t="str">
        <f>LOOKUP(B65, Items!A:A, Items!C:C)</f>
        <v>Bonfire</v>
      </c>
    </row>
    <row r="66" ht="15.75" customHeight="1">
      <c r="A66" s="1">
        <v>22.0</v>
      </c>
      <c r="B66" s="1">
        <v>445.0</v>
      </c>
      <c r="D66" s="1" t="str">
        <f>LOOKUP(A66, Combinations!A:A, Combinations!B:B)</f>
        <v>Harvest Medallion</v>
      </c>
      <c r="E66" s="1" t="str">
        <f>LOOKUP(B66, Items!A:A, Items!C:C)</f>
        <v>Soft Gold Ore</v>
      </c>
    </row>
    <row r="67" ht="15.75" customHeight="1">
      <c r="A67" s="1">
        <v>22.0</v>
      </c>
      <c r="B67" s="1">
        <v>457.0</v>
      </c>
      <c r="D67" s="1" t="str">
        <f>LOOKUP(A67, Combinations!A:A, Combinations!B:B)</f>
        <v>Harvest Medallion</v>
      </c>
      <c r="E67" s="1" t="str">
        <f>LOOKUP(B67, Items!A:A, Items!C:C)</f>
        <v>Red Rope</v>
      </c>
    </row>
    <row r="68" ht="15.75" customHeight="1">
      <c r="A68" s="1">
        <v>22.0</v>
      </c>
      <c r="B68" s="1">
        <v>444.0</v>
      </c>
      <c r="D68" s="1" t="str">
        <f>LOOKUP(A68, Combinations!A:A, Combinations!B:B)</f>
        <v>Harvest Medallion</v>
      </c>
      <c r="E68" s="1" t="str">
        <f>LOOKUP(B68, Items!A:A, Items!C:C)</f>
        <v>Sketch</v>
      </c>
    </row>
    <row r="69" ht="15.75" customHeight="1">
      <c r="A69" s="1">
        <v>22.0</v>
      </c>
      <c r="B69" s="1">
        <v>332.0</v>
      </c>
      <c r="D69" s="1" t="str">
        <f>LOOKUP(A69, Combinations!A:A, Combinations!B:B)</f>
        <v>Harvest Medallion</v>
      </c>
      <c r="E69" s="1" t="str">
        <f>LOOKUP(B69, Items!A:A, Items!C:C)</f>
        <v>Chisel</v>
      </c>
    </row>
    <row r="70" ht="15.75" customHeight="1">
      <c r="A70" s="1">
        <v>23.0</v>
      </c>
      <c r="B70" s="1">
        <v>263.0</v>
      </c>
      <c r="D70" s="1" t="str">
        <f>LOOKUP(A70, Combinations!A:A, Combinations!B:B)</f>
        <v>Scroll: Smokebomb</v>
      </c>
      <c r="E70" s="1" t="str">
        <f>LOOKUP(B70, Items!A:A, Items!C:C)</f>
        <v>Lesser Essence of Water</v>
      </c>
    </row>
    <row r="71" ht="15.75" customHeight="1">
      <c r="A71" s="1">
        <v>23.0</v>
      </c>
      <c r="B71" s="1">
        <v>328.0</v>
      </c>
      <c r="D71" s="1" t="str">
        <f>LOOKUP(A71, Combinations!A:A, Combinations!B:B)</f>
        <v>Scroll: Smokebomb</v>
      </c>
      <c r="E71" s="1" t="str">
        <f>LOOKUP(B71, Items!A:A, Items!C:C)</f>
        <v>Blank Scroll</v>
      </c>
    </row>
    <row r="72" ht="15.75" customHeight="1">
      <c r="A72" s="1">
        <v>23.0</v>
      </c>
      <c r="B72" s="1">
        <v>341.0</v>
      </c>
      <c r="D72" s="1" t="str">
        <f>LOOKUP(A72, Combinations!A:A, Combinations!B:B)</f>
        <v>Scroll: Smokebomb</v>
      </c>
      <c r="E72" s="1" t="str">
        <f>LOOKUP(B72, Items!A:A, Items!C:C)</f>
        <v>Ink</v>
      </c>
    </row>
    <row r="73" ht="15.75" customHeight="1">
      <c r="A73" s="1">
        <v>23.0</v>
      </c>
      <c r="B73" s="1">
        <v>58.0</v>
      </c>
      <c r="D73" s="1" t="str">
        <f>LOOKUP(A73, Combinations!A:A, Combinations!B:B)</f>
        <v>Scroll: Smokebomb</v>
      </c>
      <c r="E73" s="1" t="str">
        <f>LOOKUP(B73, Items!A:A, Items!C:C)</f>
        <v>Gem of Power</v>
      </c>
    </row>
    <row r="74" ht="15.75" customHeight="1">
      <c r="A74" s="1">
        <v>24.0</v>
      </c>
      <c r="B74" s="1">
        <v>264.0</v>
      </c>
      <c r="D74" s="1" t="str">
        <f>LOOKUP(A74, Combinations!A:A, Combinations!B:B)</f>
        <v>Scroll: Warrior Root</v>
      </c>
      <c r="E74" s="1" t="str">
        <f>LOOKUP(B74, Items!A:A, Items!C:C)</f>
        <v>Lesser Essence of Fire</v>
      </c>
    </row>
    <row r="75" ht="15.75" customHeight="1">
      <c r="A75" s="1">
        <v>24.0</v>
      </c>
      <c r="B75" s="1">
        <v>328.0</v>
      </c>
      <c r="D75" s="1" t="str">
        <f>LOOKUP(A75, Combinations!A:A, Combinations!B:B)</f>
        <v>Scroll: Warrior Root</v>
      </c>
      <c r="E75" s="1" t="str">
        <f>LOOKUP(B75, Items!A:A, Items!C:C)</f>
        <v>Blank Scroll</v>
      </c>
    </row>
    <row r="76" ht="15.75" customHeight="1">
      <c r="A76" s="1">
        <v>24.0</v>
      </c>
      <c r="B76" s="1">
        <v>341.0</v>
      </c>
      <c r="D76" s="1" t="str">
        <f>LOOKUP(A76, Combinations!A:A, Combinations!B:B)</f>
        <v>Scroll: Warrior Root</v>
      </c>
      <c r="E76" s="1" t="str">
        <f>LOOKUP(B76, Items!A:A, Items!C:C)</f>
        <v>Ink</v>
      </c>
    </row>
    <row r="77" ht="15.75" customHeight="1">
      <c r="A77" s="1">
        <v>24.0</v>
      </c>
      <c r="B77" s="1">
        <v>58.0</v>
      </c>
      <c r="D77" s="1" t="str">
        <f>LOOKUP(A77, Combinations!A:A, Combinations!B:B)</f>
        <v>Scroll: Warrior Root</v>
      </c>
      <c r="E77" s="1" t="str">
        <f>LOOKUP(B77, Items!A:A, Items!C:C)</f>
        <v>Gem of Power</v>
      </c>
    </row>
    <row r="78" ht="15.75" customHeight="1">
      <c r="A78" s="1">
        <v>25.0</v>
      </c>
      <c r="B78" s="1">
        <v>262.0</v>
      </c>
      <c r="D78" s="1" t="str">
        <f>LOOKUP(A78, Combinations!A:A, Combinations!B:B)</f>
        <v>Scroll: Covenant</v>
      </c>
      <c r="E78" s="1" t="str">
        <f>LOOKUP(B78, Items!A:A, Items!C:C)</f>
        <v>Lesser Essence of Earth</v>
      </c>
    </row>
    <row r="79" ht="15.75" customHeight="1">
      <c r="A79" s="1">
        <v>25.0</v>
      </c>
      <c r="B79" s="1">
        <v>328.0</v>
      </c>
      <c r="D79" s="1" t="str">
        <f>LOOKUP(A79, Combinations!A:A, Combinations!B:B)</f>
        <v>Scroll: Covenant</v>
      </c>
      <c r="E79" s="1" t="str">
        <f>LOOKUP(B79, Items!A:A, Items!C:C)</f>
        <v>Blank Scroll</v>
      </c>
    </row>
    <row r="80" ht="15.75" customHeight="1">
      <c r="A80" s="1">
        <v>25.0</v>
      </c>
      <c r="B80" s="1">
        <v>341.0</v>
      </c>
      <c r="D80" s="1" t="str">
        <f>LOOKUP(A80, Combinations!A:A, Combinations!B:B)</f>
        <v>Scroll: Covenant</v>
      </c>
      <c r="E80" s="1" t="str">
        <f>LOOKUP(B80, Items!A:A, Items!C:C)</f>
        <v>Ink</v>
      </c>
    </row>
    <row r="81" ht="15.75" customHeight="1">
      <c r="A81" s="1">
        <v>25.0</v>
      </c>
      <c r="B81" s="1">
        <v>58.0</v>
      </c>
      <c r="D81" s="1" t="str">
        <f>LOOKUP(A81, Combinations!A:A, Combinations!B:B)</f>
        <v>Scroll: Covenant</v>
      </c>
      <c r="E81" s="1" t="str">
        <f>LOOKUP(B81, Items!A:A, Items!C:C)</f>
        <v>Gem of Power</v>
      </c>
    </row>
    <row r="82" ht="15.75" customHeight="1">
      <c r="A82" s="1">
        <v>26.0</v>
      </c>
      <c r="B82" s="1">
        <v>265.0</v>
      </c>
      <c r="D82" s="1" t="str">
        <f>LOOKUP(A82, Combinations!A:A, Combinations!B:B)</f>
        <v>Scroll: Group Heal</v>
      </c>
      <c r="E82" s="1" t="str">
        <f>LOOKUP(B82, Items!A:A, Items!C:C)</f>
        <v>Lesser Essence of Air</v>
      </c>
    </row>
    <row r="83" ht="15.75" customHeight="1">
      <c r="A83" s="1">
        <v>26.0</v>
      </c>
      <c r="B83" s="1">
        <v>328.0</v>
      </c>
      <c r="D83" s="1" t="str">
        <f>LOOKUP(A83, Combinations!A:A, Combinations!B:B)</f>
        <v>Scroll: Group Heal</v>
      </c>
      <c r="E83" s="1" t="str">
        <f>LOOKUP(B83, Items!A:A, Items!C:C)</f>
        <v>Blank Scroll</v>
      </c>
    </row>
    <row r="84" ht="15.75" customHeight="1">
      <c r="A84" s="1">
        <v>26.0</v>
      </c>
      <c r="B84" s="1">
        <v>341.0</v>
      </c>
      <c r="D84" s="1" t="str">
        <f>LOOKUP(A84, Combinations!A:A, Combinations!B:B)</f>
        <v>Scroll: Group Heal</v>
      </c>
      <c r="E84" s="1" t="str">
        <f>LOOKUP(B84, Items!A:A, Items!C:C)</f>
        <v>Ink</v>
      </c>
    </row>
    <row r="85" ht="15.75" customHeight="1">
      <c r="A85" s="1">
        <v>26.0</v>
      </c>
      <c r="B85" s="1">
        <v>58.0</v>
      </c>
      <c r="D85" s="1" t="str">
        <f>LOOKUP(A85, Combinations!A:A, Combinations!B:B)</f>
        <v>Scroll: Group Heal</v>
      </c>
      <c r="E85" s="1" t="str">
        <f>LOOKUP(B85, Items!A:A, Items!C:C)</f>
        <v>Gem of Power</v>
      </c>
    </row>
    <row r="86" ht="15.75" customHeight="1">
      <c r="A86" s="1">
        <v>27.0</v>
      </c>
      <c r="B86" s="1">
        <v>298.0</v>
      </c>
      <c r="D86" s="1" t="str">
        <f>LOOKUP(A86, Combinations!A:A, Combinations!B:B)</f>
        <v>Scroll: Ancient Damage</v>
      </c>
      <c r="E86" s="1" t="str">
        <f>LOOKUP(B86, Items!A:A, Items!C:C)</f>
        <v>Essence of Water</v>
      </c>
    </row>
    <row r="87" ht="15.75" customHeight="1">
      <c r="A87" s="1">
        <v>27.0</v>
      </c>
      <c r="B87" s="1">
        <v>328.0</v>
      </c>
      <c r="D87" s="1" t="str">
        <f>LOOKUP(A87, Combinations!A:A, Combinations!B:B)</f>
        <v>Scroll: Ancient Damage</v>
      </c>
      <c r="E87" s="1" t="str">
        <f>LOOKUP(B87, Items!A:A, Items!C:C)</f>
        <v>Blank Scroll</v>
      </c>
    </row>
    <row r="88" ht="15.75" customHeight="1">
      <c r="A88" s="1">
        <v>27.0</v>
      </c>
      <c r="B88" s="1">
        <v>341.0</v>
      </c>
      <c r="D88" s="1" t="str">
        <f>LOOKUP(A88, Combinations!A:A, Combinations!B:B)</f>
        <v>Scroll: Ancient Damage</v>
      </c>
      <c r="E88" s="1" t="str">
        <f>LOOKUP(B88, Items!A:A, Items!C:C)</f>
        <v>Ink</v>
      </c>
    </row>
    <row r="89" ht="15.75" customHeight="1">
      <c r="A89" s="1">
        <v>27.0</v>
      </c>
      <c r="B89" s="1">
        <v>58.0</v>
      </c>
      <c r="D89" s="1" t="str">
        <f>LOOKUP(A89, Combinations!A:A, Combinations!B:B)</f>
        <v>Scroll: Ancient Damage</v>
      </c>
      <c r="E89" s="1" t="str">
        <f>LOOKUP(B89, Items!A:A, Items!C:C)</f>
        <v>Gem of Power</v>
      </c>
    </row>
    <row r="90" ht="15.75" customHeight="1">
      <c r="A90" s="1">
        <v>28.0</v>
      </c>
      <c r="B90" s="1">
        <v>299.0</v>
      </c>
      <c r="D90" s="1" t="str">
        <f>LOOKUP(A90, Combinations!A:A, Combinations!B:B)</f>
        <v>Scroll: Ancient Augmentation</v>
      </c>
      <c r="E90" s="1" t="str">
        <f>LOOKUP(B90, Items!A:A, Items!C:C)</f>
        <v>Essence of Fire</v>
      </c>
    </row>
    <row r="91" ht="15.75" customHeight="1">
      <c r="A91" s="1">
        <v>28.0</v>
      </c>
      <c r="B91" s="1">
        <v>328.0</v>
      </c>
      <c r="D91" s="1" t="str">
        <f>LOOKUP(A91, Combinations!A:A, Combinations!B:B)</f>
        <v>Scroll: Ancient Augmentation</v>
      </c>
      <c r="E91" s="1" t="str">
        <f>LOOKUP(B91, Items!A:A, Items!C:C)</f>
        <v>Blank Scroll</v>
      </c>
    </row>
    <row r="92" ht="15.75" customHeight="1">
      <c r="A92" s="1">
        <v>28.0</v>
      </c>
      <c r="B92" s="1">
        <v>341.0</v>
      </c>
      <c r="D92" s="1" t="str">
        <f>LOOKUP(A92, Combinations!A:A, Combinations!B:B)</f>
        <v>Scroll: Ancient Augmentation</v>
      </c>
      <c r="E92" s="1" t="str">
        <f>LOOKUP(B92, Items!A:A, Items!C:C)</f>
        <v>Ink</v>
      </c>
    </row>
    <row r="93" ht="15.75" customHeight="1">
      <c r="A93" s="1">
        <v>28.0</v>
      </c>
      <c r="B93" s="1">
        <v>58.0</v>
      </c>
      <c r="D93" s="1" t="str">
        <f>LOOKUP(A93, Combinations!A:A, Combinations!B:B)</f>
        <v>Scroll: Ancient Augmentation</v>
      </c>
      <c r="E93" s="1" t="str">
        <f>LOOKUP(B93, Items!A:A, Items!C:C)</f>
        <v>Gem of Power</v>
      </c>
    </row>
    <row r="94" ht="15.75" customHeight="1">
      <c r="A94" s="1">
        <v>29.0</v>
      </c>
      <c r="B94" s="1">
        <v>297.0</v>
      </c>
      <c r="D94" s="1" t="str">
        <f>LOOKUP(A94, Combinations!A:A, Combinations!B:B)</f>
        <v>Scroll: Ancient Regeneration</v>
      </c>
      <c r="E94" s="1" t="str">
        <f>LOOKUP(B94, Items!A:A, Items!C:C)</f>
        <v>Essence of Earth</v>
      </c>
    </row>
    <row r="95" ht="15.75" customHeight="1">
      <c r="A95" s="1">
        <v>29.0</v>
      </c>
      <c r="B95" s="1">
        <v>328.0</v>
      </c>
      <c r="D95" s="1" t="str">
        <f>LOOKUP(A95, Combinations!A:A, Combinations!B:B)</f>
        <v>Scroll: Ancient Regeneration</v>
      </c>
      <c r="E95" s="1" t="str">
        <f>LOOKUP(B95, Items!A:A, Items!C:C)</f>
        <v>Blank Scroll</v>
      </c>
    </row>
    <row r="96" ht="15.75" customHeight="1">
      <c r="A96" s="1">
        <v>29.0</v>
      </c>
      <c r="B96" s="1">
        <v>341.0</v>
      </c>
      <c r="D96" s="1" t="str">
        <f>LOOKUP(A96, Combinations!A:A, Combinations!B:B)</f>
        <v>Scroll: Ancient Regeneration</v>
      </c>
      <c r="E96" s="1" t="str">
        <f>LOOKUP(B96, Items!A:A, Items!C:C)</f>
        <v>Ink</v>
      </c>
    </row>
    <row r="97" ht="15.75" customHeight="1">
      <c r="A97" s="1">
        <v>29.0</v>
      </c>
      <c r="B97" s="1">
        <v>58.0</v>
      </c>
      <c r="D97" s="1" t="str">
        <f>LOOKUP(A97, Combinations!A:A, Combinations!B:B)</f>
        <v>Scroll: Ancient Regeneration</v>
      </c>
      <c r="E97" s="1" t="str">
        <f>LOOKUP(B97, Items!A:A, Items!C:C)</f>
        <v>Gem of Power</v>
      </c>
    </row>
    <row r="98" ht="15.75" customHeight="1">
      <c r="A98" s="1">
        <v>30.0</v>
      </c>
      <c r="B98" s="1">
        <v>300.0</v>
      </c>
      <c r="D98" s="1" t="str">
        <f>LOOKUP(A98, Combinations!A:A, Combinations!B:B)</f>
        <v>Scroll: Ancient Sacrifice</v>
      </c>
      <c r="E98" s="1" t="str">
        <f>LOOKUP(B98, Items!A:A, Items!C:C)</f>
        <v>Essence of Air</v>
      </c>
    </row>
    <row r="99" ht="15.75" customHeight="1">
      <c r="A99" s="1">
        <v>30.0</v>
      </c>
      <c r="B99" s="1">
        <v>328.0</v>
      </c>
      <c r="D99" s="1" t="str">
        <f>LOOKUP(A99, Combinations!A:A, Combinations!B:B)</f>
        <v>Scroll: Ancient Sacrifice</v>
      </c>
      <c r="E99" s="1" t="str">
        <f>LOOKUP(B99, Items!A:A, Items!C:C)</f>
        <v>Blank Scroll</v>
      </c>
    </row>
    <row r="100" ht="15.75" customHeight="1">
      <c r="A100" s="1">
        <v>30.0</v>
      </c>
      <c r="B100" s="1">
        <v>341.0</v>
      </c>
      <c r="D100" s="1" t="str">
        <f>LOOKUP(A100, Combinations!A:A, Combinations!B:B)</f>
        <v>Scroll: Ancient Sacrifice</v>
      </c>
      <c r="E100" s="1" t="str">
        <f>LOOKUP(B100, Items!A:A, Items!C:C)</f>
        <v>Ink</v>
      </c>
    </row>
    <row r="101" ht="15.75" customHeight="1">
      <c r="A101" s="1">
        <v>30.0</v>
      </c>
      <c r="B101" s="1">
        <v>58.0</v>
      </c>
      <c r="D101" s="1" t="str">
        <f>LOOKUP(A101, Combinations!A:A, Combinations!B:B)</f>
        <v>Scroll: Ancient Sacrifice</v>
      </c>
      <c r="E101" s="1" t="str">
        <f>LOOKUP(B101, Items!A:A, Items!C:C)</f>
        <v>Gem of Power</v>
      </c>
    </row>
    <row r="102" ht="15.75" customHeight="1">
      <c r="A102" s="1">
        <v>31.0</v>
      </c>
      <c r="B102" s="1">
        <v>268.0</v>
      </c>
      <c r="D102" s="1" t="str">
        <f>LOOKUP(A102, Combinations!A:A, Combinations!B:B)</f>
        <v>Empty Box</v>
      </c>
      <c r="E102" s="1" t="str">
        <f>LOOKUP(B102, Items!A:A, Items!C:C)</f>
        <v>Present 1</v>
      </c>
    </row>
    <row r="103" ht="15.75" customHeight="1">
      <c r="A103" s="1">
        <v>31.0</v>
      </c>
      <c r="B103" s="1">
        <v>269.0</v>
      </c>
      <c r="D103" s="1" t="str">
        <f>LOOKUP(A103, Combinations!A:A, Combinations!B:B)</f>
        <v>Empty Box</v>
      </c>
      <c r="E103" s="1" t="str">
        <f>LOOKUP(B103, Items!A:A, Items!C:C)</f>
        <v>Present 2</v>
      </c>
    </row>
    <row r="104" ht="15.75" customHeight="1">
      <c r="A104" s="1">
        <v>31.0</v>
      </c>
      <c r="B104" s="1">
        <v>270.0</v>
      </c>
      <c r="D104" s="1" t="str">
        <f>LOOKUP(A104, Combinations!A:A, Combinations!B:B)</f>
        <v>Empty Box</v>
      </c>
      <c r="E104" s="1" t="str">
        <f>LOOKUP(B104, Items!A:A, Items!C:C)</f>
        <v>Present 3</v>
      </c>
    </row>
    <row r="105" ht="15.75" customHeight="1">
      <c r="A105" s="1">
        <v>31.0</v>
      </c>
      <c r="B105" s="1">
        <v>271.0</v>
      </c>
      <c r="D105" s="1" t="str">
        <f>LOOKUP(A105, Combinations!A:A, Combinations!B:B)</f>
        <v>Empty Box</v>
      </c>
      <c r="E105" s="1" t="str">
        <f>LOOKUP(B105, Items!A:A, Items!C:C)</f>
        <v>Present 4</v>
      </c>
    </row>
    <row r="106" ht="15.75" customHeight="1">
      <c r="A106" s="1">
        <v>32.0</v>
      </c>
      <c r="B106" s="1">
        <v>297.0</v>
      </c>
      <c r="D106" s="1" t="str">
        <f>LOOKUP(A106, Combinations!A:A, Combinations!B:B)</f>
        <v>Magus Moon Shield</v>
      </c>
      <c r="E106" s="1" t="str">
        <f>LOOKUP(B106, Items!A:A, Items!C:C)</f>
        <v>Essence of Earth</v>
      </c>
    </row>
    <row r="107" ht="15.75" customHeight="1">
      <c r="A107" s="1">
        <v>32.0</v>
      </c>
      <c r="B107" s="1">
        <v>303.0</v>
      </c>
      <c r="D107" s="1" t="str">
        <f>LOOKUP(A107, Combinations!A:A, Combinations!B:B)</f>
        <v>Magus Moon Shield</v>
      </c>
      <c r="E107" s="1" t="str">
        <f>LOOKUP(B107, Items!A:A, Items!C:C)</f>
        <v>Design: Ancient Shield</v>
      </c>
    </row>
    <row r="108" ht="15.75" customHeight="1">
      <c r="A108" s="1">
        <v>32.0</v>
      </c>
      <c r="B108" s="1">
        <v>115.0</v>
      </c>
      <c r="D108" s="1" t="str">
        <f>LOOKUP(A108, Combinations!A:A, Combinations!B:B)</f>
        <v>Magus Moon Shield</v>
      </c>
      <c r="E108" s="1" t="str">
        <f>LOOKUP(B108, Items!A:A, Items!C:C)</f>
        <v>Moon Shield</v>
      </c>
    </row>
    <row r="109" ht="15.75" customHeight="1">
      <c r="A109" s="1">
        <v>32.0</v>
      </c>
      <c r="B109" s="1">
        <v>58.0</v>
      </c>
      <c r="D109" s="1" t="str">
        <f>LOOKUP(A109, Combinations!A:A, Combinations!B:B)</f>
        <v>Magus Moon Shield</v>
      </c>
      <c r="E109" s="1" t="str">
        <f>LOOKUP(B109, Items!A:A, Items!C:C)</f>
        <v>Gem of Power</v>
      </c>
    </row>
    <row r="110" ht="15.75" customHeight="1">
      <c r="A110" s="1">
        <v>33.0</v>
      </c>
      <c r="B110" s="1">
        <v>298.0</v>
      </c>
      <c r="D110" s="1" t="str">
        <f>LOOKUP(A110, Combinations!A:A, Combinations!B:B)</f>
        <v>Rogue Moon Shield</v>
      </c>
      <c r="E110" s="1" t="str">
        <f>LOOKUP(B110, Items!A:A, Items!C:C)</f>
        <v>Essence of Water</v>
      </c>
    </row>
    <row r="111" ht="15.75" customHeight="1">
      <c r="A111" s="1">
        <v>33.0</v>
      </c>
      <c r="B111" s="1">
        <v>303.0</v>
      </c>
      <c r="D111" s="1" t="str">
        <f>LOOKUP(A111, Combinations!A:A, Combinations!B:B)</f>
        <v>Rogue Moon Shield</v>
      </c>
      <c r="E111" s="1" t="str">
        <f>LOOKUP(B111, Items!A:A, Items!C:C)</f>
        <v>Design: Ancient Shield</v>
      </c>
    </row>
    <row r="112" ht="15.75" customHeight="1">
      <c r="A112" s="1">
        <v>33.0</v>
      </c>
      <c r="B112" s="1">
        <v>115.0</v>
      </c>
      <c r="D112" s="1" t="str">
        <f>LOOKUP(A112, Combinations!A:A, Combinations!B:B)</f>
        <v>Rogue Moon Shield</v>
      </c>
      <c r="E112" s="1" t="str">
        <f>LOOKUP(B112, Items!A:A, Items!C:C)</f>
        <v>Moon Shield</v>
      </c>
    </row>
    <row r="113" ht="15.75" customHeight="1">
      <c r="A113" s="1">
        <v>33.0</v>
      </c>
      <c r="B113" s="1">
        <v>58.0</v>
      </c>
      <c r="D113" s="1" t="str">
        <f>LOOKUP(A113, Combinations!A:A, Combinations!B:B)</f>
        <v>Rogue Moon Shield</v>
      </c>
      <c r="E113" s="1" t="str">
        <f>LOOKUP(B113, Items!A:A, Items!C:C)</f>
        <v>Gem of Power</v>
      </c>
    </row>
    <row r="114" ht="15.75" customHeight="1">
      <c r="A114" s="1">
        <v>34.0</v>
      </c>
      <c r="B114" s="1">
        <v>299.0</v>
      </c>
      <c r="D114" s="1" t="str">
        <f>LOOKUP(A114, Combinations!A:A, Combinations!B:B)</f>
        <v>Warrior Moon Shield</v>
      </c>
      <c r="E114" s="1" t="str">
        <f>LOOKUP(B114, Items!A:A, Items!C:C)</f>
        <v>Essence of Fire</v>
      </c>
    </row>
    <row r="115" ht="15.75" customHeight="1">
      <c r="A115" s="1">
        <v>34.0</v>
      </c>
      <c r="B115" s="1">
        <v>303.0</v>
      </c>
      <c r="D115" s="1" t="str">
        <f>LOOKUP(A115, Combinations!A:A, Combinations!B:B)</f>
        <v>Warrior Moon Shield</v>
      </c>
      <c r="E115" s="1" t="str">
        <f>LOOKUP(B115, Items!A:A, Items!C:C)</f>
        <v>Design: Ancient Shield</v>
      </c>
    </row>
    <row r="116" ht="15.75" customHeight="1">
      <c r="A116" s="1">
        <v>34.0</v>
      </c>
      <c r="B116" s="1">
        <v>115.0</v>
      </c>
      <c r="D116" s="1" t="str">
        <f>LOOKUP(A116, Combinations!A:A, Combinations!B:B)</f>
        <v>Warrior Moon Shield</v>
      </c>
      <c r="E116" s="1" t="str">
        <f>LOOKUP(B116, Items!A:A, Items!C:C)</f>
        <v>Moon Shield</v>
      </c>
    </row>
    <row r="117" ht="15.75" customHeight="1">
      <c r="A117" s="1">
        <v>34.0</v>
      </c>
      <c r="B117" s="1">
        <v>58.0</v>
      </c>
      <c r="D117" s="1" t="str">
        <f>LOOKUP(A117, Combinations!A:A, Combinations!B:B)</f>
        <v>Warrior Moon Shield</v>
      </c>
      <c r="E117" s="1" t="str">
        <f>LOOKUP(B117, Items!A:A, Items!C:C)</f>
        <v>Gem of Power</v>
      </c>
    </row>
    <row r="118" ht="15.75" customHeight="1">
      <c r="A118" s="1">
        <v>35.0</v>
      </c>
      <c r="B118" s="1">
        <v>300.0</v>
      </c>
      <c r="D118" s="1" t="str">
        <f>LOOKUP(A118, Combinations!A:A, Combinations!B:B)</f>
        <v>Priest Moon Shield</v>
      </c>
      <c r="E118" s="1" t="str">
        <f>LOOKUP(B118, Items!A:A, Items!C:C)</f>
        <v>Essence of Air</v>
      </c>
    </row>
    <row r="119" ht="15.75" customHeight="1">
      <c r="A119" s="1">
        <v>35.0</v>
      </c>
      <c r="B119" s="1">
        <v>303.0</v>
      </c>
      <c r="D119" s="1" t="str">
        <f>LOOKUP(A119, Combinations!A:A, Combinations!B:B)</f>
        <v>Priest Moon Shield</v>
      </c>
      <c r="E119" s="1" t="str">
        <f>LOOKUP(B119, Items!A:A, Items!C:C)</f>
        <v>Design: Ancient Shield</v>
      </c>
    </row>
    <row r="120" ht="15.75" customHeight="1">
      <c r="A120" s="1">
        <v>35.0</v>
      </c>
      <c r="B120" s="1">
        <v>115.0</v>
      </c>
      <c r="D120" s="1" t="str">
        <f>LOOKUP(A120, Combinations!A:A, Combinations!B:B)</f>
        <v>Priest Moon Shield</v>
      </c>
      <c r="E120" s="1" t="str">
        <f>LOOKUP(B120, Items!A:A, Items!C:C)</f>
        <v>Moon Shield</v>
      </c>
    </row>
    <row r="121" ht="15.75" customHeight="1">
      <c r="A121" s="1">
        <v>35.0</v>
      </c>
      <c r="B121" s="1">
        <v>58.0</v>
      </c>
      <c r="D121" s="1" t="str">
        <f>LOOKUP(A121, Combinations!A:A, Combinations!B:B)</f>
        <v>Priest Moon Shield</v>
      </c>
      <c r="E121" s="1" t="str">
        <f>LOOKUP(B121, Items!A:A, Items!C:C)</f>
        <v>Gem of Power</v>
      </c>
    </row>
    <row r="122" ht="15.75" customHeight="1">
      <c r="A122" s="1">
        <v>36.0</v>
      </c>
      <c r="B122" s="1">
        <v>20.0</v>
      </c>
      <c r="D122" s="1" t="str">
        <f>LOOKUP(A122, Combinations!A:A, Combinations!B:B)</f>
        <v>Scroll: Shroom Illusion</v>
      </c>
      <c r="E122" s="1" t="str">
        <f>LOOKUP(B122, Items!A:A, Items!C:C)</f>
        <v>Pile of Crap</v>
      </c>
    </row>
    <row r="123" ht="15.75" customHeight="1">
      <c r="A123" s="1">
        <v>36.0</v>
      </c>
      <c r="B123" s="1">
        <v>328.0</v>
      </c>
      <c r="D123" s="1" t="str">
        <f>LOOKUP(A123, Combinations!A:A, Combinations!B:B)</f>
        <v>Scroll: Shroom Illusion</v>
      </c>
      <c r="E123" s="1" t="str">
        <f>LOOKUP(B123, Items!A:A, Items!C:C)</f>
        <v>Blank Scroll</v>
      </c>
    </row>
    <row r="124" ht="15.75" customHeight="1">
      <c r="A124" s="1">
        <v>36.0</v>
      </c>
      <c r="B124" s="1">
        <v>341.0</v>
      </c>
      <c r="D124" s="1" t="str">
        <f>LOOKUP(A124, Combinations!A:A, Combinations!B:B)</f>
        <v>Scroll: Shroom Illusion</v>
      </c>
      <c r="E124" s="1" t="str">
        <f>LOOKUP(B124, Items!A:A, Items!C:C)</f>
        <v>Ink</v>
      </c>
    </row>
    <row r="125" ht="15.75" customHeight="1">
      <c r="A125" s="1">
        <v>37.0</v>
      </c>
      <c r="B125" s="1">
        <v>347.0</v>
      </c>
      <c r="D125" s="1" t="str">
        <f>LOOKUP(A125, Combinations!A:A, Combinations!B:B)</f>
        <v>Pearl Bracelet</v>
      </c>
      <c r="E125" s="1" t="str">
        <f>LOOKUP(B125, Items!A:A, Items!C:C)</f>
        <v>Spool of Thread</v>
      </c>
    </row>
    <row r="126" ht="15.75" customHeight="1">
      <c r="A126" s="1">
        <v>37.0</v>
      </c>
      <c r="B126" s="1">
        <v>343.0</v>
      </c>
      <c r="D126" s="1" t="str">
        <f>LOOKUP(A126, Combinations!A:A, Combinations!B:B)</f>
        <v>Pearl Bracelet</v>
      </c>
      <c r="E126" s="1" t="str">
        <f>LOOKUP(B126, Items!A:A, Items!C:C)</f>
        <v>Pearl</v>
      </c>
    </row>
    <row r="127" ht="15.75" customHeight="1">
      <c r="A127" s="1">
        <v>37.0</v>
      </c>
      <c r="B127" s="1">
        <v>343.0</v>
      </c>
      <c r="D127" s="1" t="str">
        <f>LOOKUP(A127, Combinations!A:A, Combinations!B:B)</f>
        <v>Pearl Bracelet</v>
      </c>
      <c r="E127" s="1" t="str">
        <f>LOOKUP(B127, Items!A:A, Items!C:C)</f>
        <v>Pearl</v>
      </c>
    </row>
    <row r="128" ht="15.75" customHeight="1">
      <c r="A128" s="1">
        <v>37.0</v>
      </c>
      <c r="B128" s="1">
        <v>343.0</v>
      </c>
      <c r="D128" s="1" t="str">
        <f>LOOKUP(A128, Combinations!A:A, Combinations!B:B)</f>
        <v>Pearl Bracelet</v>
      </c>
      <c r="E128" s="1" t="str">
        <f>LOOKUP(B128, Items!A:A, Items!C:C)</f>
        <v>Pearl</v>
      </c>
    </row>
    <row r="129" ht="15.75" customHeight="1">
      <c r="A129" s="1">
        <v>37.0</v>
      </c>
      <c r="B129" s="1">
        <v>343.0</v>
      </c>
      <c r="D129" s="1" t="str">
        <f>LOOKUP(A129, Combinations!A:A, Combinations!B:B)</f>
        <v>Pearl Bracelet</v>
      </c>
      <c r="E129" s="1" t="str">
        <f>LOOKUP(B129, Items!A:A, Items!C:C)</f>
        <v>Pearl</v>
      </c>
    </row>
    <row r="130" ht="15.75" customHeight="1">
      <c r="A130" s="1">
        <v>37.0</v>
      </c>
      <c r="B130" s="1">
        <v>343.0</v>
      </c>
      <c r="D130" s="1" t="str">
        <f>LOOKUP(A130, Combinations!A:A, Combinations!B:B)</f>
        <v>Pearl Bracelet</v>
      </c>
      <c r="E130" s="1" t="str">
        <f>LOOKUP(B130, Items!A:A, Items!C:C)</f>
        <v>Pearl</v>
      </c>
    </row>
    <row r="131" ht="15.75" customHeight="1">
      <c r="A131" s="1">
        <v>37.0</v>
      </c>
      <c r="B131" s="1">
        <v>343.0</v>
      </c>
      <c r="D131" s="1" t="str">
        <f>LOOKUP(A131, Combinations!A:A, Combinations!B:B)</f>
        <v>Pearl Bracelet</v>
      </c>
      <c r="E131" s="1" t="str">
        <f>LOOKUP(B131, Items!A:A, Items!C:C)</f>
        <v>Pearl</v>
      </c>
    </row>
    <row r="132" ht="15.75" customHeight="1">
      <c r="A132" s="1">
        <v>37.0</v>
      </c>
      <c r="B132" s="1">
        <v>343.0</v>
      </c>
      <c r="D132" s="1" t="str">
        <f>LOOKUP(A132, Combinations!A:A, Combinations!B:B)</f>
        <v>Pearl Bracelet</v>
      </c>
      <c r="E132" s="1" t="str">
        <f>LOOKUP(B132, Items!A:A, Items!C:C)</f>
        <v>Pearl</v>
      </c>
    </row>
    <row r="133" ht="15.75" customHeight="1">
      <c r="A133" s="1">
        <v>37.0</v>
      </c>
      <c r="B133" s="1">
        <v>343.0</v>
      </c>
      <c r="D133" s="1" t="str">
        <f>LOOKUP(A133, Combinations!A:A, Combinations!B:B)</f>
        <v>Pearl Bracelet</v>
      </c>
      <c r="E133" s="1" t="str">
        <f>LOOKUP(B133, Items!A:A, Items!C:C)</f>
        <v>Pearl</v>
      </c>
    </row>
    <row r="134" ht="15.75" customHeight="1">
      <c r="A134" s="1">
        <v>38.0</v>
      </c>
      <c r="B134" s="1">
        <v>443.0</v>
      </c>
      <c r="D134" s="1" t="str">
        <f>LOOKUP(A134, Combinations!A:A, Combinations!B:B)</f>
        <v>Ducky Pauldrons</v>
      </c>
      <c r="E134" s="1" t="str">
        <f>LOOKUP(B134, Items!A:A, Items!C:C)</f>
        <v>Empty Box</v>
      </c>
    </row>
    <row r="135" ht="15.75" customHeight="1">
      <c r="A135" s="1">
        <v>38.0</v>
      </c>
      <c r="B135" s="1">
        <v>442.0</v>
      </c>
      <c r="D135" s="1" t="str">
        <f>LOOKUP(A135, Combinations!A:A, Combinations!B:B)</f>
        <v>Ducky Pauldrons</v>
      </c>
      <c r="E135" s="1" t="str">
        <f>LOOKUP(B135, Items!A:A, Items!C:C)</f>
        <v>Wrapping Paper</v>
      </c>
    </row>
    <row r="136" ht="15.75" customHeight="1">
      <c r="A136" s="1">
        <v>38.0</v>
      </c>
      <c r="B136" s="1">
        <v>21.0</v>
      </c>
      <c r="D136" s="1" t="str">
        <f>LOOKUP(A136, Combinations!A:A, Combinations!B:B)</f>
        <v>Ducky Pauldrons</v>
      </c>
      <c r="E136" s="1" t="str">
        <f>LOOKUP(B136, Items!A:A, Items!C:C)</f>
        <v>Rubber Ducky</v>
      </c>
    </row>
    <row r="137" ht="15.75" customHeight="1">
      <c r="A137" s="1">
        <v>39.0</v>
      </c>
      <c r="B137" s="1">
        <v>297.0</v>
      </c>
      <c r="D137" s="1" t="str">
        <f>LOOKUP(A137, Combinations!A:A, Combinations!B:B)</f>
        <v>Magus Ancient Slippers</v>
      </c>
      <c r="E137" s="1" t="str">
        <f>LOOKUP(B137, Items!A:A, Items!C:C)</f>
        <v>Essence of Earth</v>
      </c>
    </row>
    <row r="138" ht="15.75" customHeight="1">
      <c r="A138" s="1">
        <v>39.0</v>
      </c>
      <c r="B138" s="1">
        <v>395.0</v>
      </c>
      <c r="D138" s="1" t="str">
        <f>LOOKUP(A138, Combinations!A:A, Combinations!B:B)</f>
        <v>Magus Ancient Slippers</v>
      </c>
      <c r="E138" s="1" t="str">
        <f>LOOKUP(B138, Items!A:A, Items!C:C)</f>
        <v>Design: Ancient Slippers</v>
      </c>
    </row>
    <row r="139" ht="15.75" customHeight="1">
      <c r="A139" s="1">
        <v>39.0</v>
      </c>
      <c r="B139" s="1">
        <v>436.0</v>
      </c>
      <c r="D139" s="1" t="str">
        <f>LOOKUP(A139, Combinations!A:A, Combinations!B:B)</f>
        <v>Magus Ancient Slippers</v>
      </c>
      <c r="E139" s="1" t="str">
        <f>LOOKUP(B139, Items!A:A, Items!C:C)</f>
        <v>Priceless Needle</v>
      </c>
    </row>
    <row r="140" ht="15.75" customHeight="1">
      <c r="A140" s="1">
        <v>39.0</v>
      </c>
      <c r="B140" s="1">
        <v>438.0</v>
      </c>
      <c r="D140" s="1" t="str">
        <f>LOOKUP(A140, Combinations!A:A, Combinations!B:B)</f>
        <v>Magus Ancient Slippers</v>
      </c>
      <c r="E140" s="1" t="str">
        <f>LOOKUP(B140, Items!A:A, Items!C:C)</f>
        <v>Priceless Thread</v>
      </c>
    </row>
    <row r="141" ht="15.75" customHeight="1">
      <c r="A141" s="1">
        <v>39.0</v>
      </c>
      <c r="B141" s="1">
        <v>437.0</v>
      </c>
      <c r="D141" s="1" t="str">
        <f>LOOKUP(A141, Combinations!A:A, Combinations!B:B)</f>
        <v>Magus Ancient Slippers</v>
      </c>
      <c r="E141" s="1" t="str">
        <f>LOOKUP(B141, Items!A:A, Items!C:C)</f>
        <v>Priceless Pattern</v>
      </c>
    </row>
    <row r="142" ht="15.75" customHeight="1">
      <c r="A142" s="1">
        <v>39.0</v>
      </c>
      <c r="B142" s="1">
        <v>58.0</v>
      </c>
      <c r="D142" s="1" t="str">
        <f>LOOKUP(A142, Combinations!A:A, Combinations!B:B)</f>
        <v>Magus Ancient Slippers</v>
      </c>
      <c r="E142" s="1" t="str">
        <f>LOOKUP(B142, Items!A:A, Items!C:C)</f>
        <v>Gem of Power</v>
      </c>
    </row>
    <row r="143" ht="15.75" customHeight="1">
      <c r="A143" s="1">
        <v>40.0</v>
      </c>
      <c r="B143" s="1">
        <v>298.0</v>
      </c>
      <c r="D143" s="1" t="str">
        <f>LOOKUP(A143, Combinations!A:A, Combinations!B:B)</f>
        <v>Rogue Ancient Boots</v>
      </c>
      <c r="E143" s="1" t="str">
        <f>LOOKUP(B143, Items!A:A, Items!C:C)</f>
        <v>Essence of Water</v>
      </c>
    </row>
    <row r="144" ht="15.75" customHeight="1">
      <c r="A144" s="1">
        <v>40.0</v>
      </c>
      <c r="B144" s="1">
        <v>396.0</v>
      </c>
      <c r="D144" s="1" t="str">
        <f>LOOKUP(A144, Combinations!A:A, Combinations!B:B)</f>
        <v>Rogue Ancient Boots</v>
      </c>
      <c r="E144" s="1" t="str">
        <f>LOOKUP(B144, Items!A:A, Items!C:C)</f>
        <v>Mold: Ancient Boots</v>
      </c>
    </row>
    <row r="145" ht="15.75" customHeight="1">
      <c r="A145" s="1">
        <v>40.0</v>
      </c>
      <c r="B145" s="1">
        <v>439.0</v>
      </c>
      <c r="D145" s="1" t="str">
        <f>LOOKUP(A145, Combinations!A:A, Combinations!B:B)</f>
        <v>Rogue Ancient Boots</v>
      </c>
      <c r="E145" s="1" t="str">
        <f>LOOKUP(B145, Items!A:A, Items!C:C)</f>
        <v>Priceless Ore</v>
      </c>
    </row>
    <row r="146" ht="15.75" customHeight="1">
      <c r="A146" s="1">
        <v>40.0</v>
      </c>
      <c r="B146" s="1">
        <v>440.0</v>
      </c>
      <c r="D146" s="1" t="str">
        <f>LOOKUP(A146, Combinations!A:A, Combinations!B:B)</f>
        <v>Rogue Ancient Boots</v>
      </c>
      <c r="E146" s="1" t="str">
        <f>LOOKUP(B146, Items!A:A, Items!C:C)</f>
        <v>Priceless Chisel</v>
      </c>
    </row>
    <row r="147" ht="15.75" customHeight="1">
      <c r="A147" s="1">
        <v>40.0</v>
      </c>
      <c r="B147" s="1">
        <v>441.0</v>
      </c>
      <c r="D147" s="1" t="str">
        <f>LOOKUP(A147, Combinations!A:A, Combinations!B:B)</f>
        <v>Rogue Ancient Boots</v>
      </c>
      <c r="E147" s="1" t="str">
        <f>LOOKUP(B147, Items!A:A, Items!C:C)</f>
        <v>Priceless Hammer</v>
      </c>
    </row>
    <row r="148" ht="15.75" customHeight="1">
      <c r="A148" s="1">
        <v>40.0</v>
      </c>
      <c r="B148" s="1">
        <v>58.0</v>
      </c>
      <c r="D148" s="1" t="str">
        <f>LOOKUP(A148, Combinations!A:A, Combinations!B:B)</f>
        <v>Rogue Ancient Boots</v>
      </c>
      <c r="E148" s="1" t="str">
        <f>LOOKUP(B148, Items!A:A, Items!C:C)</f>
        <v>Gem of Power</v>
      </c>
    </row>
    <row r="149" ht="15.75" customHeight="1">
      <c r="A149" s="1">
        <v>41.0</v>
      </c>
      <c r="B149" s="1">
        <v>299.0</v>
      </c>
      <c r="D149" s="1" t="str">
        <f>LOOKUP(A149, Combinations!A:A, Combinations!B:B)</f>
        <v>Warrior Ancient Boots</v>
      </c>
      <c r="E149" s="1" t="str">
        <f>LOOKUP(B149, Items!A:A, Items!C:C)</f>
        <v>Essence of Fire</v>
      </c>
    </row>
    <row r="150" ht="15.75" customHeight="1">
      <c r="A150" s="1">
        <v>41.0</v>
      </c>
      <c r="B150" s="1">
        <v>396.0</v>
      </c>
      <c r="D150" s="1" t="str">
        <f>LOOKUP(A150, Combinations!A:A, Combinations!B:B)</f>
        <v>Warrior Ancient Boots</v>
      </c>
      <c r="E150" s="1" t="str">
        <f>LOOKUP(B150, Items!A:A, Items!C:C)</f>
        <v>Mold: Ancient Boots</v>
      </c>
    </row>
    <row r="151" ht="15.75" customHeight="1">
      <c r="A151" s="1">
        <v>41.0</v>
      </c>
      <c r="B151" s="1">
        <v>439.0</v>
      </c>
      <c r="D151" s="1" t="str">
        <f>LOOKUP(A151, Combinations!A:A, Combinations!B:B)</f>
        <v>Warrior Ancient Boots</v>
      </c>
      <c r="E151" s="1" t="str">
        <f>LOOKUP(B151, Items!A:A, Items!C:C)</f>
        <v>Priceless Ore</v>
      </c>
    </row>
    <row r="152" ht="15.75" customHeight="1">
      <c r="A152" s="1">
        <v>41.0</v>
      </c>
      <c r="B152" s="1">
        <v>440.0</v>
      </c>
      <c r="D152" s="1" t="str">
        <f>LOOKUP(A152, Combinations!A:A, Combinations!B:B)</f>
        <v>Warrior Ancient Boots</v>
      </c>
      <c r="E152" s="1" t="str">
        <f>LOOKUP(B152, Items!A:A, Items!C:C)</f>
        <v>Priceless Chisel</v>
      </c>
    </row>
    <row r="153" ht="15.75" customHeight="1">
      <c r="A153" s="1">
        <v>41.0</v>
      </c>
      <c r="B153" s="1">
        <v>441.0</v>
      </c>
      <c r="D153" s="1" t="str">
        <f>LOOKUP(A153, Combinations!A:A, Combinations!B:B)</f>
        <v>Warrior Ancient Boots</v>
      </c>
      <c r="E153" s="1" t="str">
        <f>LOOKUP(B153, Items!A:A, Items!C:C)</f>
        <v>Priceless Hammer</v>
      </c>
    </row>
    <row r="154" ht="15.75" customHeight="1">
      <c r="A154" s="1">
        <v>41.0</v>
      </c>
      <c r="B154" s="1">
        <v>58.0</v>
      </c>
      <c r="D154" s="1" t="str">
        <f>LOOKUP(A154, Combinations!A:A, Combinations!B:B)</f>
        <v>Warrior Ancient Boots</v>
      </c>
      <c r="E154" s="1" t="str">
        <f>LOOKUP(B154, Items!A:A, Items!C:C)</f>
        <v>Gem of Power</v>
      </c>
    </row>
    <row r="155" ht="15.75" customHeight="1">
      <c r="A155" s="1">
        <v>42.0</v>
      </c>
      <c r="B155" s="1">
        <v>300.0</v>
      </c>
      <c r="D155" s="1" t="str">
        <f>LOOKUP(A155, Combinations!A:A, Combinations!B:B)</f>
        <v>Priest Ancient Slippers</v>
      </c>
      <c r="E155" s="1" t="str">
        <f>LOOKUP(B155, Items!A:A, Items!C:C)</f>
        <v>Essence of Air</v>
      </c>
    </row>
    <row r="156" ht="15.75" customHeight="1">
      <c r="A156" s="1">
        <v>42.0</v>
      </c>
      <c r="B156" s="1">
        <v>395.0</v>
      </c>
      <c r="D156" s="1" t="str">
        <f>LOOKUP(A156, Combinations!A:A, Combinations!B:B)</f>
        <v>Priest Ancient Slippers</v>
      </c>
      <c r="E156" s="1" t="str">
        <f>LOOKUP(B156, Items!A:A, Items!C:C)</f>
        <v>Design: Ancient Slippers</v>
      </c>
    </row>
    <row r="157" ht="15.75" customHeight="1">
      <c r="A157" s="1">
        <v>42.0</v>
      </c>
      <c r="B157" s="1">
        <v>436.0</v>
      </c>
      <c r="D157" s="1" t="str">
        <f>LOOKUP(A157, Combinations!A:A, Combinations!B:B)</f>
        <v>Priest Ancient Slippers</v>
      </c>
      <c r="E157" s="1" t="str">
        <f>LOOKUP(B157, Items!A:A, Items!C:C)</f>
        <v>Priceless Needle</v>
      </c>
    </row>
    <row r="158" ht="15.75" customHeight="1">
      <c r="A158" s="1">
        <v>42.0</v>
      </c>
      <c r="B158" s="1">
        <v>438.0</v>
      </c>
      <c r="D158" s="1" t="str">
        <f>LOOKUP(A158, Combinations!A:A, Combinations!B:B)</f>
        <v>Priest Ancient Slippers</v>
      </c>
      <c r="E158" s="1" t="str">
        <f>LOOKUP(B158, Items!A:A, Items!C:C)</f>
        <v>Priceless Thread</v>
      </c>
    </row>
    <row r="159" ht="15.75" customHeight="1">
      <c r="A159" s="1">
        <v>42.0</v>
      </c>
      <c r="B159" s="1">
        <v>437.0</v>
      </c>
      <c r="D159" s="1" t="str">
        <f>LOOKUP(A159, Combinations!A:A, Combinations!B:B)</f>
        <v>Priest Ancient Slippers</v>
      </c>
      <c r="E159" s="1" t="str">
        <f>LOOKUP(B159, Items!A:A, Items!C:C)</f>
        <v>Priceless Pattern</v>
      </c>
    </row>
    <row r="160" ht="15.75" customHeight="1">
      <c r="A160" s="1">
        <v>42.0</v>
      </c>
      <c r="B160" s="1">
        <v>58.0</v>
      </c>
      <c r="D160" s="1" t="str">
        <f>LOOKUP(A160, Combinations!A:A, Combinations!B:B)</f>
        <v>Priest Ancient Slippers</v>
      </c>
      <c r="E160" s="1" t="str">
        <f>LOOKUP(B160, Items!A:A, Items!C:C)</f>
        <v>Gem of Power</v>
      </c>
    </row>
    <row r="161" ht="15.75" customHeight="1">
      <c r="A161" s="1">
        <v>43.0</v>
      </c>
      <c r="B161" s="1">
        <v>297.0</v>
      </c>
      <c r="D161" s="1" t="str">
        <f>LOOKUP(A161, Combinations!A:A, Combinations!B:B)</f>
        <v>Magus Divine Crown</v>
      </c>
      <c r="E161" s="1" t="str">
        <f>LOOKUP(B161, Items!A:A, Items!C:C)</f>
        <v>Essence of Earth</v>
      </c>
    </row>
    <row r="162" ht="15.75" customHeight="1">
      <c r="A162" s="1">
        <v>43.0</v>
      </c>
      <c r="B162" s="1">
        <v>397.0</v>
      </c>
      <c r="D162" s="1" t="str">
        <f>LOOKUP(A162, Combinations!A:A, Combinations!B:B)</f>
        <v>Magus Divine Crown</v>
      </c>
      <c r="E162" s="1" t="str">
        <f>LOOKUP(B162, Items!A:A, Items!C:C)</f>
        <v>Design: Divine Crown</v>
      </c>
    </row>
    <row r="163" ht="15.75" customHeight="1">
      <c r="A163" s="1">
        <v>43.0</v>
      </c>
      <c r="B163" s="1">
        <v>436.0</v>
      </c>
      <c r="D163" s="1" t="str">
        <f>LOOKUP(A163, Combinations!A:A, Combinations!B:B)</f>
        <v>Magus Divine Crown</v>
      </c>
      <c r="E163" s="1" t="str">
        <f>LOOKUP(B163, Items!A:A, Items!C:C)</f>
        <v>Priceless Needle</v>
      </c>
    </row>
    <row r="164" ht="15.75" customHeight="1">
      <c r="A164" s="1">
        <v>43.0</v>
      </c>
      <c r="B164" s="1">
        <v>438.0</v>
      </c>
      <c r="D164" s="1" t="str">
        <f>LOOKUP(A164, Combinations!A:A, Combinations!B:B)</f>
        <v>Magus Divine Crown</v>
      </c>
      <c r="E164" s="1" t="str">
        <f>LOOKUP(B164, Items!A:A, Items!C:C)</f>
        <v>Priceless Thread</v>
      </c>
    </row>
    <row r="165" ht="15.75" customHeight="1">
      <c r="A165" s="1">
        <v>43.0</v>
      </c>
      <c r="B165" s="1">
        <v>437.0</v>
      </c>
      <c r="D165" s="1" t="str">
        <f>LOOKUP(A165, Combinations!A:A, Combinations!B:B)</f>
        <v>Magus Divine Crown</v>
      </c>
      <c r="E165" s="1" t="str">
        <f>LOOKUP(B165, Items!A:A, Items!C:C)</f>
        <v>Priceless Pattern</v>
      </c>
    </row>
    <row r="166" ht="15.75" customHeight="1">
      <c r="A166" s="1">
        <v>43.0</v>
      </c>
      <c r="B166" s="1">
        <v>58.0</v>
      </c>
      <c r="D166" s="1" t="str">
        <f>LOOKUP(A166, Combinations!A:A, Combinations!B:B)</f>
        <v>Magus Divine Crown</v>
      </c>
      <c r="E166" s="1" t="str">
        <f>LOOKUP(B166, Items!A:A, Items!C:C)</f>
        <v>Gem of Power</v>
      </c>
    </row>
    <row r="167" ht="15.75" customHeight="1">
      <c r="A167" s="1">
        <v>44.0</v>
      </c>
      <c r="B167" s="1">
        <v>298.0</v>
      </c>
      <c r="D167" s="1" t="str">
        <f>LOOKUP(A167, Combinations!A:A, Combinations!B:B)</f>
        <v>Rogue Divine Helm</v>
      </c>
      <c r="E167" s="1" t="str">
        <f>LOOKUP(B167, Items!A:A, Items!C:C)</f>
        <v>Essence of Water</v>
      </c>
    </row>
    <row r="168" ht="15.75" customHeight="1">
      <c r="A168" s="1">
        <v>44.0</v>
      </c>
      <c r="B168" s="1">
        <v>398.0</v>
      </c>
      <c r="D168" s="1" t="str">
        <f>LOOKUP(A168, Combinations!A:A, Combinations!B:B)</f>
        <v>Rogue Divine Helm</v>
      </c>
      <c r="E168" s="1" t="str">
        <f>LOOKUP(B168, Items!A:A, Items!C:C)</f>
        <v>Mold: Divine Helm</v>
      </c>
    </row>
    <row r="169" ht="15.75" customHeight="1">
      <c r="A169" s="1">
        <v>44.0</v>
      </c>
      <c r="B169" s="1">
        <v>439.0</v>
      </c>
      <c r="D169" s="1" t="str">
        <f>LOOKUP(A169, Combinations!A:A, Combinations!B:B)</f>
        <v>Rogue Divine Helm</v>
      </c>
      <c r="E169" s="1" t="str">
        <f>LOOKUP(B169, Items!A:A, Items!C:C)</f>
        <v>Priceless Ore</v>
      </c>
    </row>
    <row r="170" ht="15.75" customHeight="1">
      <c r="A170" s="1">
        <v>44.0</v>
      </c>
      <c r="B170" s="1">
        <v>440.0</v>
      </c>
      <c r="D170" s="1" t="str">
        <f>LOOKUP(A170, Combinations!A:A, Combinations!B:B)</f>
        <v>Rogue Divine Helm</v>
      </c>
      <c r="E170" s="1" t="str">
        <f>LOOKUP(B170, Items!A:A, Items!C:C)</f>
        <v>Priceless Chisel</v>
      </c>
    </row>
    <row r="171" ht="15.75" customHeight="1">
      <c r="A171" s="1">
        <v>44.0</v>
      </c>
      <c r="B171" s="1">
        <v>441.0</v>
      </c>
      <c r="D171" s="1" t="str">
        <f>LOOKUP(A171, Combinations!A:A, Combinations!B:B)</f>
        <v>Rogue Divine Helm</v>
      </c>
      <c r="E171" s="1" t="str">
        <f>LOOKUP(B171, Items!A:A, Items!C:C)</f>
        <v>Priceless Hammer</v>
      </c>
    </row>
    <row r="172" ht="15.75" customHeight="1">
      <c r="A172" s="1">
        <v>44.0</v>
      </c>
      <c r="B172" s="1">
        <v>58.0</v>
      </c>
      <c r="D172" s="1" t="str">
        <f>LOOKUP(A172, Combinations!A:A, Combinations!B:B)</f>
        <v>Rogue Divine Helm</v>
      </c>
      <c r="E172" s="1" t="str">
        <f>LOOKUP(B172, Items!A:A, Items!C:C)</f>
        <v>Gem of Power</v>
      </c>
    </row>
    <row r="173" ht="15.75" customHeight="1">
      <c r="A173" s="1">
        <v>45.0</v>
      </c>
      <c r="B173" s="1">
        <v>299.0</v>
      </c>
      <c r="D173" s="1" t="str">
        <f>LOOKUP(A173, Combinations!A:A, Combinations!B:B)</f>
        <v>Warrior Divine Helm</v>
      </c>
      <c r="E173" s="1" t="str">
        <f>LOOKUP(B173, Items!A:A, Items!C:C)</f>
        <v>Essence of Fire</v>
      </c>
    </row>
    <row r="174" ht="15.75" customHeight="1">
      <c r="A174" s="1">
        <v>45.0</v>
      </c>
      <c r="B174" s="1">
        <v>398.0</v>
      </c>
      <c r="D174" s="1" t="str">
        <f>LOOKUP(A174, Combinations!A:A, Combinations!B:B)</f>
        <v>Warrior Divine Helm</v>
      </c>
      <c r="E174" s="1" t="str">
        <f>LOOKUP(B174, Items!A:A, Items!C:C)</f>
        <v>Mold: Divine Helm</v>
      </c>
    </row>
    <row r="175" ht="15.75" customHeight="1">
      <c r="A175" s="1">
        <v>45.0</v>
      </c>
      <c r="B175" s="1">
        <v>439.0</v>
      </c>
      <c r="D175" s="1" t="str">
        <f>LOOKUP(A175, Combinations!A:A, Combinations!B:B)</f>
        <v>Warrior Divine Helm</v>
      </c>
      <c r="E175" s="1" t="str">
        <f>LOOKUP(B175, Items!A:A, Items!C:C)</f>
        <v>Priceless Ore</v>
      </c>
    </row>
    <row r="176" ht="15.75" customHeight="1">
      <c r="A176" s="1">
        <v>45.0</v>
      </c>
      <c r="B176" s="1">
        <v>440.0</v>
      </c>
      <c r="D176" s="1" t="str">
        <f>LOOKUP(A176, Combinations!A:A, Combinations!B:B)</f>
        <v>Warrior Divine Helm</v>
      </c>
      <c r="E176" s="1" t="str">
        <f>LOOKUP(B176, Items!A:A, Items!C:C)</f>
        <v>Priceless Chisel</v>
      </c>
    </row>
    <row r="177" ht="15.75" customHeight="1">
      <c r="A177" s="1">
        <v>45.0</v>
      </c>
      <c r="B177" s="1">
        <v>441.0</v>
      </c>
      <c r="D177" s="1" t="str">
        <f>LOOKUP(A177, Combinations!A:A, Combinations!B:B)</f>
        <v>Warrior Divine Helm</v>
      </c>
      <c r="E177" s="1" t="str">
        <f>LOOKUP(B177, Items!A:A, Items!C:C)</f>
        <v>Priceless Hammer</v>
      </c>
    </row>
    <row r="178" ht="15.75" customHeight="1">
      <c r="A178" s="1">
        <v>45.0</v>
      </c>
      <c r="B178" s="1">
        <v>58.0</v>
      </c>
      <c r="D178" s="1" t="str">
        <f>LOOKUP(A178, Combinations!A:A, Combinations!B:B)</f>
        <v>Warrior Divine Helm</v>
      </c>
      <c r="E178" s="1" t="str">
        <f>LOOKUP(B178, Items!A:A, Items!C:C)</f>
        <v>Gem of Power</v>
      </c>
    </row>
    <row r="179" ht="15.75" customHeight="1">
      <c r="A179" s="1">
        <v>46.0</v>
      </c>
      <c r="B179" s="1">
        <v>300.0</v>
      </c>
      <c r="D179" s="1" t="str">
        <f>LOOKUP(A179, Combinations!A:A, Combinations!B:B)</f>
        <v>Priest Divine Crown</v>
      </c>
      <c r="E179" s="1" t="str">
        <f>LOOKUP(B179, Items!A:A, Items!C:C)</f>
        <v>Essence of Air</v>
      </c>
    </row>
    <row r="180" ht="15.75" customHeight="1">
      <c r="A180" s="1">
        <v>46.0</v>
      </c>
      <c r="B180" s="1">
        <v>397.0</v>
      </c>
      <c r="D180" s="1" t="str">
        <f>LOOKUP(A180, Combinations!A:A, Combinations!B:B)</f>
        <v>Priest Divine Crown</v>
      </c>
      <c r="E180" s="1" t="str">
        <f>LOOKUP(B180, Items!A:A, Items!C:C)</f>
        <v>Design: Divine Crown</v>
      </c>
    </row>
    <row r="181" ht="15.75" customHeight="1">
      <c r="A181" s="1">
        <v>46.0</v>
      </c>
      <c r="B181" s="1">
        <v>436.0</v>
      </c>
      <c r="D181" s="1" t="str">
        <f>LOOKUP(A181, Combinations!A:A, Combinations!B:B)</f>
        <v>Priest Divine Crown</v>
      </c>
      <c r="E181" s="1" t="str">
        <f>LOOKUP(B181, Items!A:A, Items!C:C)</f>
        <v>Priceless Needle</v>
      </c>
    </row>
    <row r="182" ht="15.75" customHeight="1">
      <c r="A182" s="1">
        <v>46.0</v>
      </c>
      <c r="B182" s="1">
        <v>438.0</v>
      </c>
      <c r="D182" s="1" t="str">
        <f>LOOKUP(A182, Combinations!A:A, Combinations!B:B)</f>
        <v>Priest Divine Crown</v>
      </c>
      <c r="E182" s="1" t="str">
        <f>LOOKUP(B182, Items!A:A, Items!C:C)</f>
        <v>Priceless Thread</v>
      </c>
    </row>
    <row r="183" ht="15.75" customHeight="1">
      <c r="A183" s="1">
        <v>46.0</v>
      </c>
      <c r="B183" s="1">
        <v>437.0</v>
      </c>
      <c r="D183" s="1" t="str">
        <f>LOOKUP(A183, Combinations!A:A, Combinations!B:B)</f>
        <v>Priest Divine Crown</v>
      </c>
      <c r="E183" s="1" t="str">
        <f>LOOKUP(B183, Items!A:A, Items!C:C)</f>
        <v>Priceless Pattern</v>
      </c>
    </row>
    <row r="184" ht="15.75" customHeight="1">
      <c r="A184" s="1">
        <v>46.0</v>
      </c>
      <c r="B184" s="1">
        <v>58.0</v>
      </c>
      <c r="D184" s="1" t="str">
        <f>LOOKUP(A184, Combinations!A:A, Combinations!B:B)</f>
        <v>Priest Divine Crown</v>
      </c>
      <c r="E184" s="1" t="str">
        <f>LOOKUP(B184, Items!A:A, Items!C:C)</f>
        <v>Gem of Power</v>
      </c>
    </row>
    <row r="185" ht="15.75" customHeight="1">
      <c r="A185" s="1">
        <v>47.0</v>
      </c>
      <c r="B185" s="1">
        <v>448.0</v>
      </c>
      <c r="D185" s="1" t="str">
        <f>LOOKUP(A185, Combinations!A:A, Combinations!B:B)</f>
        <v>Gero Necklace</v>
      </c>
      <c r="E185" s="1" t="str">
        <f>LOOKUP(B185, Items!A:A, Items!C:C)</f>
        <v>Berrys Hair Strand</v>
      </c>
    </row>
    <row r="186" ht="15.75" customHeight="1">
      <c r="A186" s="1">
        <v>47.0</v>
      </c>
      <c r="B186" s="1">
        <v>447.0</v>
      </c>
      <c r="D186" s="1" t="str">
        <f>LOOKUP(A186, Combinations!A:A, Combinations!B:B)</f>
        <v>Gero Necklace</v>
      </c>
      <c r="E186" s="1" t="str">
        <f>LOOKUP(B186, Items!A:A, Items!C:C)</f>
        <v>Blood</v>
      </c>
    </row>
    <row r="187" ht="15.75" customHeight="1">
      <c r="A187" s="1">
        <v>47.0</v>
      </c>
      <c r="B187" s="1">
        <v>446.0</v>
      </c>
      <c r="D187" s="1" t="str">
        <f>LOOKUP(A187, Combinations!A:A, Combinations!B:B)</f>
        <v>Gero Necklace</v>
      </c>
      <c r="E187" s="1" t="str">
        <f>LOOKUP(B187, Items!A:A, Items!C:C)</f>
        <v>Gramps Fur</v>
      </c>
    </row>
    <row r="188" ht="15.75" customHeight="1">
      <c r="A188" s="1">
        <v>48.0</v>
      </c>
      <c r="B188" s="1">
        <v>452.0</v>
      </c>
      <c r="D188" s="1" t="str">
        <f>LOOKUP(A188, Combinations!A:A, Combinations!B:B)</f>
        <v>Bling Belt</v>
      </c>
      <c r="E188" s="1" t="str">
        <f>LOOKUP(B188, Items!A:A, Items!C:C)</f>
        <v>Soft Belt</v>
      </c>
    </row>
    <row r="189" ht="15.75" customHeight="1">
      <c r="A189" s="1">
        <v>48.0</v>
      </c>
      <c r="B189" s="1">
        <v>340.0</v>
      </c>
      <c r="D189" s="1" t="str">
        <f>LOOKUP(A189, Combinations!A:A, Combinations!B:B)</f>
        <v>Bling Belt</v>
      </c>
      <c r="E189" s="1" t="str">
        <f>LOOKUP(B189, Items!A:A, Items!C:C)</f>
        <v>Needle</v>
      </c>
    </row>
    <row r="190" ht="15.75" customHeight="1">
      <c r="A190" s="1">
        <v>48.0</v>
      </c>
      <c r="B190" s="1">
        <v>347.0</v>
      </c>
      <c r="D190" s="1" t="str">
        <f>LOOKUP(A190, Combinations!A:A, Combinations!B:B)</f>
        <v>Bling Belt</v>
      </c>
      <c r="E190" s="1" t="str">
        <f>LOOKUP(B190, Items!A:A, Items!C:C)</f>
        <v>Spool of Thread</v>
      </c>
    </row>
    <row r="191" ht="15.75" customHeight="1">
      <c r="A191" s="1">
        <v>48.0</v>
      </c>
      <c r="B191" s="1">
        <v>51.0</v>
      </c>
      <c r="D191" s="1" t="str">
        <f>LOOKUP(A191, Combinations!A:A, Combinations!B:B)</f>
        <v>Bling Belt</v>
      </c>
      <c r="E191" s="1" t="str">
        <f>LOOKUP(B191, Items!A:A, Items!C:C)</f>
        <v>Dollar Bill</v>
      </c>
    </row>
    <row r="192" ht="15.75" customHeight="1">
      <c r="A192" s="1">
        <v>48.0</v>
      </c>
      <c r="B192" s="1">
        <v>445.0</v>
      </c>
      <c r="D192" s="1" t="str">
        <f>LOOKUP(A192, Combinations!A:A, Combinations!B:B)</f>
        <v>Bling Belt</v>
      </c>
      <c r="E192" s="1" t="str">
        <f>LOOKUP(B192, Items!A:A, Items!C:C)</f>
        <v>Soft Gold Ore</v>
      </c>
    </row>
    <row r="193" ht="15.75" customHeight="1">
      <c r="A193" s="1">
        <v>48.0</v>
      </c>
      <c r="B193" s="1">
        <v>331.0</v>
      </c>
      <c r="D193" s="1" t="str">
        <f>LOOKUP(A193, Combinations!A:A, Combinations!B:B)</f>
        <v>Bling Belt</v>
      </c>
      <c r="E193" s="1" t="str">
        <f>LOOKUP(B193, Items!A:A, Items!C:C)</f>
        <v>Bonfire</v>
      </c>
    </row>
    <row r="194" ht="15.75" customHeight="1">
      <c r="A194" s="1">
        <v>49.0</v>
      </c>
      <c r="B194" s="1">
        <v>20.0</v>
      </c>
      <c r="D194" s="1" t="str">
        <f>LOOKUP(A194, Combinations!A:A, Combinations!B:B)</f>
        <v>Enchanted Gloves</v>
      </c>
      <c r="E194" s="1" t="str">
        <f>LOOKUP(B194, Items!A:A, Items!C:C)</f>
        <v>Pile of Crap</v>
      </c>
    </row>
    <row r="195" ht="15.75" customHeight="1">
      <c r="A195" s="1">
        <v>49.0</v>
      </c>
      <c r="B195" s="1">
        <v>19.0</v>
      </c>
      <c r="D195" s="1" t="str">
        <f>LOOKUP(A195, Combinations!A:A, Combinations!B:B)</f>
        <v>Enchanted Gloves</v>
      </c>
      <c r="E195" s="1" t="str">
        <f>LOOKUP(B195, Items!A:A, Items!C:C)</f>
        <v>Sun Flower</v>
      </c>
    </row>
    <row r="196" ht="15.75" customHeight="1">
      <c r="A196" s="1">
        <v>49.0</v>
      </c>
      <c r="B196" s="1">
        <v>142.0</v>
      </c>
      <c r="D196" s="1" t="str">
        <f>LOOKUP(A196, Combinations!A:A, Combinations!B:B)</f>
        <v>Enchanted Gloves</v>
      </c>
      <c r="E196" s="1" t="str">
        <f>LOOKUP(B196, Items!A:A, Items!C:C)</f>
        <v>Leather Gloves</v>
      </c>
    </row>
    <row r="197" ht="15.75" customHeight="1">
      <c r="A197" s="1">
        <v>49.0</v>
      </c>
      <c r="B197" s="1">
        <v>54.0</v>
      </c>
      <c r="D197" s="1" t="str">
        <f>LOOKUP(A197, Combinations!A:A, Combinations!B:B)</f>
        <v>Enchanted Gloves</v>
      </c>
      <c r="E197" s="1" t="str">
        <f>LOOKUP(B197, Items!A:A, Items!C:C)</f>
        <v>Taco</v>
      </c>
    </row>
    <row r="198" ht="15.75" customHeight="1">
      <c r="A198" s="1">
        <v>49.0</v>
      </c>
      <c r="B198" s="1">
        <v>345.0</v>
      </c>
      <c r="D198" s="1" t="str">
        <f>LOOKUP(A198, Combinations!A:A, Combinations!B:B)</f>
        <v>Enchanted Gloves</v>
      </c>
      <c r="E198" s="1" t="str">
        <f>LOOKUP(B198, Items!A:A, Items!C:C)</f>
        <v>Sharp Scissors</v>
      </c>
    </row>
    <row r="199" ht="15.75" customHeight="1">
      <c r="A199" s="1">
        <v>49.0</v>
      </c>
      <c r="B199" s="1">
        <v>351.0</v>
      </c>
      <c r="D199" s="1" t="str">
        <f>LOOKUP(A199, Combinations!A:A, Combinations!B:B)</f>
        <v>Enchanted Gloves</v>
      </c>
      <c r="E199" s="1" t="str">
        <f>LOOKUP(B199, Items!A:A, Items!C:C)</f>
        <v>Spool of Black Thread</v>
      </c>
    </row>
    <row r="200" ht="15.75" customHeight="1">
      <c r="A200" s="1">
        <v>49.0</v>
      </c>
      <c r="B200" s="1">
        <v>340.0</v>
      </c>
      <c r="D200" s="1" t="str">
        <f>LOOKUP(A200, Combinations!A:A, Combinations!B:B)</f>
        <v>Enchanted Gloves</v>
      </c>
      <c r="E200" s="1" t="str">
        <f>LOOKUP(B200, Items!A:A, Items!C:C)</f>
        <v>Needle</v>
      </c>
    </row>
    <row r="201" ht="15.75" customHeight="1">
      <c r="A201" s="1">
        <v>50.0</v>
      </c>
      <c r="B201" s="1">
        <v>297.0</v>
      </c>
      <c r="D201" s="1" t="str">
        <f>LOOKUP(A201, Combinations!A:A, Combinations!B:B)</f>
        <v>Magus Royal Leggings</v>
      </c>
      <c r="E201" s="1" t="str">
        <f>LOOKUP(B201, Items!A:A, Items!C:C)</f>
        <v>Essence of Earth</v>
      </c>
    </row>
    <row r="202" ht="15.75" customHeight="1">
      <c r="A202" s="1">
        <v>50.0</v>
      </c>
      <c r="B202" s="1">
        <v>490.0</v>
      </c>
      <c r="D202" s="1" t="str">
        <f>LOOKUP(A202, Combinations!A:A, Combinations!B:B)</f>
        <v>Magus Royal Leggings</v>
      </c>
      <c r="E202" s="1" t="str">
        <f>LOOKUP(B202, Items!A:A, Items!C:C)</f>
        <v>Design: Royal Leggings</v>
      </c>
    </row>
    <row r="203" ht="15.75" customHeight="1">
      <c r="A203" s="1">
        <v>50.0</v>
      </c>
      <c r="B203" s="1">
        <v>436.0</v>
      </c>
      <c r="D203" s="1" t="str">
        <f>LOOKUP(A203, Combinations!A:A, Combinations!B:B)</f>
        <v>Magus Royal Leggings</v>
      </c>
      <c r="E203" s="1" t="str">
        <f>LOOKUP(B203, Items!A:A, Items!C:C)</f>
        <v>Priceless Needle</v>
      </c>
    </row>
    <row r="204" ht="15.75" customHeight="1">
      <c r="A204" s="1">
        <v>50.0</v>
      </c>
      <c r="B204" s="1">
        <v>438.0</v>
      </c>
      <c r="D204" s="1" t="str">
        <f>LOOKUP(A204, Combinations!A:A, Combinations!B:B)</f>
        <v>Magus Royal Leggings</v>
      </c>
      <c r="E204" s="1" t="str">
        <f>LOOKUP(B204, Items!A:A, Items!C:C)</f>
        <v>Priceless Thread</v>
      </c>
    </row>
    <row r="205" ht="15.75" customHeight="1">
      <c r="A205" s="1">
        <v>50.0</v>
      </c>
      <c r="B205" s="1">
        <v>437.0</v>
      </c>
      <c r="D205" s="1" t="str">
        <f>LOOKUP(A205, Combinations!A:A, Combinations!B:B)</f>
        <v>Magus Royal Leggings</v>
      </c>
      <c r="E205" s="1" t="str">
        <f>LOOKUP(B205, Items!A:A, Items!C:C)</f>
        <v>Priceless Pattern</v>
      </c>
    </row>
    <row r="206" ht="15.75" customHeight="1">
      <c r="A206" s="1">
        <v>50.0</v>
      </c>
      <c r="B206" s="1">
        <v>58.0</v>
      </c>
      <c r="D206" s="1" t="str">
        <f>LOOKUP(A206, Combinations!A:A, Combinations!B:B)</f>
        <v>Magus Royal Leggings</v>
      </c>
      <c r="E206" s="1" t="str">
        <f>LOOKUP(B206, Items!A:A, Items!C:C)</f>
        <v>Gem of Power</v>
      </c>
    </row>
    <row r="207" ht="15.75" customHeight="1">
      <c r="A207" s="1">
        <v>51.0</v>
      </c>
      <c r="B207" s="1">
        <v>298.0</v>
      </c>
      <c r="D207" s="1" t="str">
        <f>LOOKUP(A207, Combinations!A:A, Combinations!B:B)</f>
        <v>Rogue Royal Legplates</v>
      </c>
      <c r="E207" s="1" t="str">
        <f>LOOKUP(B207, Items!A:A, Items!C:C)</f>
        <v>Essence of Water</v>
      </c>
    </row>
    <row r="208" ht="15.75" customHeight="1">
      <c r="A208" s="1">
        <v>51.0</v>
      </c>
      <c r="B208" s="1">
        <v>491.0</v>
      </c>
      <c r="D208" s="1" t="str">
        <f>LOOKUP(A208, Combinations!A:A, Combinations!B:B)</f>
        <v>Rogue Royal Legplates</v>
      </c>
      <c r="E208" s="1" t="str">
        <f>LOOKUP(B208, Items!A:A, Items!C:C)</f>
        <v>Mold: Royal Legplates</v>
      </c>
    </row>
    <row r="209" ht="15.75" customHeight="1">
      <c r="A209" s="1">
        <v>51.0</v>
      </c>
      <c r="B209" s="1">
        <v>439.0</v>
      </c>
      <c r="D209" s="1" t="str">
        <f>LOOKUP(A209, Combinations!A:A, Combinations!B:B)</f>
        <v>Rogue Royal Legplates</v>
      </c>
      <c r="E209" s="1" t="str">
        <f>LOOKUP(B209, Items!A:A, Items!C:C)</f>
        <v>Priceless Ore</v>
      </c>
    </row>
    <row r="210" ht="15.75" customHeight="1">
      <c r="A210" s="1">
        <v>51.0</v>
      </c>
      <c r="B210" s="1">
        <v>440.0</v>
      </c>
      <c r="D210" s="1" t="str">
        <f>LOOKUP(A210, Combinations!A:A, Combinations!B:B)</f>
        <v>Rogue Royal Legplates</v>
      </c>
      <c r="E210" s="1" t="str">
        <f>LOOKUP(B210, Items!A:A, Items!C:C)</f>
        <v>Priceless Chisel</v>
      </c>
    </row>
    <row r="211" ht="15.75" customHeight="1">
      <c r="A211" s="1">
        <v>51.0</v>
      </c>
      <c r="B211" s="1">
        <v>441.0</v>
      </c>
      <c r="D211" s="1" t="str">
        <f>LOOKUP(A211, Combinations!A:A, Combinations!B:B)</f>
        <v>Rogue Royal Legplates</v>
      </c>
      <c r="E211" s="1" t="str">
        <f>LOOKUP(B211, Items!A:A, Items!C:C)</f>
        <v>Priceless Hammer</v>
      </c>
    </row>
    <row r="212" ht="15.75" customHeight="1">
      <c r="A212" s="1">
        <v>51.0</v>
      </c>
      <c r="B212" s="1">
        <v>58.0</v>
      </c>
      <c r="D212" s="1" t="str">
        <f>LOOKUP(A212, Combinations!A:A, Combinations!B:B)</f>
        <v>Rogue Royal Legplates</v>
      </c>
      <c r="E212" s="1" t="str">
        <f>LOOKUP(B212, Items!A:A, Items!C:C)</f>
        <v>Gem of Power</v>
      </c>
    </row>
    <row r="213" ht="15.75" customHeight="1">
      <c r="A213" s="1">
        <v>52.0</v>
      </c>
      <c r="B213" s="1">
        <v>299.0</v>
      </c>
      <c r="D213" s="1" t="str">
        <f>LOOKUP(A213, Combinations!A:A, Combinations!B:B)</f>
        <v>Warrior Royal Legplates</v>
      </c>
      <c r="E213" s="1" t="str">
        <f>LOOKUP(B213, Items!A:A, Items!C:C)</f>
        <v>Essence of Fire</v>
      </c>
    </row>
    <row r="214" ht="15.75" customHeight="1">
      <c r="A214" s="1">
        <v>52.0</v>
      </c>
      <c r="B214" s="1">
        <v>491.0</v>
      </c>
      <c r="D214" s="1" t="str">
        <f>LOOKUP(A214, Combinations!A:A, Combinations!B:B)</f>
        <v>Warrior Royal Legplates</v>
      </c>
      <c r="E214" s="1" t="str">
        <f>LOOKUP(B214, Items!A:A, Items!C:C)</f>
        <v>Mold: Royal Legplates</v>
      </c>
    </row>
    <row r="215" ht="15.75" customHeight="1">
      <c r="A215" s="1">
        <v>52.0</v>
      </c>
      <c r="B215" s="1">
        <v>439.0</v>
      </c>
      <c r="D215" s="1" t="str">
        <f>LOOKUP(A215, Combinations!A:A, Combinations!B:B)</f>
        <v>Warrior Royal Legplates</v>
      </c>
      <c r="E215" s="1" t="str">
        <f>LOOKUP(B215, Items!A:A, Items!C:C)</f>
        <v>Priceless Ore</v>
      </c>
    </row>
    <row r="216" ht="15.75" customHeight="1">
      <c r="A216" s="1">
        <v>52.0</v>
      </c>
      <c r="B216" s="1">
        <v>440.0</v>
      </c>
      <c r="D216" s="1" t="str">
        <f>LOOKUP(A216, Combinations!A:A, Combinations!B:B)</f>
        <v>Warrior Royal Legplates</v>
      </c>
      <c r="E216" s="1" t="str">
        <f>LOOKUP(B216, Items!A:A, Items!C:C)</f>
        <v>Priceless Chisel</v>
      </c>
    </row>
    <row r="217" ht="15.75" customHeight="1">
      <c r="A217" s="1">
        <v>52.0</v>
      </c>
      <c r="B217" s="1">
        <v>441.0</v>
      </c>
      <c r="D217" s="1" t="str">
        <f>LOOKUP(A217, Combinations!A:A, Combinations!B:B)</f>
        <v>Warrior Royal Legplates</v>
      </c>
      <c r="E217" s="1" t="str">
        <f>LOOKUP(B217, Items!A:A, Items!C:C)</f>
        <v>Priceless Hammer</v>
      </c>
    </row>
    <row r="218" ht="15.75" customHeight="1">
      <c r="A218" s="1">
        <v>52.0</v>
      </c>
      <c r="B218" s="1">
        <v>58.0</v>
      </c>
      <c r="D218" s="1" t="str">
        <f>LOOKUP(A218, Combinations!A:A, Combinations!B:B)</f>
        <v>Warrior Royal Legplates</v>
      </c>
      <c r="E218" s="1" t="str">
        <f>LOOKUP(B218, Items!A:A, Items!C:C)</f>
        <v>Gem of Power</v>
      </c>
    </row>
    <row r="219" ht="15.75" customHeight="1">
      <c r="A219" s="1">
        <v>53.0</v>
      </c>
      <c r="B219" s="1">
        <v>300.0</v>
      </c>
      <c r="D219" s="1" t="str">
        <f>LOOKUP(A219, Combinations!A:A, Combinations!B:B)</f>
        <v>Priest Royal Leggings</v>
      </c>
      <c r="E219" s="1" t="str">
        <f>LOOKUP(B219, Items!A:A, Items!C:C)</f>
        <v>Essence of Air</v>
      </c>
    </row>
    <row r="220" ht="15.75" customHeight="1">
      <c r="A220" s="1">
        <v>53.0</v>
      </c>
      <c r="B220" s="1">
        <v>490.0</v>
      </c>
      <c r="D220" s="1" t="str">
        <f>LOOKUP(A220, Combinations!A:A, Combinations!B:B)</f>
        <v>Priest Royal Leggings</v>
      </c>
      <c r="E220" s="1" t="str">
        <f>LOOKUP(B220, Items!A:A, Items!C:C)</f>
        <v>Design: Royal Leggings</v>
      </c>
    </row>
    <row r="221" ht="15.75" customHeight="1">
      <c r="A221" s="1">
        <v>53.0</v>
      </c>
      <c r="B221" s="1">
        <v>436.0</v>
      </c>
      <c r="D221" s="1" t="str">
        <f>LOOKUP(A221, Combinations!A:A, Combinations!B:B)</f>
        <v>Priest Royal Leggings</v>
      </c>
      <c r="E221" s="1" t="str">
        <f>LOOKUP(B221, Items!A:A, Items!C:C)</f>
        <v>Priceless Needle</v>
      </c>
    </row>
    <row r="222" ht="15.75" customHeight="1">
      <c r="A222" s="1">
        <v>53.0</v>
      </c>
      <c r="B222" s="1">
        <v>438.0</v>
      </c>
      <c r="D222" s="1" t="str">
        <f>LOOKUP(A222, Combinations!A:A, Combinations!B:B)</f>
        <v>Priest Royal Leggings</v>
      </c>
      <c r="E222" s="1" t="str">
        <f>LOOKUP(B222, Items!A:A, Items!C:C)</f>
        <v>Priceless Thread</v>
      </c>
    </row>
    <row r="223" ht="15.75" customHeight="1">
      <c r="A223" s="1">
        <v>53.0</v>
      </c>
      <c r="B223" s="1">
        <v>437.0</v>
      </c>
      <c r="D223" s="1" t="str">
        <f>LOOKUP(A223, Combinations!A:A, Combinations!B:B)</f>
        <v>Priest Royal Leggings</v>
      </c>
      <c r="E223" s="1" t="str">
        <f>LOOKUP(B223, Items!A:A, Items!C:C)</f>
        <v>Priceless Pattern</v>
      </c>
    </row>
    <row r="224" ht="15.75" customHeight="1">
      <c r="A224" s="1">
        <v>53.0</v>
      </c>
      <c r="B224" s="1">
        <v>58.0</v>
      </c>
      <c r="D224" s="1" t="str">
        <f>LOOKUP(A224, Combinations!A:A, Combinations!B:B)</f>
        <v>Priest Royal Leggings</v>
      </c>
      <c r="E224" s="1" t="str">
        <f>LOOKUP(B224, Items!A:A, Items!C:C)</f>
        <v>Gem of Power</v>
      </c>
    </row>
    <row r="225" ht="15.75" customHeight="1">
      <c r="A225" s="1">
        <v>54.0</v>
      </c>
      <c r="B225" s="1">
        <v>297.0</v>
      </c>
      <c r="D225" s="1" t="str">
        <f>LOOKUP(A225, Combinations!A:A, Combinations!B:B)</f>
        <v>Magus Royal Tunic</v>
      </c>
      <c r="E225" s="1" t="str">
        <f>LOOKUP(B225, Items!A:A, Items!C:C)</f>
        <v>Essence of Earth</v>
      </c>
    </row>
    <row r="226" ht="15.75" customHeight="1">
      <c r="A226" s="1">
        <v>54.0</v>
      </c>
      <c r="B226" s="1">
        <v>492.0</v>
      </c>
      <c r="D226" s="1" t="str">
        <f>LOOKUP(A226, Combinations!A:A, Combinations!B:B)</f>
        <v>Magus Royal Tunic</v>
      </c>
      <c r="E226" s="1" t="str">
        <f>LOOKUP(B226, Items!A:A, Items!C:C)</f>
        <v>Design: Royal Tunic</v>
      </c>
    </row>
    <row r="227" ht="15.75" customHeight="1">
      <c r="A227" s="1">
        <v>54.0</v>
      </c>
      <c r="B227" s="1">
        <v>436.0</v>
      </c>
      <c r="D227" s="1" t="str">
        <f>LOOKUP(A227, Combinations!A:A, Combinations!B:B)</f>
        <v>Magus Royal Tunic</v>
      </c>
      <c r="E227" s="1" t="str">
        <f>LOOKUP(B227, Items!A:A, Items!C:C)</f>
        <v>Priceless Needle</v>
      </c>
    </row>
    <row r="228" ht="15.75" customHeight="1">
      <c r="A228" s="1">
        <v>54.0</v>
      </c>
      <c r="B228" s="1">
        <v>438.0</v>
      </c>
      <c r="D228" s="1" t="str">
        <f>LOOKUP(A228, Combinations!A:A, Combinations!B:B)</f>
        <v>Magus Royal Tunic</v>
      </c>
      <c r="E228" s="1" t="str">
        <f>LOOKUP(B228, Items!A:A, Items!C:C)</f>
        <v>Priceless Thread</v>
      </c>
    </row>
    <row r="229" ht="15.75" customHeight="1">
      <c r="A229" s="1">
        <v>54.0</v>
      </c>
      <c r="B229" s="1">
        <v>437.0</v>
      </c>
      <c r="D229" s="1" t="str">
        <f>LOOKUP(A229, Combinations!A:A, Combinations!B:B)</f>
        <v>Magus Royal Tunic</v>
      </c>
      <c r="E229" s="1" t="str">
        <f>LOOKUP(B229, Items!A:A, Items!C:C)</f>
        <v>Priceless Pattern</v>
      </c>
    </row>
    <row r="230" ht="15.75" customHeight="1">
      <c r="A230" s="1">
        <v>54.0</v>
      </c>
      <c r="B230" s="1">
        <v>58.0</v>
      </c>
      <c r="D230" s="1" t="str">
        <f>LOOKUP(A230, Combinations!A:A, Combinations!B:B)</f>
        <v>Magus Royal Tunic</v>
      </c>
      <c r="E230" s="1" t="str">
        <f>LOOKUP(B230, Items!A:A, Items!C:C)</f>
        <v>Gem of Power</v>
      </c>
    </row>
    <row r="231" ht="15.75" customHeight="1">
      <c r="A231" s="1">
        <v>55.0</v>
      </c>
      <c r="B231" s="1">
        <v>298.0</v>
      </c>
      <c r="D231" s="1" t="str">
        <f>LOOKUP(A231, Combinations!A:A, Combinations!B:B)</f>
        <v>Rogue Royal Chestplate</v>
      </c>
      <c r="E231" s="1" t="str">
        <f>LOOKUP(B231, Items!A:A, Items!C:C)</f>
        <v>Essence of Water</v>
      </c>
    </row>
    <row r="232" ht="15.75" customHeight="1">
      <c r="A232" s="1">
        <v>55.0</v>
      </c>
      <c r="B232" s="1">
        <v>493.0</v>
      </c>
      <c r="D232" s="1" t="str">
        <f>LOOKUP(A232, Combinations!A:A, Combinations!B:B)</f>
        <v>Rogue Royal Chestplate</v>
      </c>
      <c r="E232" s="1" t="str">
        <f>LOOKUP(B232, Items!A:A, Items!C:C)</f>
        <v>Mold: Royal Chestplate</v>
      </c>
    </row>
    <row r="233" ht="15.75" customHeight="1">
      <c r="A233" s="1">
        <v>55.0</v>
      </c>
      <c r="B233" s="1">
        <v>439.0</v>
      </c>
      <c r="D233" s="1" t="str">
        <f>LOOKUP(A233, Combinations!A:A, Combinations!B:B)</f>
        <v>Rogue Royal Chestplate</v>
      </c>
      <c r="E233" s="1" t="str">
        <f>LOOKUP(B233, Items!A:A, Items!C:C)</f>
        <v>Priceless Ore</v>
      </c>
    </row>
    <row r="234" ht="15.75" customHeight="1">
      <c r="A234" s="1">
        <v>55.0</v>
      </c>
      <c r="B234" s="1">
        <v>440.0</v>
      </c>
      <c r="D234" s="1" t="str">
        <f>LOOKUP(A234, Combinations!A:A, Combinations!B:B)</f>
        <v>Rogue Royal Chestplate</v>
      </c>
      <c r="E234" s="1" t="str">
        <f>LOOKUP(B234, Items!A:A, Items!C:C)</f>
        <v>Priceless Chisel</v>
      </c>
    </row>
    <row r="235" ht="15.75" customHeight="1">
      <c r="A235" s="1">
        <v>55.0</v>
      </c>
      <c r="B235" s="1">
        <v>441.0</v>
      </c>
      <c r="D235" s="1" t="str">
        <f>LOOKUP(A235, Combinations!A:A, Combinations!B:B)</f>
        <v>Rogue Royal Chestplate</v>
      </c>
      <c r="E235" s="1" t="str">
        <f>LOOKUP(B235, Items!A:A, Items!C:C)</f>
        <v>Priceless Hammer</v>
      </c>
    </row>
    <row r="236" ht="15.75" customHeight="1">
      <c r="A236" s="1">
        <v>55.0</v>
      </c>
      <c r="B236" s="1">
        <v>58.0</v>
      </c>
      <c r="D236" s="1" t="str">
        <f>LOOKUP(A236, Combinations!A:A, Combinations!B:B)</f>
        <v>Rogue Royal Chestplate</v>
      </c>
      <c r="E236" s="1" t="str">
        <f>LOOKUP(B236, Items!A:A, Items!C:C)</f>
        <v>Gem of Power</v>
      </c>
    </row>
    <row r="237" ht="15.75" customHeight="1">
      <c r="A237" s="1">
        <v>56.0</v>
      </c>
      <c r="B237" s="1">
        <v>299.0</v>
      </c>
      <c r="D237" s="1" t="str">
        <f>LOOKUP(A237, Combinations!A:A, Combinations!B:B)</f>
        <v>Warrior Royal Chestplate</v>
      </c>
      <c r="E237" s="1" t="str">
        <f>LOOKUP(B237, Items!A:A, Items!C:C)</f>
        <v>Essence of Fire</v>
      </c>
    </row>
    <row r="238" ht="15.75" customHeight="1">
      <c r="A238" s="1">
        <v>56.0</v>
      </c>
      <c r="B238" s="1">
        <v>493.0</v>
      </c>
      <c r="D238" s="1" t="str">
        <f>LOOKUP(A238, Combinations!A:A, Combinations!B:B)</f>
        <v>Warrior Royal Chestplate</v>
      </c>
      <c r="E238" s="1" t="str">
        <f>LOOKUP(B238, Items!A:A, Items!C:C)</f>
        <v>Mold: Royal Chestplate</v>
      </c>
    </row>
    <row r="239" ht="15.75" customHeight="1">
      <c r="A239" s="1">
        <v>56.0</v>
      </c>
      <c r="B239" s="1">
        <v>439.0</v>
      </c>
      <c r="D239" s="1" t="str">
        <f>LOOKUP(A239, Combinations!A:A, Combinations!B:B)</f>
        <v>Warrior Royal Chestplate</v>
      </c>
      <c r="E239" s="1" t="str">
        <f>LOOKUP(B239, Items!A:A, Items!C:C)</f>
        <v>Priceless Ore</v>
      </c>
    </row>
    <row r="240" ht="15.75" customHeight="1">
      <c r="A240" s="1">
        <v>56.0</v>
      </c>
      <c r="B240" s="1">
        <v>440.0</v>
      </c>
      <c r="D240" s="1" t="str">
        <f>LOOKUP(A240, Combinations!A:A, Combinations!B:B)</f>
        <v>Warrior Royal Chestplate</v>
      </c>
      <c r="E240" s="1" t="str">
        <f>LOOKUP(B240, Items!A:A, Items!C:C)</f>
        <v>Priceless Chisel</v>
      </c>
    </row>
    <row r="241" ht="15.75" customHeight="1">
      <c r="A241" s="1">
        <v>56.0</v>
      </c>
      <c r="B241" s="1">
        <v>441.0</v>
      </c>
      <c r="D241" s="1" t="str">
        <f>LOOKUP(A241, Combinations!A:A, Combinations!B:B)</f>
        <v>Warrior Royal Chestplate</v>
      </c>
      <c r="E241" s="1" t="str">
        <f>LOOKUP(B241, Items!A:A, Items!C:C)</f>
        <v>Priceless Hammer</v>
      </c>
    </row>
    <row r="242" ht="15.75" customHeight="1">
      <c r="A242" s="1">
        <v>56.0</v>
      </c>
      <c r="B242" s="1">
        <v>58.0</v>
      </c>
      <c r="D242" s="1" t="str">
        <f>LOOKUP(A242, Combinations!A:A, Combinations!B:B)</f>
        <v>Warrior Royal Chestplate</v>
      </c>
      <c r="E242" s="1" t="str">
        <f>LOOKUP(B242, Items!A:A, Items!C:C)</f>
        <v>Gem of Power</v>
      </c>
    </row>
    <row r="243" ht="15.75" customHeight="1">
      <c r="A243" s="1">
        <v>57.0</v>
      </c>
      <c r="B243" s="1">
        <v>300.0</v>
      </c>
      <c r="D243" s="1" t="str">
        <f>LOOKUP(A243, Combinations!A:A, Combinations!B:B)</f>
        <v>Priest Royal Tunic</v>
      </c>
      <c r="E243" s="1" t="str">
        <f>LOOKUP(B243, Items!A:A, Items!C:C)</f>
        <v>Essence of Air</v>
      </c>
    </row>
    <row r="244" ht="15.75" customHeight="1">
      <c r="A244" s="1">
        <v>57.0</v>
      </c>
      <c r="B244" s="1">
        <v>492.0</v>
      </c>
      <c r="D244" s="1" t="str">
        <f>LOOKUP(A244, Combinations!A:A, Combinations!B:B)</f>
        <v>Priest Royal Tunic</v>
      </c>
      <c r="E244" s="1" t="str">
        <f>LOOKUP(B244, Items!A:A, Items!C:C)</f>
        <v>Design: Royal Tunic</v>
      </c>
    </row>
    <row r="245" ht="15.75" customHeight="1">
      <c r="A245" s="1">
        <v>57.0</v>
      </c>
      <c r="B245" s="1">
        <v>436.0</v>
      </c>
      <c r="D245" s="1" t="str">
        <f>LOOKUP(A245, Combinations!A:A, Combinations!B:B)</f>
        <v>Priest Royal Tunic</v>
      </c>
      <c r="E245" s="1" t="str">
        <f>LOOKUP(B245, Items!A:A, Items!C:C)</f>
        <v>Priceless Needle</v>
      </c>
    </row>
    <row r="246" ht="15.75" customHeight="1">
      <c r="A246" s="1">
        <v>57.0</v>
      </c>
      <c r="B246" s="1">
        <v>438.0</v>
      </c>
      <c r="D246" s="1" t="str">
        <f>LOOKUP(A246, Combinations!A:A, Combinations!B:B)</f>
        <v>Priest Royal Tunic</v>
      </c>
      <c r="E246" s="1" t="str">
        <f>LOOKUP(B246, Items!A:A, Items!C:C)</f>
        <v>Priceless Thread</v>
      </c>
    </row>
    <row r="247" ht="15.75" customHeight="1">
      <c r="A247" s="1">
        <v>57.0</v>
      </c>
      <c r="B247" s="1">
        <v>437.0</v>
      </c>
      <c r="D247" s="1" t="str">
        <f>LOOKUP(A247, Combinations!A:A, Combinations!B:B)</f>
        <v>Priest Royal Tunic</v>
      </c>
      <c r="E247" s="1" t="str">
        <f>LOOKUP(B247, Items!A:A, Items!C:C)</f>
        <v>Priceless Pattern</v>
      </c>
    </row>
    <row r="248" ht="15.75" customHeight="1">
      <c r="A248" s="1">
        <v>57.0</v>
      </c>
      <c r="B248" s="1">
        <v>58.0</v>
      </c>
      <c r="D248" s="1" t="str">
        <f>LOOKUP(A248, Combinations!A:A, Combinations!B:B)</f>
        <v>Priest Royal Tunic</v>
      </c>
      <c r="E248" s="1" t="str">
        <f>LOOKUP(B248, Items!A:A, Items!C:C)</f>
        <v>Gem of Power</v>
      </c>
    </row>
    <row r="249" ht="15.75" customHeight="1">
      <c r="A249" s="1">
        <v>58.0</v>
      </c>
      <c r="B249" s="1">
        <v>512.0</v>
      </c>
      <c r="D249" s="1" t="str">
        <f>LOOKUP(A249, Combinations!A:A, Combinations!B:B)</f>
        <v>Key to the Ancients Dungeon</v>
      </c>
      <c r="E249" s="1" t="str">
        <f>LOOKUP(B249, Items!A:A, Items!C:C)</f>
        <v>Broken Key</v>
      </c>
    </row>
    <row r="250" ht="15.75" customHeight="1">
      <c r="A250" s="1">
        <v>58.0</v>
      </c>
      <c r="B250" s="1">
        <v>513.0</v>
      </c>
      <c r="D250" s="1" t="str">
        <f>LOOKUP(A250, Combinations!A:A, Combinations!B:B)</f>
        <v>Key to the Ancients Dungeon</v>
      </c>
      <c r="E250" s="1" t="str">
        <f>LOOKUP(B250, Items!A:A, Items!C:C)</f>
        <v>Broken Key</v>
      </c>
    </row>
    <row r="251" ht="15.75" customHeight="1">
      <c r="A251" s="1">
        <v>58.0</v>
      </c>
      <c r="B251" s="1">
        <v>514.0</v>
      </c>
      <c r="D251" s="1" t="str">
        <f>LOOKUP(A251, Combinations!A:A, Combinations!B:B)</f>
        <v>Key to the Ancients Dungeon</v>
      </c>
      <c r="E251" s="1" t="str">
        <f>LOOKUP(B251, Items!A:A, Items!C:C)</f>
        <v>Broken Key</v>
      </c>
    </row>
    <row r="252" ht="15.75" customHeight="1">
      <c r="A252" s="1">
        <v>58.0</v>
      </c>
      <c r="B252" s="1">
        <v>515.0</v>
      </c>
      <c r="D252" s="1" t="str">
        <f>LOOKUP(A252, Combinations!A:A, Combinations!B:B)</f>
        <v>Key to the Ancients Dungeon</v>
      </c>
      <c r="E252" s="1" t="str">
        <f>LOOKUP(B252, Items!A:A, Items!C:C)</f>
        <v>Broken Key</v>
      </c>
    </row>
    <row r="253" ht="15.75" customHeight="1">
      <c r="A253" s="1">
        <v>58.0</v>
      </c>
      <c r="B253" s="1">
        <v>331.0</v>
      </c>
      <c r="D253" s="1" t="str">
        <f>LOOKUP(A253, Combinations!A:A, Combinations!B:B)</f>
        <v>Key to the Ancients Dungeon</v>
      </c>
      <c r="E253" s="1" t="str">
        <f>LOOKUP(B253, Items!A:A, Items!C:C)</f>
        <v>Bonfire</v>
      </c>
    </row>
    <row r="254" ht="15.75" customHeight="1">
      <c r="A254" s="1">
        <v>59.0</v>
      </c>
      <c r="B254" s="1">
        <v>299.0</v>
      </c>
      <c r="D254" s="1" t="str">
        <f>LOOKUP(A254, Combinations!A:A, Combinations!B:B)</f>
        <v>Enchanted Bracelet of Fire</v>
      </c>
      <c r="E254" s="1" t="str">
        <f>LOOKUP(B254, Items!A:A, Items!C:C)</f>
        <v>Essence of Fire</v>
      </c>
    </row>
    <row r="255" ht="15.75" customHeight="1">
      <c r="A255" s="1">
        <v>59.0</v>
      </c>
      <c r="B255" s="1">
        <v>304.0</v>
      </c>
      <c r="D255" s="1" t="str">
        <f>LOOKUP(A255, Combinations!A:A, Combinations!B:B)</f>
        <v>Enchanted Bracelet of Fire</v>
      </c>
      <c r="E255" s="1" t="str">
        <f>LOOKUP(B255, Items!A:A, Items!C:C)</f>
        <v>Bracelet of Fire</v>
      </c>
    </row>
    <row r="256" ht="15.75" customHeight="1">
      <c r="A256" s="1">
        <v>59.0</v>
      </c>
      <c r="B256" s="1">
        <v>585.0</v>
      </c>
      <c r="D256" s="1" t="str">
        <f>LOOKUP(A256, Combinations!A:A, Combinations!B:B)</f>
        <v>Enchanted Bracelet of Fire</v>
      </c>
      <c r="E256" s="1" t="str">
        <f>LOOKUP(B256, Items!A:A, Items!C:C)</f>
        <v>Howto: Bracelet Enchantment</v>
      </c>
    </row>
    <row r="257" ht="15.75" customHeight="1">
      <c r="A257" s="1">
        <v>60.0</v>
      </c>
      <c r="B257" s="1">
        <v>297.0</v>
      </c>
      <c r="D257" s="1" t="str">
        <f>LOOKUP(A257, Combinations!A:A, Combinations!B:B)</f>
        <v>Enchanted Bracelet of Earth</v>
      </c>
      <c r="E257" s="1" t="str">
        <f>LOOKUP(B257, Items!A:A, Items!C:C)</f>
        <v>Essence of Earth</v>
      </c>
    </row>
    <row r="258" ht="15.75" customHeight="1">
      <c r="A258" s="1">
        <v>60.0</v>
      </c>
      <c r="B258" s="1">
        <v>305.0</v>
      </c>
      <c r="D258" s="1" t="str">
        <f>LOOKUP(A258, Combinations!A:A, Combinations!B:B)</f>
        <v>Enchanted Bracelet of Earth</v>
      </c>
      <c r="E258" s="1" t="str">
        <f>LOOKUP(B258, Items!A:A, Items!C:C)</f>
        <v>Bracelet of Earth</v>
      </c>
    </row>
    <row r="259" ht="15.75" customHeight="1">
      <c r="A259" s="1">
        <v>60.0</v>
      </c>
      <c r="B259" s="1">
        <v>585.0</v>
      </c>
      <c r="D259" s="1" t="str">
        <f>LOOKUP(A259, Combinations!A:A, Combinations!B:B)</f>
        <v>Enchanted Bracelet of Earth</v>
      </c>
      <c r="E259" s="1" t="str">
        <f>LOOKUP(B259, Items!A:A, Items!C:C)</f>
        <v>Howto: Bracelet Enchantment</v>
      </c>
    </row>
    <row r="260" ht="15.75" customHeight="1">
      <c r="A260" s="1">
        <v>61.0</v>
      </c>
      <c r="B260" s="1">
        <v>300.0</v>
      </c>
      <c r="D260" s="1" t="str">
        <f>LOOKUP(A260, Combinations!A:A, Combinations!B:B)</f>
        <v>Enchanted Bracelet of Air</v>
      </c>
      <c r="E260" s="1" t="str">
        <f>LOOKUP(B260, Items!A:A, Items!C:C)</f>
        <v>Essence of Air</v>
      </c>
    </row>
    <row r="261" ht="15.75" customHeight="1">
      <c r="A261" s="1">
        <v>61.0</v>
      </c>
      <c r="B261" s="1">
        <v>306.0</v>
      </c>
      <c r="D261" s="1" t="str">
        <f>LOOKUP(A261, Combinations!A:A, Combinations!B:B)</f>
        <v>Enchanted Bracelet of Air</v>
      </c>
      <c r="E261" s="1" t="str">
        <f>LOOKUP(B261, Items!A:A, Items!C:C)</f>
        <v>Bracelet of Air</v>
      </c>
    </row>
    <row r="262" ht="15.75" customHeight="1">
      <c r="A262" s="1">
        <v>61.0</v>
      </c>
      <c r="B262" s="1">
        <v>585.0</v>
      </c>
      <c r="D262" s="1" t="str">
        <f>LOOKUP(A262, Combinations!A:A, Combinations!B:B)</f>
        <v>Enchanted Bracelet of Air</v>
      </c>
      <c r="E262" s="1" t="str">
        <f>LOOKUP(B262, Items!A:A, Items!C:C)</f>
        <v>Howto: Bracelet Enchantment</v>
      </c>
    </row>
    <row r="263" ht="15.75" customHeight="1">
      <c r="A263" s="1">
        <v>62.0</v>
      </c>
      <c r="B263" s="1">
        <v>298.0</v>
      </c>
      <c r="D263" s="1" t="str">
        <f>LOOKUP(A263, Combinations!A:A, Combinations!B:B)</f>
        <v>Enchanted Bracelet of Water</v>
      </c>
      <c r="E263" s="1" t="str">
        <f>LOOKUP(B263, Items!A:A, Items!C:C)</f>
        <v>Essence of Water</v>
      </c>
    </row>
    <row r="264" ht="15.75" customHeight="1">
      <c r="A264" s="1">
        <v>62.0</v>
      </c>
      <c r="B264" s="1">
        <v>307.0</v>
      </c>
      <c r="D264" s="1" t="str">
        <f>LOOKUP(A264, Combinations!A:A, Combinations!B:B)</f>
        <v>Enchanted Bracelet of Water</v>
      </c>
      <c r="E264" s="1" t="str">
        <f>LOOKUP(B264, Items!A:A, Items!C:C)</f>
        <v>Bracelet of Water</v>
      </c>
    </row>
    <row r="265" ht="15.75" customHeight="1">
      <c r="A265" s="1">
        <v>62.0</v>
      </c>
      <c r="B265" s="1">
        <v>585.0</v>
      </c>
      <c r="D265" s="1" t="str">
        <f>LOOKUP(A265, Combinations!A:A, Combinations!B:B)</f>
        <v>Enchanted Bracelet of Water</v>
      </c>
      <c r="E265" s="1" t="str">
        <f>LOOKUP(B265, Items!A:A, Items!C:C)</f>
        <v>Howto: Bracelet Enchantment</v>
      </c>
    </row>
    <row r="266" ht="15.75" customHeight="1">
      <c r="A266" s="1">
        <v>63.0</v>
      </c>
      <c r="B266" s="1">
        <v>58.0</v>
      </c>
      <c r="D266" s="1" t="str">
        <f>LOOKUP(A266, Combinations!A:A, Combinations!B:B)</f>
        <v>Enchanted Bracelet of Spirit</v>
      </c>
      <c r="E266" s="1" t="str">
        <f>LOOKUP(B266, Items!A:A, Items!C:C)</f>
        <v>Gem of Power</v>
      </c>
    </row>
    <row r="267" ht="15.75" customHeight="1">
      <c r="A267" s="1">
        <v>63.0</v>
      </c>
      <c r="B267" s="1">
        <v>308.0</v>
      </c>
      <c r="D267" s="1" t="str">
        <f>LOOKUP(A267, Combinations!A:A, Combinations!B:B)</f>
        <v>Enchanted Bracelet of Spirit</v>
      </c>
      <c r="E267" s="1" t="str">
        <f>LOOKUP(B267, Items!A:A, Items!C:C)</f>
        <v>Bracelet of Spirit</v>
      </c>
    </row>
    <row r="268" ht="15.75" customHeight="1">
      <c r="A268" s="1">
        <v>63.0</v>
      </c>
      <c r="B268" s="1">
        <v>585.0</v>
      </c>
      <c r="D268" s="1" t="str">
        <f>LOOKUP(A268, Combinations!A:A, Combinations!B:B)</f>
        <v>Enchanted Bracelet of Spirit</v>
      </c>
      <c r="E268" s="1" t="str">
        <f>LOOKUP(B268, Items!A:A, Items!C:C)</f>
        <v>Howto: Bracelet Enchantment</v>
      </c>
    </row>
    <row r="269" ht="15.75" customHeight="1">
      <c r="A269" s="1">
        <v>64.0</v>
      </c>
      <c r="B269" s="1">
        <v>58.0</v>
      </c>
      <c r="D269" s="1" t="str">
        <f>LOOKUP(A269, Combinations!A:A, Combinations!B:B)</f>
        <v>Rogue Enchanted Divine Helm</v>
      </c>
      <c r="E269" s="1" t="str">
        <f>LOOKUP(B269, Items!A:A, Items!C:C)</f>
        <v>Gem of Power</v>
      </c>
    </row>
    <row r="270" ht="15.75" customHeight="1">
      <c r="A270" s="1">
        <v>64.0</v>
      </c>
      <c r="B270" s="1">
        <v>298.0</v>
      </c>
      <c r="D270" s="1" t="str">
        <f>LOOKUP(A270, Combinations!A:A, Combinations!B:B)</f>
        <v>Rogue Enchanted Divine Helm</v>
      </c>
      <c r="E270" s="1" t="str">
        <f>LOOKUP(B270, Items!A:A, Items!C:C)</f>
        <v>Essence of Water</v>
      </c>
    </row>
    <row r="271" ht="15.75" customHeight="1">
      <c r="A271" s="1">
        <v>64.0</v>
      </c>
      <c r="B271" s="1">
        <v>405.0</v>
      </c>
      <c r="D271" s="1" t="str">
        <f>LOOKUP(A271, Combinations!A:A, Combinations!B:B)</f>
        <v>Rogue Enchanted Divine Helm</v>
      </c>
      <c r="E271" s="1" t="str">
        <f>LOOKUP(B271, Items!A:A, Items!C:C)</f>
        <v>Divine Helm</v>
      </c>
    </row>
    <row r="272" ht="15.75" customHeight="1">
      <c r="A272" s="1">
        <v>64.0</v>
      </c>
      <c r="B272" s="1">
        <v>591.0</v>
      </c>
      <c r="D272" s="1" t="str">
        <f>LOOKUP(A272, Combinations!A:A, Combinations!B:B)</f>
        <v>Rogue Enchanted Divine Helm</v>
      </c>
      <c r="E272" s="1" t="str">
        <f>LOOKUP(B272, Items!A:A, Items!C:C)</f>
        <v>Howto: Helm Enchantment</v>
      </c>
    </row>
    <row r="273" ht="15.75" customHeight="1">
      <c r="A273" s="1">
        <v>65.0</v>
      </c>
      <c r="B273" s="1">
        <v>58.0</v>
      </c>
      <c r="D273" s="1" t="str">
        <f>LOOKUP(A273, Combinations!A:A, Combinations!B:B)</f>
        <v>Warrior Enchanted Divine Helm</v>
      </c>
      <c r="E273" s="1" t="str">
        <f>LOOKUP(B273, Items!A:A, Items!C:C)</f>
        <v>Gem of Power</v>
      </c>
    </row>
    <row r="274" ht="15.75" customHeight="1">
      <c r="A274" s="1">
        <v>65.0</v>
      </c>
      <c r="B274" s="1">
        <v>299.0</v>
      </c>
      <c r="D274" s="1" t="str">
        <f>LOOKUP(A274, Combinations!A:A, Combinations!B:B)</f>
        <v>Warrior Enchanted Divine Helm</v>
      </c>
      <c r="E274" s="1" t="str">
        <f>LOOKUP(B274, Items!A:A, Items!C:C)</f>
        <v>Essence of Fire</v>
      </c>
    </row>
    <row r="275" ht="15.75" customHeight="1">
      <c r="A275" s="1">
        <v>65.0</v>
      </c>
      <c r="B275" s="1">
        <v>406.0</v>
      </c>
      <c r="D275" s="1" t="str">
        <f>LOOKUP(A275, Combinations!A:A, Combinations!B:B)</f>
        <v>Warrior Enchanted Divine Helm</v>
      </c>
      <c r="E275" s="1" t="str">
        <f>LOOKUP(B275, Items!A:A, Items!C:C)</f>
        <v>Divine Helm</v>
      </c>
    </row>
    <row r="276" ht="15.75" customHeight="1">
      <c r="A276" s="1">
        <v>65.0</v>
      </c>
      <c r="B276" s="1">
        <v>591.0</v>
      </c>
      <c r="D276" s="1" t="str">
        <f>LOOKUP(A276, Combinations!A:A, Combinations!B:B)</f>
        <v>Warrior Enchanted Divine Helm</v>
      </c>
      <c r="E276" s="1" t="str">
        <f>LOOKUP(B276, Items!A:A, Items!C:C)</f>
        <v>Howto: Helm Enchantment</v>
      </c>
    </row>
    <row r="277" ht="15.75" customHeight="1">
      <c r="A277" s="1">
        <v>66.0</v>
      </c>
      <c r="B277" s="1">
        <v>58.0</v>
      </c>
      <c r="D277" s="1" t="str">
        <f>LOOKUP(A277, Combinations!A:A, Combinations!B:B)</f>
        <v>Magus Enchanted Divine Crown</v>
      </c>
      <c r="E277" s="1" t="str">
        <f>LOOKUP(B277, Items!A:A, Items!C:C)</f>
        <v>Gem of Power</v>
      </c>
    </row>
    <row r="278" ht="15.75" customHeight="1">
      <c r="A278" s="1">
        <v>66.0</v>
      </c>
      <c r="B278" s="1">
        <v>297.0</v>
      </c>
      <c r="D278" s="1" t="str">
        <f>LOOKUP(A278, Combinations!A:A, Combinations!B:B)</f>
        <v>Magus Enchanted Divine Crown</v>
      </c>
      <c r="E278" s="1" t="str">
        <f>LOOKUP(B278, Items!A:A, Items!C:C)</f>
        <v>Essence of Earth</v>
      </c>
    </row>
    <row r="279" ht="15.75" customHeight="1">
      <c r="A279" s="1">
        <v>66.0</v>
      </c>
      <c r="B279" s="1">
        <v>407.0</v>
      </c>
      <c r="D279" s="1" t="str">
        <f>LOOKUP(A279, Combinations!A:A, Combinations!B:B)</f>
        <v>Magus Enchanted Divine Crown</v>
      </c>
      <c r="E279" s="1" t="str">
        <f>LOOKUP(B279, Items!A:A, Items!C:C)</f>
        <v>Divine Crown</v>
      </c>
    </row>
    <row r="280" ht="15.75" customHeight="1">
      <c r="A280" s="1">
        <v>66.0</v>
      </c>
      <c r="B280" s="1">
        <v>591.0</v>
      </c>
      <c r="D280" s="1" t="str">
        <f>LOOKUP(A280, Combinations!A:A, Combinations!B:B)</f>
        <v>Magus Enchanted Divine Crown</v>
      </c>
      <c r="E280" s="1" t="str">
        <f>LOOKUP(B280, Items!A:A, Items!C:C)</f>
        <v>Howto: Helm Enchantment</v>
      </c>
    </row>
    <row r="281" ht="15.75" customHeight="1">
      <c r="A281" s="1">
        <v>67.0</v>
      </c>
      <c r="B281" s="1">
        <v>58.0</v>
      </c>
      <c r="D281" s="1" t="str">
        <f>LOOKUP(A281, Combinations!A:A, Combinations!B:B)</f>
        <v>Priest Enchanted Divine Crown</v>
      </c>
      <c r="E281" s="1" t="str">
        <f>LOOKUP(B281, Items!A:A, Items!C:C)</f>
        <v>Gem of Power</v>
      </c>
    </row>
    <row r="282" ht="15.75" customHeight="1">
      <c r="A282" s="1">
        <v>67.0</v>
      </c>
      <c r="B282" s="1">
        <v>300.0</v>
      </c>
      <c r="D282" s="1" t="str">
        <f>LOOKUP(A282, Combinations!A:A, Combinations!B:B)</f>
        <v>Priest Enchanted Divine Crown</v>
      </c>
      <c r="E282" s="1" t="str">
        <f>LOOKUP(B282, Items!A:A, Items!C:C)</f>
        <v>Essence of Air</v>
      </c>
    </row>
    <row r="283" ht="15.75" customHeight="1">
      <c r="A283" s="1">
        <v>67.0</v>
      </c>
      <c r="B283" s="1">
        <v>408.0</v>
      </c>
      <c r="D283" s="1" t="str">
        <f>LOOKUP(A283, Combinations!A:A, Combinations!B:B)</f>
        <v>Priest Enchanted Divine Crown</v>
      </c>
      <c r="E283" s="1" t="str">
        <f>LOOKUP(B283, Items!A:A, Items!C:C)</f>
        <v>Divine Crown</v>
      </c>
    </row>
    <row r="284" ht="15.75" customHeight="1">
      <c r="A284" s="1">
        <v>67.0</v>
      </c>
      <c r="B284" s="1">
        <v>591.0</v>
      </c>
      <c r="D284" s="1" t="str">
        <f>LOOKUP(A284, Combinations!A:A, Combinations!B:B)</f>
        <v>Priest Enchanted Divine Crown</v>
      </c>
      <c r="E284" s="1" t="str">
        <f>LOOKUP(B284, Items!A:A, Items!C:C)</f>
        <v>Howto: Helm Enchantment</v>
      </c>
    </row>
    <row r="285" ht="15.75" customHeight="1">
      <c r="A285" s="1">
        <v>68.0</v>
      </c>
      <c r="B285" s="1">
        <v>621.0</v>
      </c>
      <c r="D285" s="1" t="str">
        <f>LOOKUP(A285, Combinations!A:A, Combinations!B:B)</f>
        <v>HP Regeneration Potion</v>
      </c>
      <c r="E285" s="1" t="str">
        <f>LOOKUP(B285, Items!A:A, Items!C:C)</f>
        <v>Empty Bottle</v>
      </c>
    </row>
    <row r="286" ht="15.75" customHeight="1">
      <c r="A286" s="1">
        <v>68.0</v>
      </c>
      <c r="B286" s="1">
        <v>489.0</v>
      </c>
      <c r="D286" s="1" t="str">
        <f>LOOKUP(A286, Combinations!A:A, Combinations!B:B)</f>
        <v>HP Regeneration Potion</v>
      </c>
      <c r="E286" s="1" t="str">
        <f>LOOKUP(B286, Items!A:A, Items!C:C)</f>
        <v>Potion of Restoration</v>
      </c>
    </row>
    <row r="287" ht="15.75" customHeight="1">
      <c r="A287" s="1">
        <v>68.0</v>
      </c>
      <c r="B287" s="1">
        <v>623.0</v>
      </c>
      <c r="D287" s="1" t="str">
        <f>LOOKUP(A287, Combinations!A:A, Combinations!B:B)</f>
        <v>HP Regeneration Potion</v>
      </c>
      <c r="E287" s="1" t="str">
        <f>LOOKUP(B287, Items!A:A, Items!C:C)</f>
        <v>Red Droplet</v>
      </c>
    </row>
    <row r="288" ht="15.75" customHeight="1">
      <c r="A288" s="1">
        <v>69.0</v>
      </c>
      <c r="B288" s="1">
        <v>621.0</v>
      </c>
      <c r="D288" s="1" t="str">
        <f>LOOKUP(A288, Combinations!A:A, Combinations!B:B)</f>
        <v>MP Regeneration Potion</v>
      </c>
      <c r="E288" s="1" t="str">
        <f>LOOKUP(B288, Items!A:A, Items!C:C)</f>
        <v>Empty Bottle</v>
      </c>
    </row>
    <row r="289" ht="15.75" customHeight="1">
      <c r="A289" s="1">
        <v>69.0</v>
      </c>
      <c r="B289" s="1">
        <v>489.0</v>
      </c>
      <c r="D289" s="1" t="str">
        <f>LOOKUP(A289, Combinations!A:A, Combinations!B:B)</f>
        <v>MP Regeneration Potion</v>
      </c>
      <c r="E289" s="1" t="str">
        <f>LOOKUP(B289, Items!A:A, Items!C:C)</f>
        <v>Potion of Restoration</v>
      </c>
    </row>
    <row r="290" ht="15.75" customHeight="1">
      <c r="A290" s="1">
        <v>69.0</v>
      </c>
      <c r="B290" s="1">
        <v>624.0</v>
      </c>
      <c r="D290" s="1" t="str">
        <f>LOOKUP(A290, Combinations!A:A, Combinations!B:B)</f>
        <v>MP Regeneration Potion</v>
      </c>
      <c r="E290" s="1" t="str">
        <f>LOOKUP(B290, Items!A:A, Items!C:C)</f>
        <v>Blue Droplet</v>
      </c>
    </row>
    <row r="291" ht="15.75" customHeight="1">
      <c r="A291" s="1">
        <v>70.0</v>
      </c>
      <c r="B291" s="1">
        <v>621.0</v>
      </c>
      <c r="D291" s="1" t="str">
        <f>LOOKUP(A291, Combinations!A:A, Combinations!B:B)</f>
        <v>Haste Potion</v>
      </c>
      <c r="E291" s="1" t="str">
        <f>LOOKUP(B291, Items!A:A, Items!C:C)</f>
        <v>Empty Bottle</v>
      </c>
    </row>
    <row r="292" ht="15.75" customHeight="1">
      <c r="A292" s="1">
        <v>70.0</v>
      </c>
      <c r="B292" s="1">
        <v>489.0</v>
      </c>
      <c r="D292" s="1" t="str">
        <f>LOOKUP(A292, Combinations!A:A, Combinations!B:B)</f>
        <v>Haste Potion</v>
      </c>
      <c r="E292" s="1" t="str">
        <f>LOOKUP(B292, Items!A:A, Items!C:C)</f>
        <v>Potion of Restoration</v>
      </c>
    </row>
    <row r="293" ht="15.75" customHeight="1">
      <c r="A293" s="1">
        <v>70.0</v>
      </c>
      <c r="B293" s="1">
        <v>625.0</v>
      </c>
      <c r="D293" s="1" t="str">
        <f>LOOKUP(A293, Combinations!A:A, Combinations!B:B)</f>
        <v>Haste Potion</v>
      </c>
      <c r="E293" s="1" t="str">
        <f>LOOKUP(B293, Items!A:A, Items!C:C)</f>
        <v>Purple Droplet</v>
      </c>
    </row>
    <row r="294" ht="15.75" customHeight="1">
      <c r="A294" s="1">
        <v>71.0</v>
      </c>
      <c r="B294" s="1">
        <v>621.0</v>
      </c>
      <c r="D294" s="1" t="str">
        <f>LOOKUP(A294, Combinations!A:A, Combinations!B:B)</f>
        <v>Spell Damage Potion</v>
      </c>
      <c r="E294" s="1" t="str">
        <f>LOOKUP(B294, Items!A:A, Items!C:C)</f>
        <v>Empty Bottle</v>
      </c>
    </row>
    <row r="295" ht="15.75" customHeight="1">
      <c r="A295" s="1">
        <v>71.0</v>
      </c>
      <c r="B295" s="1">
        <v>489.0</v>
      </c>
      <c r="D295" s="1" t="str">
        <f>LOOKUP(A295, Combinations!A:A, Combinations!B:B)</f>
        <v>Spell Damage Potion</v>
      </c>
      <c r="E295" s="1" t="str">
        <f>LOOKUP(B295, Items!A:A, Items!C:C)</f>
        <v>Potion of Restoration</v>
      </c>
    </row>
    <row r="296" ht="15.75" customHeight="1">
      <c r="A296" s="1">
        <v>71.0</v>
      </c>
      <c r="B296" s="1">
        <v>622.0</v>
      </c>
      <c r="D296" s="1" t="str">
        <f>LOOKUP(A296, Combinations!A:A, Combinations!B:B)</f>
        <v>Spell Damage Potion</v>
      </c>
      <c r="E296" s="1" t="str">
        <f>LOOKUP(B296, Items!A:A, Items!C:C)</f>
        <v>Magical Liquid</v>
      </c>
    </row>
    <row r="297" ht="15.75" customHeight="1">
      <c r="A297" s="1">
        <v>71.0</v>
      </c>
      <c r="B297" s="1">
        <v>626.0</v>
      </c>
      <c r="D297" s="1" t="str">
        <f>LOOKUP(A297, Combinations!A:A, Combinations!B:B)</f>
        <v>Spell Damage Potion</v>
      </c>
      <c r="E297" s="1" t="str">
        <f>LOOKUP(B297, Items!A:A, Items!C:C)</f>
        <v>Green Droplet</v>
      </c>
    </row>
    <row r="298" ht="15.75" customHeight="1">
      <c r="A298" s="1">
        <v>72.0</v>
      </c>
      <c r="B298" s="1">
        <v>621.0</v>
      </c>
      <c r="D298" s="1" t="str">
        <f>LOOKUP(A298, Combinations!A:A, Combinations!B:B)</f>
        <v>Spell Critical Potion</v>
      </c>
      <c r="E298" s="1" t="str">
        <f>LOOKUP(B298, Items!A:A, Items!C:C)</f>
        <v>Empty Bottle</v>
      </c>
    </row>
    <row r="299" ht="15.75" customHeight="1">
      <c r="A299" s="1">
        <v>72.0</v>
      </c>
      <c r="B299" s="1">
        <v>489.0</v>
      </c>
      <c r="D299" s="1" t="str">
        <f>LOOKUP(A299, Combinations!A:A, Combinations!B:B)</f>
        <v>Spell Critical Potion</v>
      </c>
      <c r="E299" s="1" t="str">
        <f>LOOKUP(B299, Items!A:A, Items!C:C)</f>
        <v>Potion of Restoration</v>
      </c>
    </row>
    <row r="300" ht="15.75" customHeight="1">
      <c r="A300" s="1">
        <v>72.0</v>
      </c>
      <c r="B300" s="1">
        <v>622.0</v>
      </c>
      <c r="D300" s="1" t="str">
        <f>LOOKUP(A300, Combinations!A:A, Combinations!B:B)</f>
        <v>Spell Critical Potion</v>
      </c>
      <c r="E300" s="1" t="str">
        <f>LOOKUP(B300, Items!A:A, Items!C:C)</f>
        <v>Magical Liquid</v>
      </c>
    </row>
    <row r="301" ht="15.75" customHeight="1">
      <c r="A301" s="1">
        <v>72.0</v>
      </c>
      <c r="B301" s="1">
        <v>627.0</v>
      </c>
      <c r="D301" s="1" t="str">
        <f>LOOKUP(A301, Combinations!A:A, Combinations!B:B)</f>
        <v>Spell Critical Potion</v>
      </c>
      <c r="E301" s="1" t="str">
        <f>LOOKUP(B301, Items!A:A, Items!C:C)</f>
        <v>Orange Droplet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1554</v>
      </c>
      <c r="B1" s="1" t="s">
        <v>1551</v>
      </c>
      <c r="D1" s="1" t="s">
        <v>1552</v>
      </c>
      <c r="E1" s="1" t="s">
        <v>1553</v>
      </c>
    </row>
    <row r="2">
      <c r="A2" s="1">
        <v>1.0</v>
      </c>
      <c r="B2" s="1">
        <v>449.0</v>
      </c>
      <c r="D2" s="1" t="str">
        <f>LOOKUP(A2, Combinations!A:A, Combinations!B:B)</f>
        <v>Cloth</v>
      </c>
      <c r="E2" s="1" t="str">
        <f>LOOKUP(B2, Items!A:A, Items!C:C)</f>
        <v>Cloth</v>
      </c>
    </row>
    <row r="3">
      <c r="A3" s="1">
        <v>2.0</v>
      </c>
      <c r="B3" s="1">
        <v>449.0</v>
      </c>
      <c r="D3" s="1" t="str">
        <f>LOOKUP(A3, Combinations!A:A, Combinations!B:B)</f>
        <v>Cloth</v>
      </c>
      <c r="E3" s="1" t="str">
        <f>LOOKUP(B3, Items!A:A, Items!C:C)</f>
        <v>Cloth</v>
      </c>
    </row>
    <row r="4">
      <c r="A4" s="1">
        <v>3.0</v>
      </c>
      <c r="B4" s="1">
        <v>449.0</v>
      </c>
      <c r="D4" s="1" t="str">
        <f>LOOKUP(A4, Combinations!A:A, Combinations!B:B)</f>
        <v>Cloth</v>
      </c>
      <c r="E4" s="1" t="str">
        <f>LOOKUP(B4, Items!A:A, Items!C:C)</f>
        <v>Cloth</v>
      </c>
    </row>
    <row r="5">
      <c r="A5" s="1">
        <v>4.0</v>
      </c>
      <c r="B5" s="1">
        <v>449.0</v>
      </c>
      <c r="D5" s="1" t="str">
        <f>LOOKUP(A5, Combinations!A:A, Combinations!B:B)</f>
        <v>Cloth</v>
      </c>
      <c r="E5" s="1" t="str">
        <f>LOOKUP(B5, Items!A:A, Items!C:C)</f>
        <v>Cloth</v>
      </c>
    </row>
    <row r="6">
      <c r="A6" s="1">
        <v>5.0</v>
      </c>
      <c r="B6" s="1">
        <v>449.0</v>
      </c>
      <c r="D6" s="1" t="str">
        <f>LOOKUP(A6, Combinations!A:A, Combinations!B:B)</f>
        <v>Cloth</v>
      </c>
      <c r="E6" s="1" t="str">
        <f>LOOKUP(B6, Items!A:A, Items!C:C)</f>
        <v>Cloth</v>
      </c>
    </row>
    <row r="7">
      <c r="A7" s="1">
        <v>6.0</v>
      </c>
      <c r="B7" s="1">
        <v>449.0</v>
      </c>
      <c r="D7" s="1" t="str">
        <f>LOOKUP(A7, Combinations!A:A, Combinations!B:B)</f>
        <v>Cloth</v>
      </c>
      <c r="E7" s="1" t="str">
        <f>LOOKUP(B7, Items!A:A, Items!C:C)</f>
        <v>Cloth</v>
      </c>
    </row>
    <row r="8">
      <c r="A8" s="1">
        <v>7.0</v>
      </c>
      <c r="B8" s="1">
        <v>450.0</v>
      </c>
      <c r="D8" s="1" t="str">
        <f>LOOKUP(A8, Combinations!A:A, Combinations!B:B)</f>
        <v>Cloth Shirt</v>
      </c>
      <c r="E8" s="1" t="str">
        <f>LOOKUP(B8, Items!A:A, Items!C:C)</f>
        <v>Cloth Shirt</v>
      </c>
    </row>
    <row r="9">
      <c r="A9" s="1">
        <v>8.0</v>
      </c>
      <c r="B9" s="1">
        <v>451.0</v>
      </c>
      <c r="D9" s="1" t="str">
        <f>LOOKUP(A9, Combinations!A:A, Combinations!B:B)</f>
        <v>Practice Katana</v>
      </c>
      <c r="E9" s="1" t="str">
        <f>LOOKUP(B9, Items!A:A, Items!C:C)</f>
        <v>Practice Katana</v>
      </c>
    </row>
    <row r="10">
      <c r="A10" s="1">
        <v>9.0</v>
      </c>
      <c r="B10" s="1">
        <v>452.0</v>
      </c>
      <c r="D10" s="1" t="str">
        <f>LOOKUP(A10, Combinations!A:A, Combinations!B:B)</f>
        <v>Soft Belt</v>
      </c>
      <c r="E10" s="1" t="str">
        <f>LOOKUP(B10, Items!A:A, Items!C:C)</f>
        <v>Soft Belt</v>
      </c>
    </row>
    <row r="11">
      <c r="A11" s="1">
        <v>10.0</v>
      </c>
      <c r="B11" s="1">
        <v>453.0</v>
      </c>
      <c r="D11" s="1" t="str">
        <f>LOOKUP(A11, Combinations!A:A, Combinations!B:B)</f>
        <v>Cat Ears</v>
      </c>
      <c r="E11" s="1" t="str">
        <f>LOOKUP(B11, Items!A:A, Items!C:C)</f>
        <v>Cat Ears</v>
      </c>
    </row>
    <row r="12">
      <c r="A12" s="1">
        <v>11.0</v>
      </c>
      <c r="B12" s="1">
        <v>454.0</v>
      </c>
      <c r="D12" s="1" t="str">
        <f>LOOKUP(A12, Combinations!A:A, Combinations!B:B)</f>
        <v>Black Cat Ears</v>
      </c>
      <c r="E12" s="1" t="str">
        <f>LOOKUP(B12, Items!A:A, Items!C:C)</f>
        <v>Black Cat Ears</v>
      </c>
    </row>
    <row r="13">
      <c r="A13" s="1">
        <v>12.0</v>
      </c>
      <c r="B13" s="1">
        <v>331.0</v>
      </c>
      <c r="D13" s="1" t="str">
        <f>LOOKUP(A13, Combinations!A:A, Combinations!B:B)</f>
        <v>Bonfire</v>
      </c>
      <c r="E13" s="1" t="str">
        <f>LOOKUP(B13, Items!A:A, Items!C:C)</f>
        <v>Bonfire</v>
      </c>
    </row>
    <row r="14">
      <c r="A14" s="1">
        <v>13.0</v>
      </c>
      <c r="B14" s="1">
        <v>363.0</v>
      </c>
      <c r="D14" s="1" t="str">
        <f>LOOKUP(A14, Combinations!A:A, Combinations!B:B)</f>
        <v>Low Quality Walde</v>
      </c>
      <c r="E14" s="1" t="str">
        <f>LOOKUP(B14, Items!A:A, Items!C:C)</f>
        <v>Low Quality Walde</v>
      </c>
    </row>
    <row r="15">
      <c r="A15" s="1">
        <v>14.0</v>
      </c>
      <c r="B15" s="1">
        <v>362.0</v>
      </c>
      <c r="D15" s="1" t="str">
        <f>LOOKUP(A15, Combinations!A:A, Combinations!B:B)</f>
        <v>Medium Quality Walde</v>
      </c>
      <c r="E15" s="1" t="str">
        <f>LOOKUP(B15, Items!A:A, Items!C:C)</f>
        <v>Medium Quality Walde</v>
      </c>
    </row>
    <row r="16">
      <c r="A16" s="1">
        <v>15.0</v>
      </c>
      <c r="B16" s="1">
        <v>361.0</v>
      </c>
      <c r="D16" s="1" t="str">
        <f>LOOKUP(A16, Combinations!A:A, Combinations!B:B)</f>
        <v>High Quality Walde</v>
      </c>
      <c r="E16" s="1" t="str">
        <f>LOOKUP(B16, Items!A:A, Items!C:C)</f>
        <v>High Quality Walde</v>
      </c>
    </row>
    <row r="17">
      <c r="A17" s="1">
        <v>16.0</v>
      </c>
      <c r="B17" s="1">
        <v>329.0</v>
      </c>
      <c r="D17" s="1" t="str">
        <f>LOOKUP(A17, Combinations!A:A, Combinations!B:B)</f>
        <v>Scroll: Bat Illusion</v>
      </c>
      <c r="E17" s="1" t="str">
        <f>LOOKUP(B17, Items!A:A, Items!C:C)</f>
        <v>Scroll: Bat Illusion</v>
      </c>
    </row>
    <row r="18">
      <c r="A18" s="1">
        <v>17.0</v>
      </c>
      <c r="B18" s="1">
        <v>358.0</v>
      </c>
      <c r="D18" s="1" t="str">
        <f>LOOKUP(A18, Combinations!A:A, Combinations!B:B)</f>
        <v>Crude Gold Ring</v>
      </c>
      <c r="E18" s="1" t="str">
        <f>LOOKUP(B18, Items!A:A, Items!C:C)</f>
        <v>Crude Gold Ring</v>
      </c>
    </row>
    <row r="19">
      <c r="A19" s="1">
        <v>18.0</v>
      </c>
      <c r="B19" s="1">
        <v>357.0</v>
      </c>
      <c r="D19" s="1" t="str">
        <f>LOOKUP(A19, Combinations!A:A, Combinations!B:B)</f>
        <v>Crude Pearl Ring</v>
      </c>
      <c r="E19" s="1" t="str">
        <f>LOOKUP(B19, Items!A:A, Items!C:C)</f>
        <v>Crude Pearl Ring</v>
      </c>
    </row>
    <row r="20">
      <c r="A20" s="1">
        <v>19.0</v>
      </c>
      <c r="B20" s="1">
        <v>359.0</v>
      </c>
      <c r="D20" s="1" t="str">
        <f>LOOKUP(A20, Combinations!A:A, Combinations!B:B)</f>
        <v>Crude Ruby Ring</v>
      </c>
      <c r="E20" s="1" t="str">
        <f>LOOKUP(B20, Items!A:A, Items!C:C)</f>
        <v>Crude Ruby Ring</v>
      </c>
    </row>
    <row r="21" ht="15.75" customHeight="1">
      <c r="A21" s="1">
        <v>20.0</v>
      </c>
      <c r="B21" s="1">
        <v>456.0</v>
      </c>
      <c r="D21" s="1" t="str">
        <f>LOOKUP(A21, Combinations!A:A, Combinations!B:B)</f>
        <v>Fighting Katana</v>
      </c>
      <c r="E21" s="1" t="str">
        <f>LOOKUP(B21, Items!A:A, Items!C:C)</f>
        <v>Fighting Katana</v>
      </c>
    </row>
    <row r="22" ht="15.75" customHeight="1">
      <c r="A22" s="1">
        <v>21.0</v>
      </c>
      <c r="B22" s="1">
        <v>251.0</v>
      </c>
      <c r="D22" s="1" t="str">
        <f>LOOKUP(A22, Combinations!A:A, Combinations!B:B)</f>
        <v>Coral Sword</v>
      </c>
      <c r="E22" s="1" t="str">
        <f>LOOKUP(B22, Items!A:A, Items!C:C)</f>
        <v>Coral Sword</v>
      </c>
    </row>
    <row r="23" ht="15.75" customHeight="1">
      <c r="A23" s="1">
        <v>22.0</v>
      </c>
      <c r="B23" s="1">
        <v>141.0</v>
      </c>
      <c r="D23" s="1" t="str">
        <f>LOOKUP(A23, Combinations!A:A, Combinations!B:B)</f>
        <v>Harvest Medallion</v>
      </c>
      <c r="E23" s="1" t="str">
        <f>LOOKUP(B23, Items!A:A, Items!C:C)</f>
        <v>Harvest Medallion</v>
      </c>
    </row>
    <row r="24" ht="15.75" customHeight="1">
      <c r="A24" s="1">
        <v>23.0</v>
      </c>
      <c r="B24" s="1">
        <v>323.0</v>
      </c>
      <c r="D24" s="1" t="str">
        <f>LOOKUP(A24, Combinations!A:A, Combinations!B:B)</f>
        <v>Scroll: Smokebomb</v>
      </c>
      <c r="E24" s="1" t="str">
        <f>LOOKUP(B24, Items!A:A, Items!C:C)</f>
        <v>Scroll: Smokebomb</v>
      </c>
    </row>
    <row r="25" ht="15.75" customHeight="1">
      <c r="A25" s="1">
        <v>24.0</v>
      </c>
      <c r="B25" s="1">
        <v>325.0</v>
      </c>
      <c r="D25" s="1" t="str">
        <f>LOOKUP(A25, Combinations!A:A, Combinations!B:B)</f>
        <v>Scroll: Warrior Root</v>
      </c>
      <c r="E25" s="1" t="str">
        <f>LOOKUP(B25, Items!A:A, Items!C:C)</f>
        <v>Scroll: Warrior Root</v>
      </c>
    </row>
    <row r="26" ht="15.75" customHeight="1">
      <c r="A26" s="1">
        <v>25.0</v>
      </c>
      <c r="B26" s="1">
        <v>272.0</v>
      </c>
      <c r="D26" s="1" t="str">
        <f>LOOKUP(A26, Combinations!A:A, Combinations!B:B)</f>
        <v>Scroll: Covenant</v>
      </c>
      <c r="E26" s="1" t="str">
        <f>LOOKUP(B26, Items!A:A, Items!C:C)</f>
        <v>Scroll: Covenant</v>
      </c>
    </row>
    <row r="27" ht="15.75" customHeight="1">
      <c r="A27" s="1">
        <v>26.0</v>
      </c>
      <c r="B27" s="1">
        <v>324.0</v>
      </c>
      <c r="D27" s="1" t="str">
        <f>LOOKUP(A27, Combinations!A:A, Combinations!B:B)</f>
        <v>Scroll: Group Heal</v>
      </c>
      <c r="E27" s="1" t="str">
        <f>LOOKUP(B27, Items!A:A, Items!C:C)</f>
        <v>Scroll: Group Heal</v>
      </c>
    </row>
    <row r="28" ht="15.75" customHeight="1">
      <c r="A28" s="1">
        <v>27.0</v>
      </c>
      <c r="B28" s="1">
        <v>320.0</v>
      </c>
      <c r="D28" s="1" t="str">
        <f>LOOKUP(A28, Combinations!A:A, Combinations!B:B)</f>
        <v>Scroll: Ancient Damage</v>
      </c>
      <c r="E28" s="1" t="str">
        <f>LOOKUP(B28, Items!A:A, Items!C:C)</f>
        <v>Scroll: Ancient Damage</v>
      </c>
    </row>
    <row r="29" ht="15.75" customHeight="1">
      <c r="A29" s="1">
        <v>28.0</v>
      </c>
      <c r="B29" s="1">
        <v>317.0</v>
      </c>
      <c r="D29" s="1" t="str">
        <f>LOOKUP(A29, Combinations!A:A, Combinations!B:B)</f>
        <v>Scroll: Ancient Augmentation</v>
      </c>
      <c r="E29" s="1" t="str">
        <f>LOOKUP(B29, Items!A:A, Items!C:C)</f>
        <v>Scroll: Ancient Augmentation</v>
      </c>
    </row>
    <row r="30" ht="15.75" customHeight="1">
      <c r="A30" s="1">
        <v>29.0</v>
      </c>
      <c r="B30" s="1">
        <v>475.0</v>
      </c>
      <c r="D30" s="1" t="str">
        <f>LOOKUP(A30, Combinations!A:A, Combinations!B:B)</f>
        <v>Scroll: Ancient Regeneration</v>
      </c>
      <c r="E30" s="1" t="str">
        <f>LOOKUP(B30, Items!A:A, Items!C:C)</f>
        <v>Scroll: Ancient Regeneration</v>
      </c>
    </row>
    <row r="31" ht="15.75" customHeight="1">
      <c r="A31" s="1">
        <v>30.0</v>
      </c>
      <c r="B31" s="1">
        <v>322.0</v>
      </c>
      <c r="D31" s="1" t="str">
        <f>LOOKUP(A31, Combinations!A:A, Combinations!B:B)</f>
        <v>Scroll: Ancient Sacrifice</v>
      </c>
      <c r="E31" s="1" t="str">
        <f>LOOKUP(B31, Items!A:A, Items!C:C)</f>
        <v>Scroll: Ancient Sacrifice</v>
      </c>
    </row>
    <row r="32" ht="15.75" customHeight="1">
      <c r="A32" s="1">
        <v>31.0</v>
      </c>
      <c r="B32" s="1">
        <v>443.0</v>
      </c>
      <c r="D32" s="1" t="str">
        <f>LOOKUP(A32, Combinations!A:A, Combinations!B:B)</f>
        <v>Empty Box</v>
      </c>
      <c r="E32" s="1" t="str">
        <f>LOOKUP(B32, Items!A:A, Items!C:C)</f>
        <v>Empty Box</v>
      </c>
    </row>
    <row r="33" ht="15.75" customHeight="1">
      <c r="A33" s="1">
        <v>32.0</v>
      </c>
      <c r="B33" s="1">
        <v>293.0</v>
      </c>
      <c r="D33" s="1" t="str">
        <f>LOOKUP(A33, Combinations!A:A, Combinations!B:B)</f>
        <v>Magus Moon Shield</v>
      </c>
      <c r="E33" s="1" t="str">
        <f>LOOKUP(B33, Items!A:A, Items!C:C)</f>
        <v>Magus Ancient Moon Shield</v>
      </c>
    </row>
    <row r="34" ht="15.75" customHeight="1">
      <c r="A34" s="1">
        <v>33.0</v>
      </c>
      <c r="B34" s="1">
        <v>295.0</v>
      </c>
      <c r="D34" s="1" t="str">
        <f>LOOKUP(A34, Combinations!A:A, Combinations!B:B)</f>
        <v>Rogue Moon Shield</v>
      </c>
      <c r="E34" s="1" t="str">
        <f>LOOKUP(B34, Items!A:A, Items!C:C)</f>
        <v>Rogues Ancient Moon Shield</v>
      </c>
    </row>
    <row r="35" ht="15.75" customHeight="1">
      <c r="A35" s="1">
        <v>34.0</v>
      </c>
      <c r="B35" s="1">
        <v>296.0</v>
      </c>
      <c r="D35" s="1" t="str">
        <f>LOOKUP(A35, Combinations!A:A, Combinations!B:B)</f>
        <v>Warrior Moon Shield</v>
      </c>
      <c r="E35" s="1" t="str">
        <f>LOOKUP(B35, Items!A:A, Items!C:C)</f>
        <v>Warriors Ancient Moon Shield</v>
      </c>
    </row>
    <row r="36" ht="15.75" customHeight="1">
      <c r="A36" s="1">
        <v>35.0</v>
      </c>
      <c r="B36" s="1">
        <v>294.0</v>
      </c>
      <c r="D36" s="1" t="str">
        <f>LOOKUP(A36, Combinations!A:A, Combinations!B:B)</f>
        <v>Priest Moon Shield</v>
      </c>
      <c r="E36" s="1" t="str">
        <f>LOOKUP(B36, Items!A:A, Items!C:C)</f>
        <v>Priests Ancient Moon Shield</v>
      </c>
    </row>
    <row r="37" ht="15.75" customHeight="1">
      <c r="A37" s="1">
        <v>36.0</v>
      </c>
      <c r="B37" s="1">
        <v>356.0</v>
      </c>
      <c r="D37" s="1" t="str">
        <f>LOOKUP(A37, Combinations!A:A, Combinations!B:B)</f>
        <v>Scroll: Shroom Illusion</v>
      </c>
      <c r="E37" s="1" t="str">
        <f>LOOKUP(B37, Items!A:A, Items!C:C)</f>
        <v>Scroll: Shroom Illusion</v>
      </c>
    </row>
    <row r="38" ht="15.75" customHeight="1">
      <c r="A38" s="1">
        <v>37.0</v>
      </c>
      <c r="B38" s="1">
        <v>360.0</v>
      </c>
      <c r="D38" s="1" t="str">
        <f>LOOKUP(A38, Combinations!A:A, Combinations!B:B)</f>
        <v>Pearl Bracelet</v>
      </c>
      <c r="E38" s="1" t="str">
        <f>LOOKUP(B38, Items!A:A, Items!C:C)</f>
        <v>Pearl Bracelet</v>
      </c>
    </row>
    <row r="39" ht="15.75" customHeight="1">
      <c r="A39" s="1">
        <v>38.0</v>
      </c>
      <c r="B39" s="1">
        <v>435.0</v>
      </c>
      <c r="D39" s="1" t="str">
        <f>LOOKUP(A39, Combinations!A:A, Combinations!B:B)</f>
        <v>Ducky Pauldrons</v>
      </c>
      <c r="E39" s="1" t="str">
        <f>LOOKUP(B39, Items!A:A, Items!C:C)</f>
        <v>Ducky Pauldrons</v>
      </c>
    </row>
    <row r="40" ht="15.75" customHeight="1">
      <c r="A40" s="1">
        <v>39.0</v>
      </c>
      <c r="B40" s="1">
        <v>403.0</v>
      </c>
      <c r="D40" s="1" t="str">
        <f>LOOKUP(A40, Combinations!A:A, Combinations!B:B)</f>
        <v>Magus Ancient Slippers</v>
      </c>
      <c r="E40" s="1" t="str">
        <f>LOOKUP(B40, Items!A:A, Items!C:C)</f>
        <v>Ancient Slippers</v>
      </c>
    </row>
    <row r="41" ht="15.75" customHeight="1">
      <c r="A41" s="1">
        <v>40.0</v>
      </c>
      <c r="B41" s="1">
        <v>401.0</v>
      </c>
      <c r="D41" s="1" t="str">
        <f>LOOKUP(A41, Combinations!A:A, Combinations!B:B)</f>
        <v>Rogue Ancient Boots</v>
      </c>
      <c r="E41" s="1" t="str">
        <f>LOOKUP(B41, Items!A:A, Items!C:C)</f>
        <v>Ancient Boots</v>
      </c>
    </row>
    <row r="42" ht="15.75" customHeight="1">
      <c r="A42" s="1">
        <v>41.0</v>
      </c>
      <c r="B42" s="1">
        <v>402.0</v>
      </c>
      <c r="D42" s="1" t="str">
        <f>LOOKUP(A42, Combinations!A:A, Combinations!B:B)</f>
        <v>Warrior Ancient Boots</v>
      </c>
      <c r="E42" s="1" t="str">
        <f>LOOKUP(B42, Items!A:A, Items!C:C)</f>
        <v>Ancient Boots</v>
      </c>
    </row>
    <row r="43" ht="15.75" customHeight="1">
      <c r="A43" s="1">
        <v>42.0</v>
      </c>
      <c r="B43" s="1">
        <v>404.0</v>
      </c>
      <c r="D43" s="1" t="str">
        <f>LOOKUP(A43, Combinations!A:A, Combinations!B:B)</f>
        <v>Priest Ancient Slippers</v>
      </c>
      <c r="E43" s="1" t="str">
        <f>LOOKUP(B43, Items!A:A, Items!C:C)</f>
        <v>Ancient Slippers</v>
      </c>
    </row>
    <row r="44" ht="15.75" customHeight="1">
      <c r="A44" s="1">
        <v>43.0</v>
      </c>
      <c r="B44" s="1">
        <v>407.0</v>
      </c>
      <c r="D44" s="1" t="str">
        <f>LOOKUP(A44, Combinations!A:A, Combinations!B:B)</f>
        <v>Magus Divine Crown</v>
      </c>
      <c r="E44" s="1" t="str">
        <f>LOOKUP(B44, Items!A:A, Items!C:C)</f>
        <v>Divine Crown</v>
      </c>
    </row>
    <row r="45" ht="15.75" customHeight="1">
      <c r="A45" s="1">
        <v>44.0</v>
      </c>
      <c r="B45" s="1">
        <v>405.0</v>
      </c>
      <c r="D45" s="1" t="str">
        <f>LOOKUP(A45, Combinations!A:A, Combinations!B:B)</f>
        <v>Rogue Divine Helm</v>
      </c>
      <c r="E45" s="1" t="str">
        <f>LOOKUP(B45, Items!A:A, Items!C:C)</f>
        <v>Divine Helm</v>
      </c>
    </row>
    <row r="46" ht="15.75" customHeight="1">
      <c r="A46" s="1">
        <v>45.0</v>
      </c>
      <c r="B46" s="1">
        <v>406.0</v>
      </c>
      <c r="D46" s="1" t="str">
        <f>LOOKUP(A46, Combinations!A:A, Combinations!B:B)</f>
        <v>Warrior Divine Helm</v>
      </c>
      <c r="E46" s="1" t="str">
        <f>LOOKUP(B46, Items!A:A, Items!C:C)</f>
        <v>Divine Helm</v>
      </c>
    </row>
    <row r="47" ht="15.75" customHeight="1">
      <c r="A47" s="1">
        <v>46.0</v>
      </c>
      <c r="B47" s="1">
        <v>408.0</v>
      </c>
      <c r="D47" s="1" t="str">
        <f>LOOKUP(A47, Combinations!A:A, Combinations!B:B)</f>
        <v>Priest Divine Crown</v>
      </c>
      <c r="E47" s="1" t="str">
        <f>LOOKUP(B47, Items!A:A, Items!C:C)</f>
        <v>Divine Crown</v>
      </c>
    </row>
    <row r="48" ht="15.75" customHeight="1">
      <c r="A48" s="1">
        <v>47.0</v>
      </c>
      <c r="B48" s="1">
        <v>458.0</v>
      </c>
      <c r="D48" s="1" t="str">
        <f>LOOKUP(A48, Combinations!A:A, Combinations!B:B)</f>
        <v>Gero Necklace</v>
      </c>
      <c r="E48" s="1" t="str">
        <f>LOOKUP(B48, Items!A:A, Items!C:C)</f>
        <v>Gero Necklace</v>
      </c>
    </row>
    <row r="49" ht="15.75" customHeight="1">
      <c r="A49" s="1">
        <v>48.0</v>
      </c>
      <c r="B49" s="1">
        <v>479.0</v>
      </c>
      <c r="D49" s="1" t="str">
        <f>LOOKUP(A49, Combinations!A:A, Combinations!B:B)</f>
        <v>Bling Belt</v>
      </c>
      <c r="E49" s="1" t="str">
        <f>LOOKUP(B49, Items!A:A, Items!C:C)</f>
        <v>Bling Belt</v>
      </c>
    </row>
    <row r="50" ht="15.75" customHeight="1">
      <c r="A50" s="1">
        <v>49.0</v>
      </c>
      <c r="B50" s="1">
        <v>480.0</v>
      </c>
      <c r="D50" s="1" t="str">
        <f>LOOKUP(A50, Combinations!A:A, Combinations!B:B)</f>
        <v>Enchanted Gloves</v>
      </c>
      <c r="E50" s="1" t="str">
        <f>LOOKUP(B50, Items!A:A, Items!C:C)</f>
        <v>Enchanted Gloves</v>
      </c>
    </row>
    <row r="51" ht="15.75" customHeight="1">
      <c r="A51" s="1">
        <v>50.0</v>
      </c>
      <c r="B51" s="1">
        <v>497.0</v>
      </c>
      <c r="D51" s="1" t="str">
        <f>LOOKUP(A51, Combinations!A:A, Combinations!B:B)</f>
        <v>Magus Royal Leggings</v>
      </c>
      <c r="E51" s="1" t="str">
        <f>LOOKUP(B51, Items!A:A, Items!C:C)</f>
        <v>Royal Leggings</v>
      </c>
    </row>
    <row r="52" ht="15.75" customHeight="1">
      <c r="A52" s="1">
        <v>51.0</v>
      </c>
      <c r="B52" s="1">
        <v>494.0</v>
      </c>
      <c r="D52" s="1" t="str">
        <f>LOOKUP(A52, Combinations!A:A, Combinations!B:B)</f>
        <v>Rogue Royal Legplates</v>
      </c>
      <c r="E52" s="1" t="str">
        <f>LOOKUP(B52, Items!A:A, Items!C:C)</f>
        <v>Royal Legplates</v>
      </c>
    </row>
    <row r="53" ht="15.75" customHeight="1">
      <c r="A53" s="1">
        <v>52.0</v>
      </c>
      <c r="B53" s="1">
        <v>495.0</v>
      </c>
      <c r="D53" s="1" t="str">
        <f>LOOKUP(A53, Combinations!A:A, Combinations!B:B)</f>
        <v>Warrior Royal Legplates</v>
      </c>
      <c r="E53" s="1" t="str">
        <f>LOOKUP(B53, Items!A:A, Items!C:C)</f>
        <v>Royal Legplates</v>
      </c>
    </row>
    <row r="54" ht="15.75" customHeight="1">
      <c r="A54" s="1">
        <v>53.0</v>
      </c>
      <c r="B54" s="1">
        <v>496.0</v>
      </c>
      <c r="D54" s="1" t="str">
        <f>LOOKUP(A54, Combinations!A:A, Combinations!B:B)</f>
        <v>Priest Royal Leggings</v>
      </c>
      <c r="E54" s="1" t="str">
        <f>LOOKUP(B54, Items!A:A, Items!C:C)</f>
        <v>Royal Leggings</v>
      </c>
    </row>
    <row r="55" ht="15.75" customHeight="1">
      <c r="A55" s="1">
        <v>54.0</v>
      </c>
      <c r="B55" s="1">
        <v>501.0</v>
      </c>
      <c r="D55" s="1" t="str">
        <f>LOOKUP(A55, Combinations!A:A, Combinations!B:B)</f>
        <v>Magus Royal Tunic</v>
      </c>
      <c r="E55" s="1" t="str">
        <f>LOOKUP(B55, Items!A:A, Items!C:C)</f>
        <v>Royal Tunic</v>
      </c>
    </row>
    <row r="56" ht="15.75" customHeight="1">
      <c r="A56" s="1">
        <v>55.0</v>
      </c>
      <c r="B56" s="1">
        <v>498.0</v>
      </c>
      <c r="D56" s="1" t="str">
        <f>LOOKUP(A56, Combinations!A:A, Combinations!B:B)</f>
        <v>Rogue Royal Chestplate</v>
      </c>
      <c r="E56" s="1" t="str">
        <f>LOOKUP(B56, Items!A:A, Items!C:C)</f>
        <v>Royal Chestplate</v>
      </c>
    </row>
    <row r="57" ht="15.75" customHeight="1">
      <c r="A57" s="1">
        <v>56.0</v>
      </c>
      <c r="B57" s="1">
        <v>499.0</v>
      </c>
      <c r="D57" s="1" t="str">
        <f>LOOKUP(A57, Combinations!A:A, Combinations!B:B)</f>
        <v>Warrior Royal Chestplate</v>
      </c>
      <c r="E57" s="1" t="str">
        <f>LOOKUP(B57, Items!A:A, Items!C:C)</f>
        <v>Royal Chestplate</v>
      </c>
    </row>
    <row r="58" ht="15.75" customHeight="1">
      <c r="A58" s="1">
        <v>57.0</v>
      </c>
      <c r="B58" s="1">
        <v>500.0</v>
      </c>
      <c r="D58" s="1" t="str">
        <f>LOOKUP(A58, Combinations!A:A, Combinations!B:B)</f>
        <v>Priest Royal Tunic</v>
      </c>
      <c r="E58" s="1" t="str">
        <f>LOOKUP(B58, Items!A:A, Items!C:C)</f>
        <v>Royal Tunic</v>
      </c>
    </row>
    <row r="59" ht="15.75" customHeight="1">
      <c r="A59" s="1">
        <v>58.0</v>
      </c>
      <c r="B59" s="1">
        <v>516.0</v>
      </c>
      <c r="D59" s="1" t="str">
        <f>LOOKUP(A59, Combinations!A:A, Combinations!B:B)</f>
        <v>Key to the Ancients Dungeon</v>
      </c>
      <c r="E59" s="1" t="str">
        <f>LOOKUP(B59, Items!A:A, Items!C:C)</f>
        <v>Key to the Ancients Dungeon</v>
      </c>
    </row>
    <row r="60" ht="15.75" customHeight="1">
      <c r="A60" s="1">
        <v>59.0</v>
      </c>
      <c r="B60" s="1">
        <v>580.0</v>
      </c>
      <c r="D60" s="1" t="str">
        <f>LOOKUP(A60, Combinations!A:A, Combinations!B:B)</f>
        <v>Enchanted Bracelet of Fire</v>
      </c>
      <c r="E60" s="1" t="str">
        <f>LOOKUP(B60, Items!A:A, Items!C:C)</f>
        <v>Enchanted Bracelet of Fire</v>
      </c>
    </row>
    <row r="61" ht="15.75" customHeight="1">
      <c r="A61" s="1">
        <v>60.0</v>
      </c>
      <c r="B61" s="1">
        <v>581.0</v>
      </c>
      <c r="D61" s="1" t="str">
        <f>LOOKUP(A61, Combinations!A:A, Combinations!B:B)</f>
        <v>Enchanted Bracelet of Earth</v>
      </c>
      <c r="E61" s="1" t="str">
        <f>LOOKUP(B61, Items!A:A, Items!C:C)</f>
        <v>Enchanted Bracelet of Earth</v>
      </c>
    </row>
    <row r="62" ht="15.75" customHeight="1">
      <c r="A62" s="1">
        <v>61.0</v>
      </c>
      <c r="B62" s="1">
        <v>582.0</v>
      </c>
      <c r="D62" s="1" t="str">
        <f>LOOKUP(A62, Combinations!A:A, Combinations!B:B)</f>
        <v>Enchanted Bracelet of Air</v>
      </c>
      <c r="E62" s="1" t="str">
        <f>LOOKUP(B62, Items!A:A, Items!C:C)</f>
        <v>Enchanted Bracelet of Air</v>
      </c>
    </row>
    <row r="63" ht="15.75" customHeight="1">
      <c r="A63" s="1">
        <v>62.0</v>
      </c>
      <c r="B63" s="1">
        <v>583.0</v>
      </c>
      <c r="D63" s="1" t="str">
        <f>LOOKUP(A63, Combinations!A:A, Combinations!B:B)</f>
        <v>Enchanted Bracelet of Water</v>
      </c>
      <c r="E63" s="1" t="str">
        <f>LOOKUP(B63, Items!A:A, Items!C:C)</f>
        <v>Enchanted Bracelet of Water</v>
      </c>
    </row>
    <row r="64" ht="15.75" customHeight="1">
      <c r="A64" s="1">
        <v>63.0</v>
      </c>
      <c r="B64" s="1">
        <v>584.0</v>
      </c>
      <c r="D64" s="1" t="str">
        <f>LOOKUP(A64, Combinations!A:A, Combinations!B:B)</f>
        <v>Enchanted Bracelet of Spirit</v>
      </c>
      <c r="E64" s="1" t="str">
        <f>LOOKUP(B64, Items!A:A, Items!C:C)</f>
        <v>Enchanted Bracelet of Spirit</v>
      </c>
    </row>
    <row r="65" ht="15.75" customHeight="1">
      <c r="A65" s="1">
        <v>64.0</v>
      </c>
      <c r="B65" s="1">
        <v>587.0</v>
      </c>
      <c r="D65" s="1" t="str">
        <f>LOOKUP(A65, Combinations!A:A, Combinations!B:B)</f>
        <v>Rogue Enchanted Divine Helm</v>
      </c>
      <c r="E65" s="1" t="str">
        <f>LOOKUP(B65, Items!A:A, Items!C:C)</f>
        <v>Enchanted Divine Helm</v>
      </c>
    </row>
    <row r="66" ht="15.75" customHeight="1">
      <c r="A66" s="1">
        <v>65.0</v>
      </c>
      <c r="B66" s="1">
        <v>588.0</v>
      </c>
      <c r="D66" s="1" t="str">
        <f>LOOKUP(A66, Combinations!A:A, Combinations!B:B)</f>
        <v>Warrior Enchanted Divine Helm</v>
      </c>
      <c r="E66" s="1" t="str">
        <f>LOOKUP(B66, Items!A:A, Items!C:C)</f>
        <v>Enchanted Divine Helm</v>
      </c>
    </row>
    <row r="67" ht="15.75" customHeight="1">
      <c r="A67" s="1">
        <v>66.0</v>
      </c>
      <c r="B67" s="1">
        <v>589.0</v>
      </c>
      <c r="D67" s="1" t="str">
        <f>LOOKUP(A67, Combinations!A:A, Combinations!B:B)</f>
        <v>Magus Enchanted Divine Crown</v>
      </c>
      <c r="E67" s="1" t="str">
        <f>LOOKUP(B67, Items!A:A, Items!C:C)</f>
        <v>Enchanted Divine Crown</v>
      </c>
    </row>
    <row r="68" ht="15.75" customHeight="1">
      <c r="A68" s="1">
        <v>67.0</v>
      </c>
      <c r="B68" s="1">
        <v>590.0</v>
      </c>
      <c r="D68" s="1" t="str">
        <f>LOOKUP(A68, Combinations!A:A, Combinations!B:B)</f>
        <v>Priest Enchanted Divine Crown</v>
      </c>
      <c r="E68" s="1" t="str">
        <f>LOOKUP(B68, Items!A:A, Items!C:C)</f>
        <v>Enchanted Divine Crown</v>
      </c>
    </row>
    <row r="69" ht="15.75" customHeight="1">
      <c r="A69" s="1">
        <v>68.0</v>
      </c>
      <c r="B69" s="1">
        <v>628.0</v>
      </c>
      <c r="D69" s="1" t="str">
        <f>LOOKUP(A69, Combinations!A:A, Combinations!B:B)</f>
        <v>HP Regeneration Potion</v>
      </c>
      <c r="E69" s="1" t="str">
        <f>LOOKUP(B69, Items!A:A, Items!C:C)</f>
        <v>HP Regen Potion</v>
      </c>
    </row>
    <row r="70" ht="15.75" customHeight="1">
      <c r="A70" s="1">
        <v>69.0</v>
      </c>
      <c r="B70" s="1">
        <v>629.0</v>
      </c>
      <c r="D70" s="1" t="str">
        <f>LOOKUP(A70, Combinations!A:A, Combinations!B:B)</f>
        <v>MP Regeneration Potion</v>
      </c>
      <c r="E70" s="1" t="str">
        <f>LOOKUP(B70, Items!A:A, Items!C:C)</f>
        <v>MP Regen Potion</v>
      </c>
    </row>
    <row r="71" ht="15.75" customHeight="1">
      <c r="A71" s="1">
        <v>70.0</v>
      </c>
      <c r="B71" s="1">
        <v>630.0</v>
      </c>
      <c r="D71" s="1" t="str">
        <f>LOOKUP(A71, Combinations!A:A, Combinations!B:B)</f>
        <v>Haste Potion</v>
      </c>
      <c r="E71" s="1" t="str">
        <f>LOOKUP(B71, Items!A:A, Items!C:C)</f>
        <v>Haste Potion</v>
      </c>
    </row>
    <row r="72" ht="15.75" customHeight="1">
      <c r="A72" s="1">
        <v>71.0</v>
      </c>
      <c r="B72" s="1">
        <v>631.0</v>
      </c>
      <c r="D72" s="1" t="str">
        <f>LOOKUP(A72, Combinations!A:A, Combinations!B:B)</f>
        <v>Spell Damage Potion</v>
      </c>
      <c r="E72" s="1" t="str">
        <f>LOOKUP(B72, Items!A:A, Items!C:C)</f>
        <v>Spell Damage Potion</v>
      </c>
    </row>
    <row r="73" ht="15.75" customHeight="1">
      <c r="A73" s="1">
        <v>72.0</v>
      </c>
      <c r="B73" s="1">
        <v>632.0</v>
      </c>
      <c r="D73" s="1" t="str">
        <f>LOOKUP(A73, Combinations!A:A, Combinations!B:B)</f>
        <v>Spell Critical Potion</v>
      </c>
      <c r="E73" s="1" t="str">
        <f>LOOKUP(B73, Items!A:A, Items!C:C)</f>
        <v>Spell Critical Potion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1044</v>
      </c>
      <c r="B1" s="1" t="s">
        <v>1045</v>
      </c>
      <c r="C1" s="1" t="s">
        <v>1046</v>
      </c>
      <c r="D1" s="1" t="s">
        <v>1555</v>
      </c>
      <c r="E1" s="1" t="s">
        <v>1556</v>
      </c>
      <c r="F1" s="1" t="s">
        <v>1557</v>
      </c>
    </row>
    <row r="2">
      <c r="A2" s="1">
        <v>4.0</v>
      </c>
      <c r="B2" s="1">
        <v>25.0</v>
      </c>
      <c r="C2" s="1">
        <v>14.0</v>
      </c>
      <c r="D2" s="1">
        <v>1.0</v>
      </c>
      <c r="E2" s="1">
        <v>42.0</v>
      </c>
      <c r="F2" s="1">
        <v>28.0</v>
      </c>
    </row>
    <row r="3">
      <c r="A3" s="1">
        <v>1.0</v>
      </c>
      <c r="B3" s="1">
        <v>42.0</v>
      </c>
      <c r="C3" s="1">
        <v>27.0</v>
      </c>
      <c r="D3" s="1">
        <v>4.0</v>
      </c>
      <c r="E3" s="1">
        <v>24.0</v>
      </c>
      <c r="F3" s="1">
        <v>14.0</v>
      </c>
    </row>
    <row r="4">
      <c r="A4" s="1">
        <v>4.0</v>
      </c>
      <c r="B4" s="1">
        <v>25.0</v>
      </c>
      <c r="C4" s="1">
        <v>15.0</v>
      </c>
      <c r="D4" s="1">
        <v>1.0</v>
      </c>
      <c r="E4" s="1">
        <v>41.0</v>
      </c>
      <c r="F4" s="1">
        <v>28.0</v>
      </c>
    </row>
    <row r="5">
      <c r="A5" s="1">
        <v>1.0</v>
      </c>
      <c r="B5" s="1">
        <v>41.0</v>
      </c>
      <c r="C5" s="1">
        <v>27.0</v>
      </c>
      <c r="D5" s="1">
        <v>4.0</v>
      </c>
      <c r="E5" s="1">
        <v>24.0</v>
      </c>
      <c r="F5" s="1">
        <v>15.0</v>
      </c>
    </row>
    <row r="6">
      <c r="A6" s="1">
        <v>1.0</v>
      </c>
      <c r="B6" s="1">
        <v>40.0</v>
      </c>
      <c r="C6" s="1">
        <v>27.0</v>
      </c>
      <c r="D6" s="1">
        <v>4.0</v>
      </c>
      <c r="E6" s="1">
        <v>24.0</v>
      </c>
      <c r="F6" s="1">
        <v>15.0</v>
      </c>
    </row>
    <row r="7">
      <c r="A7" s="1">
        <v>15.0</v>
      </c>
      <c r="B7" s="1">
        <v>13.0</v>
      </c>
      <c r="C7" s="1">
        <v>15.0</v>
      </c>
      <c r="D7" s="1">
        <v>1.0</v>
      </c>
      <c r="E7" s="1">
        <v>39.0</v>
      </c>
      <c r="F7" s="1">
        <v>28.0</v>
      </c>
    </row>
    <row r="8">
      <c r="A8" s="1">
        <v>15.0</v>
      </c>
      <c r="B8" s="1">
        <v>12.0</v>
      </c>
      <c r="C8" s="1">
        <v>15.0</v>
      </c>
      <c r="D8" s="1">
        <v>1.0</v>
      </c>
      <c r="E8" s="1">
        <v>39.0</v>
      </c>
      <c r="F8" s="1">
        <v>28.0</v>
      </c>
    </row>
    <row r="9">
      <c r="A9" s="1">
        <v>15.0</v>
      </c>
      <c r="B9" s="1">
        <v>11.0</v>
      </c>
      <c r="C9" s="1">
        <v>15.0</v>
      </c>
      <c r="D9" s="1">
        <v>1.0</v>
      </c>
      <c r="E9" s="1">
        <v>38.0</v>
      </c>
      <c r="F9" s="1">
        <v>28.0</v>
      </c>
    </row>
    <row r="10">
      <c r="A10" s="1">
        <v>15.0</v>
      </c>
      <c r="B10" s="1">
        <v>10.0</v>
      </c>
      <c r="C10" s="1">
        <v>15.0</v>
      </c>
      <c r="D10" s="1">
        <v>1.0</v>
      </c>
      <c r="E10" s="1">
        <v>37.0</v>
      </c>
      <c r="F10" s="1">
        <v>28.0</v>
      </c>
    </row>
    <row r="11">
      <c r="A11" s="1">
        <v>15.0</v>
      </c>
      <c r="B11" s="1">
        <v>9.0</v>
      </c>
      <c r="C11" s="1">
        <v>15.0</v>
      </c>
      <c r="D11" s="1">
        <v>1.0</v>
      </c>
      <c r="E11" s="1">
        <v>37.0</v>
      </c>
      <c r="F11" s="1">
        <v>28.0</v>
      </c>
    </row>
    <row r="12">
      <c r="A12" s="1">
        <v>1.0</v>
      </c>
      <c r="B12" s="1">
        <v>37.0</v>
      </c>
      <c r="C12" s="1">
        <v>27.0</v>
      </c>
      <c r="D12" s="1">
        <v>15.0</v>
      </c>
      <c r="E12" s="1">
        <v>9.0</v>
      </c>
      <c r="F12" s="1">
        <v>14.0</v>
      </c>
    </row>
    <row r="13">
      <c r="A13" s="1">
        <v>1.0</v>
      </c>
      <c r="B13" s="1">
        <v>38.0</v>
      </c>
      <c r="C13" s="1">
        <v>27.0</v>
      </c>
      <c r="D13" s="1">
        <v>15.0</v>
      </c>
      <c r="E13" s="1">
        <v>11.0</v>
      </c>
      <c r="F13" s="1">
        <v>14.0</v>
      </c>
    </row>
    <row r="14">
      <c r="A14" s="1">
        <v>1.0</v>
      </c>
      <c r="B14" s="1">
        <v>39.0</v>
      </c>
      <c r="C14" s="1">
        <v>27.0</v>
      </c>
      <c r="D14" s="1">
        <v>15.0</v>
      </c>
      <c r="E14" s="1">
        <v>13.0</v>
      </c>
      <c r="F14" s="1">
        <v>14.0</v>
      </c>
    </row>
    <row r="15">
      <c r="A15" s="1">
        <v>8.0</v>
      </c>
      <c r="B15" s="1">
        <v>100.0</v>
      </c>
      <c r="C15" s="1">
        <v>25.0</v>
      </c>
      <c r="D15" s="1">
        <v>1.0</v>
      </c>
      <c r="E15" s="1">
        <v>2.0</v>
      </c>
      <c r="F15" s="1">
        <v>49.0</v>
      </c>
    </row>
    <row r="16">
      <c r="A16" s="1">
        <v>8.0</v>
      </c>
      <c r="B16" s="1">
        <v>100.0</v>
      </c>
      <c r="C16" s="1">
        <v>26.0</v>
      </c>
      <c r="D16" s="1">
        <v>1.0</v>
      </c>
      <c r="E16" s="1">
        <v>2.0</v>
      </c>
      <c r="F16" s="1">
        <v>50.0</v>
      </c>
    </row>
    <row r="17">
      <c r="A17" s="1">
        <v>8.0</v>
      </c>
      <c r="B17" s="1">
        <v>100.0</v>
      </c>
      <c r="C17" s="1">
        <v>27.0</v>
      </c>
      <c r="D17" s="1">
        <v>1.0</v>
      </c>
      <c r="E17" s="1">
        <v>2.0</v>
      </c>
      <c r="F17" s="1">
        <v>51.0</v>
      </c>
    </row>
    <row r="18">
      <c r="A18" s="1">
        <v>8.0</v>
      </c>
      <c r="B18" s="1">
        <v>100.0</v>
      </c>
      <c r="C18" s="1">
        <v>24.0</v>
      </c>
      <c r="D18" s="1">
        <v>1.0</v>
      </c>
      <c r="E18" s="1">
        <v>2.0</v>
      </c>
      <c r="F18" s="1">
        <v>48.0</v>
      </c>
    </row>
    <row r="19">
      <c r="A19" s="1">
        <v>1.0</v>
      </c>
      <c r="B19" s="1">
        <v>1.0</v>
      </c>
      <c r="C19" s="1">
        <v>48.0</v>
      </c>
      <c r="D19" s="1">
        <v>8.0</v>
      </c>
      <c r="E19" s="1">
        <v>99.0</v>
      </c>
      <c r="F19" s="1">
        <v>24.0</v>
      </c>
    </row>
    <row r="20">
      <c r="A20" s="1">
        <v>1.0</v>
      </c>
      <c r="B20" s="1">
        <v>1.0</v>
      </c>
      <c r="C20" s="1">
        <v>49.0</v>
      </c>
      <c r="D20" s="1">
        <v>8.0</v>
      </c>
      <c r="E20" s="1">
        <v>99.0</v>
      </c>
      <c r="F20" s="1">
        <v>25.0</v>
      </c>
    </row>
    <row r="21" ht="15.75" customHeight="1">
      <c r="A21" s="1">
        <v>1.0</v>
      </c>
      <c r="B21" s="1">
        <v>1.0</v>
      </c>
      <c r="C21" s="1">
        <v>50.0</v>
      </c>
      <c r="D21" s="1">
        <v>8.0</v>
      </c>
      <c r="E21" s="1">
        <v>99.0</v>
      </c>
      <c r="F21" s="1">
        <v>26.0</v>
      </c>
    </row>
    <row r="22" ht="15.75" customHeight="1">
      <c r="A22" s="1">
        <v>1.0</v>
      </c>
      <c r="B22" s="1">
        <v>1.0</v>
      </c>
      <c r="C22" s="1">
        <v>51.0</v>
      </c>
      <c r="D22" s="1">
        <v>8.0</v>
      </c>
      <c r="E22" s="1">
        <v>99.0</v>
      </c>
      <c r="F22" s="1">
        <v>27.0</v>
      </c>
    </row>
    <row r="23" ht="15.75" customHeight="1">
      <c r="A23" s="1">
        <v>8.0</v>
      </c>
      <c r="B23" s="1">
        <v>1.0</v>
      </c>
      <c r="C23" s="1">
        <v>49.0</v>
      </c>
      <c r="D23" s="1">
        <v>28.0</v>
      </c>
      <c r="E23" s="1">
        <v>99.0</v>
      </c>
      <c r="F23" s="1">
        <v>50.0</v>
      </c>
    </row>
    <row r="24" ht="15.75" customHeight="1">
      <c r="A24" s="1">
        <v>8.0</v>
      </c>
      <c r="B24" s="1">
        <v>1.0</v>
      </c>
      <c r="C24" s="1">
        <v>50.0</v>
      </c>
      <c r="D24" s="1">
        <v>28.0</v>
      </c>
      <c r="E24" s="1">
        <v>99.0</v>
      </c>
      <c r="F24" s="1">
        <v>51.0</v>
      </c>
    </row>
    <row r="25" ht="15.75" customHeight="1">
      <c r="A25" s="1">
        <v>8.0</v>
      </c>
      <c r="B25" s="1">
        <v>1.0</v>
      </c>
      <c r="C25" s="1">
        <v>51.0</v>
      </c>
      <c r="D25" s="1">
        <v>28.0</v>
      </c>
      <c r="E25" s="1">
        <v>99.0</v>
      </c>
      <c r="F25" s="1">
        <v>52.0</v>
      </c>
    </row>
    <row r="26" ht="15.75" customHeight="1">
      <c r="A26" s="1">
        <v>8.0</v>
      </c>
      <c r="B26" s="1">
        <v>1.0</v>
      </c>
      <c r="C26" s="1">
        <v>52.0</v>
      </c>
      <c r="D26" s="1">
        <v>28.0</v>
      </c>
      <c r="E26" s="1">
        <v>99.0</v>
      </c>
      <c r="F26" s="1">
        <v>53.0</v>
      </c>
    </row>
    <row r="27" ht="15.75" customHeight="1">
      <c r="A27" s="1">
        <v>28.0</v>
      </c>
      <c r="B27" s="1">
        <v>100.0</v>
      </c>
      <c r="C27" s="1">
        <v>50.0</v>
      </c>
      <c r="D27" s="1">
        <v>8.0</v>
      </c>
      <c r="E27" s="1">
        <v>2.0</v>
      </c>
      <c r="F27" s="1">
        <v>49.0</v>
      </c>
    </row>
    <row r="28" ht="15.75" customHeight="1">
      <c r="A28" s="1">
        <v>28.0</v>
      </c>
      <c r="B28" s="1">
        <v>100.0</v>
      </c>
      <c r="C28" s="1">
        <v>51.0</v>
      </c>
      <c r="D28" s="1">
        <v>8.0</v>
      </c>
      <c r="E28" s="1">
        <v>2.0</v>
      </c>
      <c r="F28" s="1">
        <v>50.0</v>
      </c>
    </row>
    <row r="29" ht="15.75" customHeight="1">
      <c r="A29" s="1">
        <v>28.0</v>
      </c>
      <c r="B29" s="1">
        <v>100.0</v>
      </c>
      <c r="C29" s="1">
        <v>52.0</v>
      </c>
      <c r="D29" s="1">
        <v>8.0</v>
      </c>
      <c r="E29" s="1">
        <v>2.0</v>
      </c>
      <c r="F29" s="1">
        <v>51.0</v>
      </c>
    </row>
    <row r="30" ht="15.75" customHeight="1">
      <c r="A30" s="1">
        <v>28.0</v>
      </c>
      <c r="B30" s="1">
        <v>100.0</v>
      </c>
      <c r="C30" s="1">
        <v>53.0</v>
      </c>
      <c r="D30" s="1">
        <v>8.0</v>
      </c>
      <c r="E30" s="1">
        <v>2.0</v>
      </c>
      <c r="F30" s="1">
        <v>52.0</v>
      </c>
    </row>
    <row r="31" ht="15.75" customHeight="1">
      <c r="A31" s="1">
        <v>28.0</v>
      </c>
      <c r="B31" s="1">
        <v>91.0</v>
      </c>
      <c r="C31" s="1">
        <v>50.0</v>
      </c>
      <c r="D31" s="1">
        <v>28.0</v>
      </c>
      <c r="E31" s="1">
        <v>9.0</v>
      </c>
      <c r="F31" s="1">
        <v>37.0</v>
      </c>
    </row>
    <row r="32" ht="15.75" customHeight="1">
      <c r="A32" s="1">
        <v>28.0</v>
      </c>
      <c r="B32" s="1">
        <v>91.0</v>
      </c>
      <c r="C32" s="1">
        <v>51.0</v>
      </c>
      <c r="D32" s="1">
        <v>28.0</v>
      </c>
      <c r="E32" s="1">
        <v>10.0</v>
      </c>
      <c r="F32" s="1">
        <v>37.0</v>
      </c>
    </row>
    <row r="33" ht="15.75" customHeight="1">
      <c r="A33" s="1">
        <v>28.0</v>
      </c>
      <c r="B33" s="1">
        <v>91.0</v>
      </c>
      <c r="C33" s="1">
        <v>52.0</v>
      </c>
      <c r="D33" s="1">
        <v>28.0</v>
      </c>
      <c r="E33" s="1">
        <v>11.0</v>
      </c>
      <c r="F33" s="1">
        <v>37.0</v>
      </c>
    </row>
    <row r="34" ht="15.75" customHeight="1">
      <c r="A34" s="1">
        <v>28.0</v>
      </c>
      <c r="B34" s="1">
        <v>91.0</v>
      </c>
      <c r="C34" s="1">
        <v>53.0</v>
      </c>
      <c r="D34" s="1">
        <v>28.0</v>
      </c>
      <c r="E34" s="1">
        <v>12.0</v>
      </c>
      <c r="F34" s="1">
        <v>37.0</v>
      </c>
    </row>
    <row r="35" ht="15.75" customHeight="1">
      <c r="A35" s="1">
        <v>28.0</v>
      </c>
      <c r="B35" s="1">
        <v>12.0</v>
      </c>
      <c r="C35" s="1">
        <v>36.0</v>
      </c>
      <c r="D35" s="1">
        <v>28.0</v>
      </c>
      <c r="E35" s="1">
        <v>92.0</v>
      </c>
      <c r="F35" s="1">
        <v>53.0</v>
      </c>
    </row>
    <row r="36" ht="15.75" customHeight="1">
      <c r="A36" s="1">
        <v>28.0</v>
      </c>
      <c r="B36" s="1">
        <v>11.0</v>
      </c>
      <c r="C36" s="1">
        <v>36.0</v>
      </c>
      <c r="D36" s="1">
        <v>28.0</v>
      </c>
      <c r="E36" s="1">
        <v>92.0</v>
      </c>
      <c r="F36" s="1">
        <v>52.0</v>
      </c>
    </row>
    <row r="37" ht="15.75" customHeight="1">
      <c r="A37" s="1">
        <v>28.0</v>
      </c>
      <c r="B37" s="1">
        <v>10.0</v>
      </c>
      <c r="C37" s="1">
        <v>36.0</v>
      </c>
      <c r="D37" s="1">
        <v>28.0</v>
      </c>
      <c r="E37" s="1">
        <v>92.0</v>
      </c>
      <c r="F37" s="1">
        <v>51.0</v>
      </c>
    </row>
    <row r="38" ht="15.75" customHeight="1">
      <c r="A38" s="1">
        <v>28.0</v>
      </c>
      <c r="B38" s="1">
        <v>9.0</v>
      </c>
      <c r="C38" s="1">
        <v>36.0</v>
      </c>
      <c r="D38" s="1">
        <v>28.0</v>
      </c>
      <c r="E38" s="1">
        <v>92.0</v>
      </c>
      <c r="F38" s="1">
        <v>50.0</v>
      </c>
    </row>
    <row r="39" ht="15.75" customHeight="1">
      <c r="A39" s="1">
        <v>28.0</v>
      </c>
      <c r="B39" s="1">
        <v>54.0</v>
      </c>
      <c r="C39" s="1">
        <v>72.0</v>
      </c>
      <c r="D39" s="1">
        <v>28.0</v>
      </c>
      <c r="E39" s="1">
        <v>61.0</v>
      </c>
      <c r="F39" s="1">
        <v>23.0</v>
      </c>
    </row>
    <row r="40" ht="15.75" customHeight="1">
      <c r="A40" s="1">
        <v>28.0</v>
      </c>
      <c r="B40" s="1">
        <v>55.0</v>
      </c>
      <c r="C40" s="1">
        <v>72.0</v>
      </c>
      <c r="D40" s="1">
        <v>28.0</v>
      </c>
      <c r="E40" s="1">
        <v>62.0</v>
      </c>
      <c r="F40" s="1">
        <v>23.0</v>
      </c>
    </row>
    <row r="41" ht="15.75" customHeight="1">
      <c r="A41" s="1">
        <v>28.0</v>
      </c>
      <c r="B41" s="1">
        <v>55.0</v>
      </c>
      <c r="C41" s="1">
        <v>73.0</v>
      </c>
      <c r="D41" s="1">
        <v>28.0</v>
      </c>
      <c r="E41" s="1">
        <v>63.0</v>
      </c>
      <c r="F41" s="1">
        <v>23.0</v>
      </c>
    </row>
    <row r="42" ht="15.75" customHeight="1">
      <c r="A42" s="1">
        <v>28.0</v>
      </c>
      <c r="B42" s="1">
        <v>54.0</v>
      </c>
      <c r="C42" s="1">
        <v>73.0</v>
      </c>
      <c r="D42" s="1">
        <v>28.0</v>
      </c>
      <c r="E42" s="1">
        <v>64.0</v>
      </c>
      <c r="F42" s="1">
        <v>23.0</v>
      </c>
    </row>
    <row r="43" ht="15.75" customHeight="1">
      <c r="A43" s="1">
        <v>28.0</v>
      </c>
      <c r="B43" s="1">
        <v>61.0</v>
      </c>
      <c r="C43" s="1">
        <v>24.0</v>
      </c>
      <c r="D43" s="1">
        <v>28.0</v>
      </c>
      <c r="E43" s="1">
        <v>54.0</v>
      </c>
      <c r="F43" s="1">
        <v>71.0</v>
      </c>
    </row>
    <row r="44" ht="15.75" customHeight="1">
      <c r="A44" s="1">
        <v>28.0</v>
      </c>
      <c r="B44" s="1">
        <v>62.0</v>
      </c>
      <c r="C44" s="1">
        <v>24.0</v>
      </c>
      <c r="D44" s="1">
        <v>28.0</v>
      </c>
      <c r="E44" s="1">
        <v>54.0</v>
      </c>
      <c r="F44" s="1">
        <v>71.0</v>
      </c>
    </row>
    <row r="45" ht="15.75" customHeight="1">
      <c r="A45" s="1">
        <v>28.0</v>
      </c>
      <c r="B45" s="1">
        <v>63.0</v>
      </c>
      <c r="C45" s="1">
        <v>24.0</v>
      </c>
      <c r="D45" s="1">
        <v>28.0</v>
      </c>
      <c r="E45" s="1">
        <v>55.0</v>
      </c>
      <c r="F45" s="1">
        <v>71.0</v>
      </c>
    </row>
    <row r="46" ht="15.75" customHeight="1">
      <c r="A46" s="1">
        <v>28.0</v>
      </c>
      <c r="B46" s="1">
        <v>64.0</v>
      </c>
      <c r="C46" s="1">
        <v>24.0</v>
      </c>
      <c r="D46" s="1">
        <v>28.0</v>
      </c>
      <c r="E46" s="1">
        <v>55.0</v>
      </c>
      <c r="F46" s="1">
        <v>71.0</v>
      </c>
    </row>
    <row r="47" ht="15.75" customHeight="1">
      <c r="A47" s="1">
        <v>16.0</v>
      </c>
      <c r="B47" s="1">
        <v>50.0</v>
      </c>
      <c r="C47" s="1">
        <v>100.0</v>
      </c>
      <c r="D47" s="1">
        <v>1.0</v>
      </c>
      <c r="E47" s="1">
        <v>64.0</v>
      </c>
      <c r="F47" s="1">
        <v>2.0</v>
      </c>
    </row>
    <row r="48" ht="15.75" customHeight="1">
      <c r="A48" s="1">
        <v>16.0</v>
      </c>
      <c r="B48" s="1">
        <v>49.0</v>
      </c>
      <c r="C48" s="1">
        <v>100.0</v>
      </c>
      <c r="D48" s="1">
        <v>1.0</v>
      </c>
      <c r="E48" s="1">
        <v>64.0</v>
      </c>
      <c r="F48" s="1">
        <v>2.0</v>
      </c>
    </row>
    <row r="49" ht="15.75" customHeight="1">
      <c r="A49" s="1">
        <v>16.0</v>
      </c>
      <c r="B49" s="1">
        <v>48.0</v>
      </c>
      <c r="C49" s="1">
        <v>100.0</v>
      </c>
      <c r="D49" s="1">
        <v>1.0</v>
      </c>
      <c r="E49" s="1">
        <v>63.0</v>
      </c>
      <c r="F49" s="1">
        <v>2.0</v>
      </c>
    </row>
    <row r="50" ht="15.75" customHeight="1">
      <c r="A50" s="1">
        <v>1.0</v>
      </c>
      <c r="B50" s="1">
        <v>63.0</v>
      </c>
      <c r="C50" s="1">
        <v>1.0</v>
      </c>
      <c r="D50" s="1">
        <v>16.0</v>
      </c>
      <c r="E50" s="1">
        <v>48.0</v>
      </c>
      <c r="F50" s="1">
        <v>99.0</v>
      </c>
    </row>
    <row r="51" ht="15.75" customHeight="1">
      <c r="A51" s="1">
        <v>1.0</v>
      </c>
      <c r="B51" s="1">
        <v>64.0</v>
      </c>
      <c r="C51" s="1">
        <v>1.0</v>
      </c>
      <c r="D51" s="1">
        <v>16.0</v>
      </c>
      <c r="E51" s="1">
        <v>49.0</v>
      </c>
      <c r="F51" s="1">
        <v>99.0</v>
      </c>
    </row>
    <row r="52" ht="15.75" customHeight="1">
      <c r="A52" s="1">
        <v>2.0</v>
      </c>
      <c r="B52" s="1">
        <v>10.0</v>
      </c>
      <c r="C52" s="1">
        <v>9.0</v>
      </c>
      <c r="D52" s="1">
        <v>8.0</v>
      </c>
      <c r="E52" s="1">
        <v>62.0</v>
      </c>
      <c r="F52" s="1">
        <v>7.0</v>
      </c>
    </row>
    <row r="53" ht="15.75" customHeight="1">
      <c r="A53" s="1">
        <v>8.0</v>
      </c>
      <c r="B53" s="1">
        <v>62.0</v>
      </c>
      <c r="C53" s="1">
        <v>5.0</v>
      </c>
      <c r="D53" s="1">
        <v>2.0</v>
      </c>
      <c r="E53" s="1">
        <v>10.0</v>
      </c>
      <c r="F53" s="1">
        <v>11.0</v>
      </c>
    </row>
    <row r="54" ht="15.75" customHeight="1">
      <c r="A54" s="1">
        <v>7.0</v>
      </c>
      <c r="B54" s="1">
        <v>1.0</v>
      </c>
      <c r="C54" s="1">
        <v>51.0</v>
      </c>
      <c r="D54" s="1">
        <v>1.0</v>
      </c>
      <c r="E54" s="1">
        <v>99.0</v>
      </c>
      <c r="F54" s="1">
        <v>52.0</v>
      </c>
    </row>
    <row r="55" ht="15.75" customHeight="1">
      <c r="A55" s="1">
        <v>1.0</v>
      </c>
      <c r="B55" s="1">
        <v>100.0</v>
      </c>
      <c r="C55" s="1">
        <v>52.0</v>
      </c>
      <c r="D55" s="1">
        <v>7.0</v>
      </c>
      <c r="E55" s="1">
        <v>2.0</v>
      </c>
      <c r="F55" s="1">
        <v>51.0</v>
      </c>
    </row>
    <row r="56" ht="15.75" customHeight="1">
      <c r="A56" s="1">
        <v>7.0</v>
      </c>
      <c r="B56" s="1">
        <v>1.0</v>
      </c>
      <c r="C56" s="1">
        <v>52.0</v>
      </c>
      <c r="D56" s="1">
        <v>1.0</v>
      </c>
      <c r="E56" s="1">
        <v>99.0</v>
      </c>
      <c r="F56" s="1">
        <v>53.0</v>
      </c>
    </row>
    <row r="57" ht="15.75" customHeight="1">
      <c r="A57" s="1">
        <v>1.0</v>
      </c>
      <c r="B57" s="1">
        <v>100.0</v>
      </c>
      <c r="C57" s="1">
        <v>53.0</v>
      </c>
      <c r="D57" s="1">
        <v>7.0</v>
      </c>
      <c r="E57" s="1">
        <v>2.0</v>
      </c>
      <c r="F57" s="1">
        <v>52.0</v>
      </c>
    </row>
    <row r="58" ht="15.75" customHeight="1">
      <c r="A58" s="1">
        <v>25.0</v>
      </c>
      <c r="B58" s="1">
        <v>44.0</v>
      </c>
      <c r="C58" s="1">
        <v>1.0</v>
      </c>
      <c r="D58" s="1">
        <v>1.0</v>
      </c>
      <c r="E58" s="1">
        <v>67.0</v>
      </c>
      <c r="F58" s="1">
        <v>99.0</v>
      </c>
    </row>
    <row r="59" ht="15.75" customHeight="1">
      <c r="A59" s="1">
        <v>25.0</v>
      </c>
      <c r="B59" s="1">
        <v>45.0</v>
      </c>
      <c r="C59" s="1">
        <v>1.0</v>
      </c>
      <c r="D59" s="1">
        <v>1.0</v>
      </c>
      <c r="E59" s="1">
        <v>68.0</v>
      </c>
      <c r="F59" s="1">
        <v>99.0</v>
      </c>
    </row>
    <row r="60" ht="15.75" customHeight="1">
      <c r="A60" s="1">
        <v>25.0</v>
      </c>
      <c r="B60" s="1">
        <v>46.0</v>
      </c>
      <c r="C60" s="1">
        <v>1.0</v>
      </c>
      <c r="D60" s="1">
        <v>1.0</v>
      </c>
      <c r="E60" s="1">
        <v>69.0</v>
      </c>
      <c r="F60" s="1">
        <v>99.0</v>
      </c>
    </row>
    <row r="61" ht="15.75" customHeight="1">
      <c r="A61" s="1">
        <v>1.0</v>
      </c>
      <c r="B61" s="1">
        <v>69.0</v>
      </c>
      <c r="C61" s="1">
        <v>100.0</v>
      </c>
      <c r="D61" s="1">
        <v>25.0</v>
      </c>
      <c r="E61" s="1">
        <v>46.0</v>
      </c>
      <c r="F61" s="1">
        <v>2.0</v>
      </c>
    </row>
    <row r="62" ht="15.75" customHeight="1">
      <c r="A62" s="1">
        <v>1.0</v>
      </c>
      <c r="B62" s="1">
        <v>68.0</v>
      </c>
      <c r="C62" s="1">
        <v>100.0</v>
      </c>
      <c r="D62" s="1">
        <v>25.0</v>
      </c>
      <c r="E62" s="1">
        <v>45.0</v>
      </c>
      <c r="F62" s="1">
        <v>2.0</v>
      </c>
    </row>
    <row r="63" ht="15.75" customHeight="1">
      <c r="A63" s="1">
        <v>1.0</v>
      </c>
      <c r="B63" s="1">
        <v>67.0</v>
      </c>
      <c r="C63" s="1">
        <v>100.0</v>
      </c>
      <c r="D63" s="1">
        <v>25.0</v>
      </c>
      <c r="E63" s="1">
        <v>44.0</v>
      </c>
      <c r="F63" s="1">
        <v>2.0</v>
      </c>
    </row>
    <row r="64" ht="15.75" customHeight="1">
      <c r="A64" s="1">
        <v>14.0</v>
      </c>
      <c r="B64" s="1">
        <v>48.0</v>
      </c>
      <c r="C64" s="1">
        <v>1.0</v>
      </c>
      <c r="D64" s="1">
        <v>25.0</v>
      </c>
      <c r="E64" s="1">
        <v>34.0</v>
      </c>
      <c r="F64" s="1">
        <v>99.0</v>
      </c>
    </row>
    <row r="65" ht="15.75" customHeight="1">
      <c r="A65" s="1">
        <v>14.0</v>
      </c>
      <c r="B65" s="1">
        <v>49.0</v>
      </c>
      <c r="C65" s="1">
        <v>1.0</v>
      </c>
      <c r="D65" s="1">
        <v>25.0</v>
      </c>
      <c r="E65" s="1">
        <v>35.0</v>
      </c>
      <c r="F65" s="1">
        <v>99.0</v>
      </c>
    </row>
    <row r="66" ht="15.75" customHeight="1">
      <c r="A66" s="1">
        <v>14.0</v>
      </c>
      <c r="B66" s="1">
        <v>50.0</v>
      </c>
      <c r="C66" s="1">
        <v>1.0</v>
      </c>
      <c r="D66" s="1">
        <v>25.0</v>
      </c>
      <c r="E66" s="1">
        <v>36.0</v>
      </c>
      <c r="F66" s="1">
        <v>99.0</v>
      </c>
    </row>
    <row r="67" ht="15.75" customHeight="1">
      <c r="A67" s="1">
        <v>25.0</v>
      </c>
      <c r="B67" s="1">
        <v>36.0</v>
      </c>
      <c r="C67" s="1">
        <v>100.0</v>
      </c>
      <c r="D67" s="1">
        <v>14.0</v>
      </c>
      <c r="E67" s="1">
        <v>50.0</v>
      </c>
      <c r="F67" s="1">
        <v>2.0</v>
      </c>
    </row>
    <row r="68" ht="15.75" customHeight="1">
      <c r="A68" s="1">
        <v>25.0</v>
      </c>
      <c r="B68" s="1">
        <v>35.0</v>
      </c>
      <c r="C68" s="1">
        <v>100.0</v>
      </c>
      <c r="D68" s="1">
        <v>14.0</v>
      </c>
      <c r="E68" s="1">
        <v>49.0</v>
      </c>
      <c r="F68" s="1">
        <v>2.0</v>
      </c>
    </row>
    <row r="69" ht="15.75" customHeight="1">
      <c r="A69" s="1">
        <v>25.0</v>
      </c>
      <c r="B69" s="1">
        <v>34.0</v>
      </c>
      <c r="C69" s="1">
        <v>100.0</v>
      </c>
      <c r="D69" s="1">
        <v>14.0</v>
      </c>
      <c r="E69" s="1">
        <v>48.0</v>
      </c>
      <c r="F69" s="1">
        <v>2.0</v>
      </c>
    </row>
    <row r="70" ht="15.75" customHeight="1">
      <c r="A70" s="1">
        <v>10.0</v>
      </c>
      <c r="B70" s="1">
        <v>100.0</v>
      </c>
      <c r="C70" s="1">
        <v>40.0</v>
      </c>
      <c r="D70" s="1">
        <v>14.0</v>
      </c>
      <c r="E70" s="1">
        <v>2.0</v>
      </c>
      <c r="F70" s="1">
        <v>22.0</v>
      </c>
    </row>
    <row r="71" ht="15.75" customHeight="1">
      <c r="A71" s="1">
        <v>10.0</v>
      </c>
      <c r="B71" s="1">
        <v>100.0</v>
      </c>
      <c r="C71" s="1">
        <v>41.0</v>
      </c>
      <c r="D71" s="1">
        <v>14.0</v>
      </c>
      <c r="E71" s="1">
        <v>2.0</v>
      </c>
      <c r="F71" s="1">
        <v>23.0</v>
      </c>
    </row>
    <row r="72" ht="15.75" customHeight="1">
      <c r="A72" s="1">
        <v>10.0</v>
      </c>
      <c r="B72" s="1">
        <v>100.0</v>
      </c>
      <c r="C72" s="1">
        <v>42.0</v>
      </c>
      <c r="D72" s="1">
        <v>14.0</v>
      </c>
      <c r="E72" s="1">
        <v>2.0</v>
      </c>
      <c r="F72" s="1">
        <v>24.0</v>
      </c>
    </row>
    <row r="73" ht="15.75" customHeight="1">
      <c r="A73" s="1">
        <v>14.0</v>
      </c>
      <c r="B73" s="1">
        <v>1.0</v>
      </c>
      <c r="C73" s="1">
        <v>24.0</v>
      </c>
      <c r="D73" s="1">
        <v>10.0</v>
      </c>
      <c r="E73" s="1">
        <v>99.0</v>
      </c>
      <c r="F73" s="1">
        <v>42.0</v>
      </c>
    </row>
    <row r="74" ht="15.75" customHeight="1">
      <c r="A74" s="1">
        <v>14.0</v>
      </c>
      <c r="B74" s="1">
        <v>1.0</v>
      </c>
      <c r="C74" s="1">
        <v>23.0</v>
      </c>
      <c r="D74" s="1">
        <v>10.0</v>
      </c>
      <c r="E74" s="1">
        <v>99.0</v>
      </c>
      <c r="F74" s="1">
        <v>41.0</v>
      </c>
    </row>
    <row r="75" ht="15.75" customHeight="1">
      <c r="A75" s="1">
        <v>14.0</v>
      </c>
      <c r="B75" s="1">
        <v>1.0</v>
      </c>
      <c r="C75" s="1">
        <v>22.0</v>
      </c>
      <c r="D75" s="1">
        <v>10.0</v>
      </c>
      <c r="E75" s="1">
        <v>99.0</v>
      </c>
      <c r="F75" s="1">
        <v>40.0</v>
      </c>
    </row>
    <row r="76" ht="15.75" customHeight="1">
      <c r="A76" s="1">
        <v>8.0</v>
      </c>
      <c r="B76" s="1">
        <v>65.0</v>
      </c>
      <c r="C76" s="1">
        <v>100.0</v>
      </c>
      <c r="D76" s="1">
        <v>10.0</v>
      </c>
      <c r="E76" s="1">
        <v>29.0</v>
      </c>
      <c r="F76" s="1">
        <v>2.0</v>
      </c>
    </row>
    <row r="77" ht="15.75" customHeight="1">
      <c r="A77" s="1">
        <v>8.0</v>
      </c>
      <c r="B77" s="1">
        <v>66.0</v>
      </c>
      <c r="C77" s="1">
        <v>100.0</v>
      </c>
      <c r="D77" s="1">
        <v>10.0</v>
      </c>
      <c r="E77" s="1">
        <v>29.0</v>
      </c>
      <c r="F77" s="1">
        <v>2.0</v>
      </c>
    </row>
    <row r="78" ht="15.75" customHeight="1">
      <c r="A78" s="1">
        <v>8.0</v>
      </c>
      <c r="B78" s="1">
        <v>67.0</v>
      </c>
      <c r="C78" s="1">
        <v>100.0</v>
      </c>
      <c r="D78" s="1">
        <v>10.0</v>
      </c>
      <c r="E78" s="1">
        <v>30.0</v>
      </c>
      <c r="F78" s="1">
        <v>2.0</v>
      </c>
    </row>
    <row r="79" ht="15.75" customHeight="1">
      <c r="A79" s="1">
        <v>10.0</v>
      </c>
      <c r="B79" s="1">
        <v>31.0</v>
      </c>
      <c r="C79" s="1">
        <v>1.0</v>
      </c>
      <c r="D79" s="1">
        <v>8.0</v>
      </c>
      <c r="E79" s="1">
        <v>67.0</v>
      </c>
      <c r="F79" s="1">
        <v>99.0</v>
      </c>
    </row>
    <row r="80" ht="15.75" customHeight="1">
      <c r="A80" s="1">
        <v>10.0</v>
      </c>
      <c r="B80" s="1">
        <v>30.0</v>
      </c>
      <c r="C80" s="1">
        <v>1.0</v>
      </c>
      <c r="D80" s="1">
        <v>8.0</v>
      </c>
      <c r="E80" s="1">
        <v>66.0</v>
      </c>
      <c r="F80" s="1">
        <v>99.0</v>
      </c>
    </row>
    <row r="81" ht="15.75" customHeight="1">
      <c r="A81" s="1">
        <v>10.0</v>
      </c>
      <c r="B81" s="1">
        <v>29.0</v>
      </c>
      <c r="C81" s="1">
        <v>1.0</v>
      </c>
      <c r="D81" s="1">
        <v>8.0</v>
      </c>
      <c r="E81" s="1">
        <v>65.0</v>
      </c>
      <c r="F81" s="1">
        <v>99.0</v>
      </c>
    </row>
    <row r="82" ht="15.75" customHeight="1">
      <c r="A82" s="1">
        <v>8.0</v>
      </c>
      <c r="B82" s="1">
        <v>68.0</v>
      </c>
      <c r="C82" s="1">
        <v>100.0</v>
      </c>
      <c r="D82" s="1">
        <v>10.0</v>
      </c>
      <c r="E82" s="1">
        <v>30.0</v>
      </c>
      <c r="F82" s="1">
        <v>2.0</v>
      </c>
    </row>
    <row r="83" ht="15.75" customHeight="1">
      <c r="A83" s="1">
        <v>27.0</v>
      </c>
      <c r="B83" s="1">
        <v>51.0</v>
      </c>
      <c r="C83" s="1">
        <v>1.0</v>
      </c>
      <c r="D83" s="1">
        <v>10.0</v>
      </c>
      <c r="E83" s="1">
        <v>34.0</v>
      </c>
      <c r="F83" s="1">
        <v>99.0</v>
      </c>
    </row>
    <row r="84" ht="15.75" customHeight="1">
      <c r="A84" s="1">
        <v>27.0</v>
      </c>
      <c r="B84" s="1">
        <v>52.0</v>
      </c>
      <c r="C84" s="1">
        <v>1.0</v>
      </c>
      <c r="D84" s="1">
        <v>10.0</v>
      </c>
      <c r="E84" s="1">
        <v>35.0</v>
      </c>
      <c r="F84" s="1">
        <v>99.0</v>
      </c>
    </row>
    <row r="85" ht="15.75" customHeight="1">
      <c r="A85" s="1">
        <v>27.0</v>
      </c>
      <c r="B85" s="1">
        <v>53.0</v>
      </c>
      <c r="C85" s="1">
        <v>1.0</v>
      </c>
      <c r="D85" s="1">
        <v>10.0</v>
      </c>
      <c r="E85" s="1">
        <v>36.0</v>
      </c>
      <c r="F85" s="1">
        <v>99.0</v>
      </c>
    </row>
    <row r="86" ht="15.75" customHeight="1">
      <c r="A86" s="1">
        <v>10.0</v>
      </c>
      <c r="B86" s="1">
        <v>36.0</v>
      </c>
      <c r="C86" s="1">
        <v>100.0</v>
      </c>
      <c r="D86" s="1">
        <v>27.0</v>
      </c>
      <c r="E86" s="1">
        <v>53.0</v>
      </c>
      <c r="F86" s="1">
        <v>2.0</v>
      </c>
    </row>
    <row r="87" ht="15.75" customHeight="1">
      <c r="A87" s="1">
        <v>10.0</v>
      </c>
      <c r="B87" s="1">
        <v>34.0</v>
      </c>
      <c r="C87" s="1">
        <v>100.0</v>
      </c>
      <c r="D87" s="1">
        <v>27.0</v>
      </c>
      <c r="E87" s="1">
        <v>51.0</v>
      </c>
      <c r="F87" s="1">
        <v>2.0</v>
      </c>
    </row>
    <row r="88" ht="15.75" customHeight="1">
      <c r="A88" s="1">
        <v>10.0</v>
      </c>
      <c r="B88" s="1">
        <v>33.0</v>
      </c>
      <c r="C88" s="1">
        <v>100.0</v>
      </c>
      <c r="D88" s="1">
        <v>27.0</v>
      </c>
      <c r="E88" s="1">
        <v>51.0</v>
      </c>
      <c r="F88" s="1">
        <v>2.0</v>
      </c>
    </row>
    <row r="89" ht="15.75" customHeight="1">
      <c r="A89" s="1">
        <v>10.0</v>
      </c>
      <c r="B89" s="1">
        <v>37.0</v>
      </c>
      <c r="C89" s="1">
        <v>100.0</v>
      </c>
      <c r="D89" s="1">
        <v>27.0</v>
      </c>
      <c r="E89" s="1">
        <v>53.0</v>
      </c>
      <c r="F89" s="1">
        <v>2.0</v>
      </c>
    </row>
    <row r="90" ht="15.75" customHeight="1">
      <c r="A90" s="1">
        <v>3.0</v>
      </c>
      <c r="B90" s="1">
        <v>50.0</v>
      </c>
      <c r="C90" s="1">
        <v>100.0</v>
      </c>
      <c r="D90" s="1">
        <v>1.0</v>
      </c>
      <c r="E90" s="1">
        <v>30.0</v>
      </c>
      <c r="F90" s="1">
        <v>2.0</v>
      </c>
    </row>
    <row r="91" ht="15.75" customHeight="1">
      <c r="A91" s="1">
        <v>3.0</v>
      </c>
      <c r="B91" s="1">
        <v>51.0</v>
      </c>
      <c r="C91" s="1">
        <v>100.0</v>
      </c>
      <c r="D91" s="1">
        <v>1.0</v>
      </c>
      <c r="E91" s="1">
        <v>31.0</v>
      </c>
      <c r="F91" s="1">
        <v>2.0</v>
      </c>
    </row>
    <row r="92" ht="15.75" customHeight="1">
      <c r="A92" s="1">
        <v>3.0</v>
      </c>
      <c r="B92" s="1">
        <v>52.0</v>
      </c>
      <c r="C92" s="1">
        <v>100.0</v>
      </c>
      <c r="D92" s="1">
        <v>1.0</v>
      </c>
      <c r="E92" s="1">
        <v>32.0</v>
      </c>
      <c r="F92" s="1">
        <v>2.0</v>
      </c>
    </row>
    <row r="93" ht="15.75" customHeight="1">
      <c r="A93" s="1">
        <v>1.0</v>
      </c>
      <c r="B93" s="1">
        <v>30.0</v>
      </c>
      <c r="C93" s="1">
        <v>1.0</v>
      </c>
      <c r="D93" s="1">
        <v>3.0</v>
      </c>
      <c r="E93" s="1">
        <v>50.0</v>
      </c>
      <c r="F93" s="1">
        <v>99.0</v>
      </c>
    </row>
    <row r="94" ht="15.75" customHeight="1">
      <c r="A94" s="1">
        <v>1.0</v>
      </c>
      <c r="B94" s="1">
        <v>31.0</v>
      </c>
      <c r="C94" s="1">
        <v>1.0</v>
      </c>
      <c r="D94" s="1">
        <v>3.0</v>
      </c>
      <c r="E94" s="1">
        <v>51.0</v>
      </c>
      <c r="F94" s="1">
        <v>99.0</v>
      </c>
    </row>
    <row r="95" ht="15.75" customHeight="1">
      <c r="A95" s="1">
        <v>1.0</v>
      </c>
      <c r="B95" s="1">
        <v>32.0</v>
      </c>
      <c r="C95" s="1">
        <v>1.0</v>
      </c>
      <c r="D95" s="1">
        <v>3.0</v>
      </c>
      <c r="E95" s="1">
        <v>52.0</v>
      </c>
      <c r="F95" s="1">
        <v>99.0</v>
      </c>
    </row>
    <row r="96" ht="15.75" customHeight="1">
      <c r="A96" s="1">
        <v>6.0</v>
      </c>
      <c r="B96" s="1">
        <v>100.0</v>
      </c>
      <c r="C96" s="1">
        <v>99.0</v>
      </c>
      <c r="D96" s="1">
        <v>3.0</v>
      </c>
      <c r="E96" s="1">
        <v>50.0</v>
      </c>
      <c r="F96" s="1">
        <v>55.0</v>
      </c>
    </row>
    <row r="97" ht="15.75" customHeight="1">
      <c r="A97" s="1">
        <v>6.0</v>
      </c>
      <c r="B97" s="1">
        <v>100.0</v>
      </c>
      <c r="C97" s="1">
        <v>98.0</v>
      </c>
      <c r="D97" s="1">
        <v>3.0</v>
      </c>
      <c r="E97" s="1">
        <v>51.0</v>
      </c>
      <c r="F97" s="1">
        <v>55.0</v>
      </c>
    </row>
    <row r="98" ht="15.75" customHeight="1">
      <c r="A98" s="1">
        <v>6.0</v>
      </c>
      <c r="B98" s="1">
        <v>100.0</v>
      </c>
      <c r="C98" s="1">
        <v>97.0</v>
      </c>
      <c r="D98" s="1">
        <v>3.0</v>
      </c>
      <c r="E98" s="1">
        <v>52.0</v>
      </c>
      <c r="F98" s="1">
        <v>55.0</v>
      </c>
    </row>
    <row r="99" ht="15.75" customHeight="1">
      <c r="A99" s="1">
        <v>6.0</v>
      </c>
      <c r="B99" s="1">
        <v>100.0</v>
      </c>
      <c r="C99" s="1">
        <v>96.0</v>
      </c>
      <c r="D99" s="1">
        <v>3.0</v>
      </c>
      <c r="E99" s="1">
        <v>53.0</v>
      </c>
      <c r="F99" s="1">
        <v>55.0</v>
      </c>
    </row>
    <row r="100" ht="15.75" customHeight="1">
      <c r="A100" s="1">
        <v>3.0</v>
      </c>
      <c r="B100" s="1">
        <v>53.0</v>
      </c>
      <c r="C100" s="1">
        <v>54.0</v>
      </c>
      <c r="D100" s="1">
        <v>6.0</v>
      </c>
      <c r="E100" s="1">
        <v>99.0</v>
      </c>
      <c r="F100" s="1">
        <v>96.0</v>
      </c>
    </row>
    <row r="101" ht="15.75" customHeight="1">
      <c r="A101" s="1">
        <v>3.0</v>
      </c>
      <c r="B101" s="1">
        <v>51.0</v>
      </c>
      <c r="C101" s="1">
        <v>54.0</v>
      </c>
      <c r="D101" s="1">
        <v>6.0</v>
      </c>
      <c r="E101" s="1">
        <v>99.0</v>
      </c>
      <c r="F101" s="1">
        <v>98.0</v>
      </c>
    </row>
    <row r="102" ht="15.75" customHeight="1">
      <c r="A102" s="1">
        <v>3.0</v>
      </c>
      <c r="B102" s="1">
        <v>50.0</v>
      </c>
      <c r="C102" s="1">
        <v>54.0</v>
      </c>
      <c r="D102" s="1">
        <v>6.0</v>
      </c>
      <c r="E102" s="1">
        <v>99.0</v>
      </c>
      <c r="F102" s="1">
        <v>99.0</v>
      </c>
    </row>
    <row r="103" ht="15.75" customHeight="1">
      <c r="A103" s="1">
        <v>3.0</v>
      </c>
      <c r="B103" s="1">
        <v>52.0</v>
      </c>
      <c r="C103" s="1">
        <v>54.0</v>
      </c>
      <c r="D103" s="1">
        <v>6.0</v>
      </c>
      <c r="E103" s="1">
        <v>99.0</v>
      </c>
      <c r="F103" s="1">
        <v>97.0</v>
      </c>
    </row>
    <row r="104" ht="15.75" customHeight="1">
      <c r="A104" s="1">
        <v>9.0</v>
      </c>
      <c r="B104" s="1">
        <v>1.0</v>
      </c>
      <c r="C104" s="1">
        <v>3.0</v>
      </c>
      <c r="D104" s="1">
        <v>6.0</v>
      </c>
      <c r="E104" s="1">
        <v>99.0</v>
      </c>
      <c r="F104" s="1">
        <v>74.0</v>
      </c>
    </row>
    <row r="105" ht="15.75" customHeight="1">
      <c r="A105" s="1">
        <v>9.0</v>
      </c>
      <c r="B105" s="1">
        <v>1.0</v>
      </c>
      <c r="C105" s="1">
        <v>4.0</v>
      </c>
      <c r="D105" s="1">
        <v>6.0</v>
      </c>
      <c r="E105" s="1">
        <v>99.0</v>
      </c>
      <c r="F105" s="1">
        <v>75.0</v>
      </c>
    </row>
    <row r="106" ht="15.75" customHeight="1">
      <c r="A106" s="1">
        <v>9.0</v>
      </c>
      <c r="B106" s="1">
        <v>1.0</v>
      </c>
      <c r="C106" s="1">
        <v>5.0</v>
      </c>
      <c r="D106" s="1">
        <v>6.0</v>
      </c>
      <c r="E106" s="1">
        <v>99.0</v>
      </c>
      <c r="F106" s="1">
        <v>76.0</v>
      </c>
    </row>
    <row r="107" ht="15.75" customHeight="1">
      <c r="A107" s="1">
        <v>9.0</v>
      </c>
      <c r="B107" s="1">
        <v>1.0</v>
      </c>
      <c r="C107" s="1">
        <v>6.0</v>
      </c>
      <c r="D107" s="1">
        <v>6.0</v>
      </c>
      <c r="E107" s="1">
        <v>99.0</v>
      </c>
      <c r="F107" s="1">
        <v>77.0</v>
      </c>
    </row>
    <row r="108" ht="15.75" customHeight="1">
      <c r="A108" s="1">
        <v>6.0</v>
      </c>
      <c r="B108" s="1">
        <v>100.0</v>
      </c>
      <c r="C108" s="1">
        <v>74.0</v>
      </c>
      <c r="D108" s="1">
        <v>9.0</v>
      </c>
      <c r="E108" s="1">
        <v>2.0</v>
      </c>
      <c r="F108" s="1">
        <v>3.0</v>
      </c>
    </row>
    <row r="109" ht="15.75" customHeight="1">
      <c r="A109" s="1">
        <v>6.0</v>
      </c>
      <c r="B109" s="1">
        <v>100.0</v>
      </c>
      <c r="C109" s="1">
        <v>75.0</v>
      </c>
      <c r="D109" s="1">
        <v>9.0</v>
      </c>
      <c r="E109" s="1">
        <v>2.0</v>
      </c>
      <c r="F109" s="1">
        <v>4.0</v>
      </c>
    </row>
    <row r="110" ht="15.75" customHeight="1">
      <c r="A110" s="1">
        <v>6.0</v>
      </c>
      <c r="B110" s="1">
        <v>100.0</v>
      </c>
      <c r="C110" s="1">
        <v>76.0</v>
      </c>
      <c r="D110" s="1">
        <v>9.0</v>
      </c>
      <c r="E110" s="1">
        <v>2.0</v>
      </c>
      <c r="F110" s="1">
        <v>5.0</v>
      </c>
    </row>
    <row r="111" ht="15.75" customHeight="1">
      <c r="A111" s="1">
        <v>6.0</v>
      </c>
      <c r="B111" s="1">
        <v>100.0</v>
      </c>
      <c r="C111" s="1">
        <v>77.0</v>
      </c>
      <c r="D111" s="1">
        <v>9.0</v>
      </c>
      <c r="E111" s="1">
        <v>2.0</v>
      </c>
      <c r="F111" s="1">
        <v>6.0</v>
      </c>
    </row>
    <row r="112" ht="15.75" customHeight="1">
      <c r="A112" s="1">
        <v>18.0</v>
      </c>
      <c r="B112" s="1">
        <v>98.0</v>
      </c>
      <c r="C112" s="1">
        <v>49.0</v>
      </c>
      <c r="D112" s="1">
        <v>16.0</v>
      </c>
      <c r="E112" s="1">
        <v>2.0</v>
      </c>
      <c r="F112" s="1">
        <v>49.0</v>
      </c>
    </row>
    <row r="113" ht="15.75" customHeight="1">
      <c r="A113" s="1">
        <v>18.0</v>
      </c>
      <c r="B113" s="1">
        <v>98.0</v>
      </c>
      <c r="C113" s="1">
        <v>50.0</v>
      </c>
      <c r="D113" s="1">
        <v>16.0</v>
      </c>
      <c r="E113" s="1">
        <v>2.0</v>
      </c>
      <c r="F113" s="1">
        <v>50.0</v>
      </c>
    </row>
    <row r="114" ht="15.75" customHeight="1">
      <c r="A114" s="1">
        <v>18.0</v>
      </c>
      <c r="B114" s="1">
        <v>98.0</v>
      </c>
      <c r="C114" s="1">
        <v>51.0</v>
      </c>
      <c r="D114" s="1">
        <v>16.0</v>
      </c>
      <c r="E114" s="1">
        <v>2.0</v>
      </c>
      <c r="F114" s="1">
        <v>51.0</v>
      </c>
    </row>
    <row r="115" ht="15.75" customHeight="1">
      <c r="A115" s="1">
        <v>16.0</v>
      </c>
      <c r="B115" s="1">
        <v>1.0</v>
      </c>
      <c r="C115" s="1">
        <v>49.0</v>
      </c>
      <c r="D115" s="1">
        <v>18.0</v>
      </c>
      <c r="E115" s="1">
        <v>97.0</v>
      </c>
      <c r="F115" s="1">
        <v>49.0</v>
      </c>
    </row>
    <row r="116" ht="15.75" customHeight="1">
      <c r="A116" s="1">
        <v>16.0</v>
      </c>
      <c r="B116" s="1">
        <v>1.0</v>
      </c>
      <c r="C116" s="1">
        <v>50.0</v>
      </c>
      <c r="D116" s="1">
        <v>18.0</v>
      </c>
      <c r="E116" s="1">
        <v>97.0</v>
      </c>
      <c r="F116" s="1">
        <v>50.0</v>
      </c>
    </row>
    <row r="117" ht="15.75" customHeight="1">
      <c r="A117" s="1">
        <v>16.0</v>
      </c>
      <c r="B117" s="1">
        <v>1.0</v>
      </c>
      <c r="C117" s="1">
        <v>51.0</v>
      </c>
      <c r="D117" s="1">
        <v>18.0</v>
      </c>
      <c r="E117" s="1">
        <v>97.0</v>
      </c>
      <c r="F117" s="1">
        <v>51.0</v>
      </c>
    </row>
    <row r="118" ht="15.75" customHeight="1">
      <c r="A118" s="1">
        <v>16.0</v>
      </c>
      <c r="B118" s="1">
        <v>100.0</v>
      </c>
      <c r="C118" s="1">
        <v>50.0</v>
      </c>
      <c r="D118" s="1">
        <v>19.0</v>
      </c>
      <c r="E118" s="1">
        <v>2.0</v>
      </c>
      <c r="F118" s="1">
        <v>46.0</v>
      </c>
    </row>
    <row r="119" ht="15.75" customHeight="1">
      <c r="A119" s="1">
        <v>19.0</v>
      </c>
      <c r="B119" s="1">
        <v>1.0</v>
      </c>
      <c r="C119" s="1">
        <v>46.0</v>
      </c>
      <c r="D119" s="1">
        <v>16.0</v>
      </c>
      <c r="E119" s="1">
        <v>99.0</v>
      </c>
      <c r="F119" s="1">
        <v>50.0</v>
      </c>
    </row>
    <row r="120" ht="15.75" customHeight="1">
      <c r="A120" s="1">
        <v>17.0</v>
      </c>
      <c r="B120" s="1">
        <v>49.0</v>
      </c>
      <c r="C120" s="1">
        <v>100.0</v>
      </c>
      <c r="D120" s="1">
        <v>16.0</v>
      </c>
      <c r="E120" s="1">
        <v>49.0</v>
      </c>
      <c r="F120" s="1">
        <v>2.0</v>
      </c>
    </row>
    <row r="121" ht="15.75" customHeight="1">
      <c r="A121" s="1">
        <v>17.0</v>
      </c>
      <c r="B121" s="1">
        <v>50.0</v>
      </c>
      <c r="C121" s="1">
        <v>100.0</v>
      </c>
      <c r="D121" s="1">
        <v>16.0</v>
      </c>
      <c r="E121" s="1">
        <v>50.0</v>
      </c>
      <c r="F121" s="1">
        <v>2.0</v>
      </c>
    </row>
    <row r="122" ht="15.75" customHeight="1">
      <c r="A122" s="1">
        <v>17.0</v>
      </c>
      <c r="B122" s="1">
        <v>51.0</v>
      </c>
      <c r="C122" s="1">
        <v>100.0</v>
      </c>
      <c r="D122" s="1">
        <v>16.0</v>
      </c>
      <c r="E122" s="1">
        <v>51.0</v>
      </c>
      <c r="F122" s="1">
        <v>2.0</v>
      </c>
    </row>
    <row r="123" ht="15.75" customHeight="1">
      <c r="A123" s="1">
        <v>16.0</v>
      </c>
      <c r="B123" s="1">
        <v>49.0</v>
      </c>
      <c r="C123" s="1">
        <v>1.0</v>
      </c>
      <c r="D123" s="1">
        <v>17.0</v>
      </c>
      <c r="E123" s="1">
        <v>49.0</v>
      </c>
      <c r="F123" s="1">
        <v>99.0</v>
      </c>
    </row>
    <row r="124" ht="15.75" customHeight="1">
      <c r="A124" s="1">
        <v>16.0</v>
      </c>
      <c r="B124" s="1">
        <v>50.0</v>
      </c>
      <c r="C124" s="1">
        <v>1.0</v>
      </c>
      <c r="D124" s="1">
        <v>17.0</v>
      </c>
      <c r="E124" s="1">
        <v>50.0</v>
      </c>
      <c r="F124" s="1">
        <v>99.0</v>
      </c>
    </row>
    <row r="125" ht="15.75" customHeight="1">
      <c r="A125" s="1">
        <v>16.0</v>
      </c>
      <c r="B125" s="1">
        <v>51.0</v>
      </c>
      <c r="C125" s="1">
        <v>1.0</v>
      </c>
      <c r="D125" s="1">
        <v>17.0</v>
      </c>
      <c r="E125" s="1">
        <v>51.0</v>
      </c>
      <c r="F125" s="1">
        <v>99.0</v>
      </c>
    </row>
    <row r="126" ht="15.75" customHeight="1">
      <c r="A126" s="1">
        <v>16.0</v>
      </c>
      <c r="B126" s="1">
        <v>50.0</v>
      </c>
      <c r="C126" s="1">
        <v>36.0</v>
      </c>
      <c r="D126" s="1">
        <v>36.0</v>
      </c>
      <c r="E126" s="1">
        <v>96.0</v>
      </c>
      <c r="F126" s="1">
        <v>99.0</v>
      </c>
    </row>
    <row r="127" ht="15.75" customHeight="1">
      <c r="A127" s="1">
        <v>36.0</v>
      </c>
      <c r="B127" s="1">
        <v>96.0</v>
      </c>
      <c r="C127" s="1">
        <v>100.0</v>
      </c>
      <c r="D127" s="1">
        <v>16.0</v>
      </c>
      <c r="E127" s="1">
        <v>50.0</v>
      </c>
      <c r="F127" s="1">
        <v>37.0</v>
      </c>
    </row>
    <row r="128" ht="15.75" customHeight="1">
      <c r="A128" s="1">
        <v>36.0</v>
      </c>
      <c r="B128" s="1">
        <v>97.0</v>
      </c>
      <c r="C128" s="1">
        <v>100.0</v>
      </c>
      <c r="D128" s="1">
        <v>16.0</v>
      </c>
      <c r="E128" s="1">
        <v>51.0</v>
      </c>
      <c r="F128" s="1">
        <v>37.0</v>
      </c>
    </row>
    <row r="129" ht="15.75" customHeight="1">
      <c r="A129" s="1">
        <v>36.0</v>
      </c>
      <c r="B129" s="1">
        <v>95.0</v>
      </c>
      <c r="C129" s="1">
        <v>100.0</v>
      </c>
      <c r="D129" s="1">
        <v>16.0</v>
      </c>
      <c r="E129" s="1">
        <v>49.0</v>
      </c>
      <c r="F129" s="1">
        <v>37.0</v>
      </c>
    </row>
    <row r="130" ht="15.75" customHeight="1">
      <c r="A130" s="1">
        <v>13.0</v>
      </c>
      <c r="B130" s="1">
        <v>92.0</v>
      </c>
      <c r="C130" s="1">
        <v>100.0</v>
      </c>
      <c r="D130" s="1">
        <v>11.0</v>
      </c>
      <c r="E130" s="1">
        <v>82.0</v>
      </c>
      <c r="F130" s="1">
        <v>2.0</v>
      </c>
    </row>
    <row r="131" ht="15.75" customHeight="1">
      <c r="A131" s="1">
        <v>13.0</v>
      </c>
      <c r="B131" s="1">
        <v>93.0</v>
      </c>
      <c r="C131" s="1">
        <v>100.0</v>
      </c>
      <c r="D131" s="1">
        <v>11.0</v>
      </c>
      <c r="E131" s="1">
        <v>83.0</v>
      </c>
      <c r="F131" s="1">
        <v>2.0</v>
      </c>
    </row>
    <row r="132" ht="15.75" customHeight="1">
      <c r="A132" s="1">
        <v>13.0</v>
      </c>
      <c r="B132" s="1">
        <v>94.0</v>
      </c>
      <c r="C132" s="1">
        <v>100.0</v>
      </c>
      <c r="D132" s="1">
        <v>11.0</v>
      </c>
      <c r="E132" s="1">
        <v>84.0</v>
      </c>
      <c r="F132" s="1">
        <v>2.0</v>
      </c>
    </row>
    <row r="133" ht="15.75" customHeight="1">
      <c r="A133" s="1">
        <v>11.0</v>
      </c>
      <c r="B133" s="1">
        <v>82.0</v>
      </c>
      <c r="C133" s="1">
        <v>1.0</v>
      </c>
      <c r="D133" s="1">
        <v>13.0</v>
      </c>
      <c r="E133" s="1">
        <v>92.0</v>
      </c>
      <c r="F133" s="1">
        <v>99.0</v>
      </c>
    </row>
    <row r="134" ht="15.75" customHeight="1">
      <c r="A134" s="1">
        <v>11.0</v>
      </c>
      <c r="B134" s="1">
        <v>83.0</v>
      </c>
      <c r="C134" s="1">
        <v>1.0</v>
      </c>
      <c r="D134" s="1">
        <v>13.0</v>
      </c>
      <c r="E134" s="1">
        <v>93.0</v>
      </c>
      <c r="F134" s="1">
        <v>99.0</v>
      </c>
    </row>
    <row r="135" ht="15.75" customHeight="1">
      <c r="A135" s="1">
        <v>11.0</v>
      </c>
      <c r="B135" s="1">
        <v>84.0</v>
      </c>
      <c r="C135" s="1">
        <v>1.0</v>
      </c>
      <c r="D135" s="1">
        <v>13.0</v>
      </c>
      <c r="E135" s="1">
        <v>94.0</v>
      </c>
      <c r="F135" s="1">
        <v>99.0</v>
      </c>
    </row>
    <row r="136" ht="15.75" customHeight="1">
      <c r="A136" s="1">
        <v>11.0</v>
      </c>
      <c r="B136" s="1">
        <v>87.0</v>
      </c>
      <c r="C136" s="1">
        <v>54.0</v>
      </c>
      <c r="D136" s="1">
        <v>11.0</v>
      </c>
      <c r="E136" s="1">
        <v>7.0</v>
      </c>
      <c r="F136" s="1">
        <v>98.0</v>
      </c>
    </row>
    <row r="137" ht="15.75" customHeight="1">
      <c r="A137" s="1">
        <v>11.0</v>
      </c>
      <c r="B137" s="1">
        <v>6.0</v>
      </c>
      <c r="C137" s="1">
        <v>98.0</v>
      </c>
      <c r="D137" s="1">
        <v>11.0</v>
      </c>
      <c r="E137" s="1">
        <v>83.0</v>
      </c>
      <c r="F137" s="1">
        <v>52.0</v>
      </c>
    </row>
    <row r="138" ht="15.75" customHeight="1">
      <c r="A138" s="1">
        <v>11.0</v>
      </c>
      <c r="B138" s="1">
        <v>6.0</v>
      </c>
      <c r="C138" s="1">
        <v>99.0</v>
      </c>
      <c r="D138" s="1">
        <v>11.0</v>
      </c>
      <c r="E138" s="1">
        <v>84.0</v>
      </c>
      <c r="F138" s="1">
        <v>52.0</v>
      </c>
    </row>
    <row r="139" ht="15.75" customHeight="1">
      <c r="A139" s="1">
        <v>1.0</v>
      </c>
      <c r="B139" s="1">
        <v>21.0</v>
      </c>
      <c r="C139" s="1">
        <v>25.0</v>
      </c>
      <c r="D139" s="1">
        <v>36.0</v>
      </c>
      <c r="E139" s="1">
        <v>22.0</v>
      </c>
      <c r="F139" s="1">
        <v>15.0</v>
      </c>
    </row>
    <row r="140" ht="15.75" customHeight="1">
      <c r="A140" s="1">
        <v>36.0</v>
      </c>
      <c r="B140" s="1">
        <v>21.0</v>
      </c>
      <c r="C140" s="1">
        <v>16.0</v>
      </c>
      <c r="D140" s="1">
        <v>1.0</v>
      </c>
      <c r="E140" s="1">
        <v>21.0</v>
      </c>
      <c r="F140" s="1">
        <v>27.0</v>
      </c>
    </row>
    <row r="141" ht="15.75" customHeight="1">
      <c r="A141" s="1">
        <v>1.0</v>
      </c>
      <c r="B141" s="1">
        <v>23.0</v>
      </c>
      <c r="C141" s="1">
        <v>25.0</v>
      </c>
      <c r="D141" s="1">
        <v>36.0</v>
      </c>
      <c r="E141" s="1">
        <v>24.0</v>
      </c>
      <c r="F141" s="1">
        <v>15.0</v>
      </c>
    </row>
    <row r="142" ht="15.75" customHeight="1">
      <c r="A142" s="1">
        <v>1.0</v>
      </c>
      <c r="B142" s="1">
        <v>22.0</v>
      </c>
      <c r="C142" s="1">
        <v>25.0</v>
      </c>
      <c r="D142" s="1">
        <v>36.0</v>
      </c>
      <c r="E142" s="1">
        <v>23.0</v>
      </c>
      <c r="F142" s="1">
        <v>15.0</v>
      </c>
    </row>
    <row r="143" ht="15.75" customHeight="1">
      <c r="A143" s="1">
        <v>36.0</v>
      </c>
      <c r="B143" s="1">
        <v>22.0</v>
      </c>
      <c r="C143" s="1">
        <v>16.0</v>
      </c>
      <c r="D143" s="1">
        <v>1.0</v>
      </c>
      <c r="E143" s="1">
        <v>21.0</v>
      </c>
      <c r="F143" s="1">
        <v>27.0</v>
      </c>
    </row>
    <row r="144" ht="15.75" customHeight="1">
      <c r="A144" s="1">
        <v>36.0</v>
      </c>
      <c r="B144" s="1">
        <v>23.0</v>
      </c>
      <c r="C144" s="1">
        <v>16.0</v>
      </c>
      <c r="D144" s="1">
        <v>1.0</v>
      </c>
      <c r="E144" s="1">
        <v>22.0</v>
      </c>
      <c r="F144" s="1">
        <v>27.0</v>
      </c>
    </row>
    <row r="145" ht="15.75" customHeight="1">
      <c r="A145" s="1">
        <v>36.0</v>
      </c>
      <c r="B145" s="1">
        <v>24.0</v>
      </c>
      <c r="C145" s="1">
        <v>16.0</v>
      </c>
      <c r="D145" s="1">
        <v>1.0</v>
      </c>
      <c r="E145" s="1">
        <v>23.0</v>
      </c>
      <c r="F145" s="1">
        <v>27.0</v>
      </c>
    </row>
    <row r="146" ht="15.75" customHeight="1">
      <c r="A146" s="1">
        <v>36.0</v>
      </c>
      <c r="B146" s="1">
        <v>6.0</v>
      </c>
      <c r="C146" s="1">
        <v>48.0</v>
      </c>
      <c r="D146" s="1">
        <v>1.0</v>
      </c>
      <c r="E146" s="1">
        <v>22.0</v>
      </c>
      <c r="F146" s="1">
        <v>48.0</v>
      </c>
    </row>
    <row r="147" ht="15.75" customHeight="1">
      <c r="A147" s="1">
        <v>36.0</v>
      </c>
      <c r="B147" s="1">
        <v>7.0</v>
      </c>
      <c r="C147" s="1">
        <v>48.0</v>
      </c>
      <c r="D147" s="1">
        <v>1.0</v>
      </c>
      <c r="E147" s="1">
        <v>23.0</v>
      </c>
      <c r="F147" s="1">
        <v>48.0</v>
      </c>
    </row>
    <row r="148" ht="15.75" customHeight="1">
      <c r="A148" s="1">
        <v>36.0</v>
      </c>
      <c r="B148" s="1">
        <v>5.0</v>
      </c>
      <c r="C148" s="1">
        <v>48.0</v>
      </c>
      <c r="D148" s="1">
        <v>1.0</v>
      </c>
      <c r="E148" s="1">
        <v>22.0</v>
      </c>
      <c r="F148" s="1">
        <v>48.0</v>
      </c>
    </row>
    <row r="149" ht="15.75" customHeight="1">
      <c r="A149" s="1">
        <v>36.0</v>
      </c>
      <c r="B149" s="1">
        <v>8.0</v>
      </c>
      <c r="C149" s="1">
        <v>48.0</v>
      </c>
      <c r="D149" s="1">
        <v>1.0</v>
      </c>
      <c r="E149" s="1">
        <v>23.0</v>
      </c>
      <c r="F149" s="1">
        <v>48.0</v>
      </c>
    </row>
    <row r="150" ht="15.75" customHeight="1">
      <c r="A150" s="1">
        <v>1.0</v>
      </c>
      <c r="B150" s="1">
        <v>22.0</v>
      </c>
      <c r="C150" s="1">
        <v>46.0</v>
      </c>
      <c r="D150" s="1">
        <v>36.0</v>
      </c>
      <c r="E150" s="1">
        <v>6.0</v>
      </c>
      <c r="F150" s="1">
        <v>46.0</v>
      </c>
    </row>
    <row r="151" ht="15.75" customHeight="1">
      <c r="A151" s="1">
        <v>1.0</v>
      </c>
      <c r="B151" s="1">
        <v>23.0</v>
      </c>
      <c r="C151" s="1">
        <v>46.0</v>
      </c>
      <c r="D151" s="1">
        <v>36.0</v>
      </c>
      <c r="E151" s="1">
        <v>7.0</v>
      </c>
      <c r="F151" s="1">
        <v>46.0</v>
      </c>
    </row>
    <row r="152" ht="15.75" customHeight="1">
      <c r="A152" s="1">
        <v>1.0</v>
      </c>
      <c r="B152" s="1">
        <v>12.0</v>
      </c>
      <c r="C152" s="1">
        <v>46.0</v>
      </c>
      <c r="D152" s="1">
        <v>36.0</v>
      </c>
      <c r="E152" s="1">
        <v>52.0</v>
      </c>
      <c r="F152" s="1">
        <v>13.0</v>
      </c>
    </row>
    <row r="153" ht="15.75" customHeight="1">
      <c r="A153" s="1">
        <v>1.0</v>
      </c>
      <c r="B153" s="1">
        <v>13.0</v>
      </c>
      <c r="C153" s="1">
        <v>46.0</v>
      </c>
      <c r="D153" s="1">
        <v>36.0</v>
      </c>
      <c r="E153" s="1">
        <v>53.0</v>
      </c>
      <c r="F153" s="1">
        <v>13.0</v>
      </c>
    </row>
    <row r="154" ht="15.75" customHeight="1">
      <c r="A154" s="1">
        <v>36.0</v>
      </c>
      <c r="B154" s="1">
        <v>51.0</v>
      </c>
      <c r="C154" s="1">
        <v>15.0</v>
      </c>
      <c r="D154" s="1">
        <v>1.0</v>
      </c>
      <c r="E154" s="1">
        <v>12.0</v>
      </c>
      <c r="F154" s="1">
        <v>48.0</v>
      </c>
    </row>
    <row r="155" ht="15.75" customHeight="1">
      <c r="A155" s="1">
        <v>36.0</v>
      </c>
      <c r="B155" s="1">
        <v>52.0</v>
      </c>
      <c r="C155" s="1">
        <v>15.0</v>
      </c>
      <c r="D155" s="1">
        <v>1.0</v>
      </c>
      <c r="E155" s="1">
        <v>12.0</v>
      </c>
      <c r="F155" s="1">
        <v>48.0</v>
      </c>
    </row>
    <row r="156" ht="15.75" customHeight="1">
      <c r="A156" s="1">
        <v>36.0</v>
      </c>
      <c r="B156" s="1">
        <v>53.0</v>
      </c>
      <c r="C156" s="1">
        <v>15.0</v>
      </c>
      <c r="D156" s="1">
        <v>1.0</v>
      </c>
      <c r="E156" s="1">
        <v>13.0</v>
      </c>
      <c r="F156" s="1">
        <v>48.0</v>
      </c>
    </row>
    <row r="157" ht="15.75" customHeight="1">
      <c r="A157" s="1">
        <v>36.0</v>
      </c>
      <c r="B157" s="1">
        <v>54.0</v>
      </c>
      <c r="C157" s="1">
        <v>15.0</v>
      </c>
      <c r="D157" s="1">
        <v>1.0</v>
      </c>
      <c r="E157" s="1">
        <v>13.0</v>
      </c>
      <c r="F157" s="1">
        <v>48.0</v>
      </c>
    </row>
    <row r="158" ht="15.75" customHeight="1">
      <c r="A158" s="1">
        <v>1.0</v>
      </c>
      <c r="B158" s="1">
        <v>54.0</v>
      </c>
      <c r="C158" s="1">
        <v>98.0</v>
      </c>
      <c r="D158" s="1">
        <v>36.0</v>
      </c>
      <c r="E158" s="1">
        <v>6.0</v>
      </c>
      <c r="F158" s="1">
        <v>98.0</v>
      </c>
    </row>
    <row r="159" ht="15.75" customHeight="1">
      <c r="A159" s="1">
        <v>1.0</v>
      </c>
      <c r="B159" s="1">
        <v>55.0</v>
      </c>
      <c r="C159" s="1">
        <v>98.0</v>
      </c>
      <c r="D159" s="1">
        <v>36.0</v>
      </c>
      <c r="E159" s="1">
        <v>6.0</v>
      </c>
      <c r="F159" s="1">
        <v>98.0</v>
      </c>
    </row>
    <row r="160" ht="15.75" customHeight="1">
      <c r="A160" s="1">
        <v>1.0</v>
      </c>
      <c r="B160" s="1">
        <v>56.0</v>
      </c>
      <c r="C160" s="1">
        <v>98.0</v>
      </c>
      <c r="D160" s="1">
        <v>36.0</v>
      </c>
      <c r="E160" s="1">
        <v>7.0</v>
      </c>
      <c r="F160" s="1">
        <v>98.0</v>
      </c>
    </row>
    <row r="161" ht="15.75" customHeight="1">
      <c r="A161" s="1">
        <v>36.0</v>
      </c>
      <c r="B161" s="1">
        <v>5.0</v>
      </c>
      <c r="C161" s="1">
        <v>100.0</v>
      </c>
      <c r="D161" s="1">
        <v>1.0</v>
      </c>
      <c r="E161" s="1">
        <v>54.0</v>
      </c>
      <c r="F161" s="1">
        <v>100.0</v>
      </c>
    </row>
    <row r="162" ht="15.75" customHeight="1">
      <c r="A162" s="1">
        <v>36.0</v>
      </c>
      <c r="B162" s="1">
        <v>6.0</v>
      </c>
      <c r="C162" s="1">
        <v>100.0</v>
      </c>
      <c r="D162" s="1">
        <v>1.0</v>
      </c>
      <c r="E162" s="1">
        <v>55.0</v>
      </c>
      <c r="F162" s="1">
        <v>100.0</v>
      </c>
    </row>
    <row r="163" ht="15.75" customHeight="1">
      <c r="A163" s="1">
        <v>36.0</v>
      </c>
      <c r="B163" s="1">
        <v>7.0</v>
      </c>
      <c r="C163" s="1">
        <v>100.0</v>
      </c>
      <c r="D163" s="1">
        <v>1.0</v>
      </c>
      <c r="E163" s="1">
        <v>55.0</v>
      </c>
      <c r="F163" s="1">
        <v>100.0</v>
      </c>
    </row>
    <row r="164" ht="15.75" customHeight="1">
      <c r="A164" s="1">
        <v>36.0</v>
      </c>
      <c r="B164" s="1">
        <v>8.0</v>
      </c>
      <c r="C164" s="1">
        <v>100.0</v>
      </c>
      <c r="D164" s="1">
        <v>1.0</v>
      </c>
      <c r="E164" s="1">
        <v>56.0</v>
      </c>
      <c r="F164" s="1">
        <v>100.0</v>
      </c>
    </row>
    <row r="165" ht="15.75" customHeight="1">
      <c r="A165" s="1">
        <v>1.0</v>
      </c>
      <c r="B165" s="1">
        <v>61.0</v>
      </c>
      <c r="C165" s="1">
        <v>82.0</v>
      </c>
      <c r="D165" s="1">
        <v>36.0</v>
      </c>
      <c r="E165" s="1">
        <v>61.0</v>
      </c>
      <c r="F165" s="1">
        <v>81.0</v>
      </c>
    </row>
    <row r="166" ht="15.75" customHeight="1">
      <c r="A166" s="1">
        <v>36.0</v>
      </c>
      <c r="B166" s="1">
        <v>60.0</v>
      </c>
      <c r="C166" s="1">
        <v>83.0</v>
      </c>
      <c r="D166" s="1">
        <v>1.0</v>
      </c>
      <c r="E166" s="1">
        <v>60.0</v>
      </c>
      <c r="F166" s="1">
        <v>84.0</v>
      </c>
    </row>
    <row r="167" ht="15.75" customHeight="1">
      <c r="A167" s="1">
        <v>36.0</v>
      </c>
      <c r="B167" s="1">
        <v>61.0</v>
      </c>
      <c r="C167" s="1">
        <v>83.0</v>
      </c>
      <c r="D167" s="1">
        <v>1.0</v>
      </c>
      <c r="E167" s="1">
        <v>61.0</v>
      </c>
      <c r="F167" s="1">
        <v>84.0</v>
      </c>
    </row>
    <row r="168" ht="15.75" customHeight="1">
      <c r="A168" s="1">
        <v>36.0</v>
      </c>
      <c r="B168" s="1">
        <v>62.0</v>
      </c>
      <c r="C168" s="1">
        <v>83.0</v>
      </c>
      <c r="D168" s="1">
        <v>1.0</v>
      </c>
      <c r="E168" s="1">
        <v>61.0</v>
      </c>
      <c r="F168" s="1">
        <v>84.0</v>
      </c>
    </row>
    <row r="169" ht="15.75" customHeight="1">
      <c r="A169" s="1">
        <v>36.0</v>
      </c>
      <c r="B169" s="1">
        <v>63.0</v>
      </c>
      <c r="C169" s="1">
        <v>83.0</v>
      </c>
      <c r="D169" s="1">
        <v>1.0</v>
      </c>
      <c r="E169" s="1">
        <v>62.0</v>
      </c>
      <c r="F169" s="1">
        <v>84.0</v>
      </c>
    </row>
    <row r="170" ht="15.75" customHeight="1">
      <c r="A170" s="1">
        <v>36.0</v>
      </c>
      <c r="B170" s="1">
        <v>6.0</v>
      </c>
      <c r="C170" s="1">
        <v>75.0</v>
      </c>
      <c r="D170" s="1">
        <v>1.0</v>
      </c>
      <c r="E170" s="1">
        <v>37.0</v>
      </c>
      <c r="F170" s="1">
        <v>81.0</v>
      </c>
    </row>
    <row r="171" ht="15.75" customHeight="1">
      <c r="A171" s="1">
        <v>36.0</v>
      </c>
      <c r="B171" s="1">
        <v>7.0</v>
      </c>
      <c r="C171" s="1">
        <v>75.0</v>
      </c>
      <c r="D171" s="1">
        <v>1.0</v>
      </c>
      <c r="E171" s="1">
        <v>37.0</v>
      </c>
      <c r="F171" s="1">
        <v>81.0</v>
      </c>
    </row>
    <row r="172" ht="15.75" customHeight="1">
      <c r="A172" s="1">
        <v>36.0</v>
      </c>
      <c r="B172" s="1">
        <v>8.0</v>
      </c>
      <c r="C172" s="1">
        <v>75.0</v>
      </c>
      <c r="D172" s="1">
        <v>1.0</v>
      </c>
      <c r="E172" s="1">
        <v>38.0</v>
      </c>
      <c r="F172" s="1">
        <v>81.0</v>
      </c>
    </row>
    <row r="173" ht="15.75" customHeight="1">
      <c r="A173" s="1">
        <v>36.0</v>
      </c>
      <c r="B173" s="1">
        <v>5.0</v>
      </c>
      <c r="C173" s="1">
        <v>75.0</v>
      </c>
      <c r="D173" s="1">
        <v>1.0</v>
      </c>
      <c r="E173" s="1">
        <v>36.0</v>
      </c>
      <c r="F173" s="1">
        <v>81.0</v>
      </c>
    </row>
    <row r="174" ht="15.75" customHeight="1">
      <c r="A174" s="1">
        <v>1.0</v>
      </c>
      <c r="B174" s="1">
        <v>37.0</v>
      </c>
      <c r="C174" s="1">
        <v>79.0</v>
      </c>
      <c r="D174" s="1">
        <v>36.0</v>
      </c>
      <c r="E174" s="1">
        <v>6.0</v>
      </c>
      <c r="F174" s="1">
        <v>73.0</v>
      </c>
    </row>
    <row r="175" ht="15.75" customHeight="1">
      <c r="A175" s="1">
        <v>1.0</v>
      </c>
      <c r="B175" s="1">
        <v>60.0</v>
      </c>
      <c r="C175" s="1">
        <v>51.0</v>
      </c>
      <c r="D175" s="1">
        <v>36.0</v>
      </c>
      <c r="E175" s="1">
        <v>38.0</v>
      </c>
      <c r="F175" s="1">
        <v>46.0</v>
      </c>
    </row>
    <row r="176" ht="15.75" customHeight="1">
      <c r="A176" s="1">
        <v>36.0</v>
      </c>
      <c r="B176" s="1">
        <v>38.0</v>
      </c>
      <c r="C176" s="1">
        <v>48.0</v>
      </c>
      <c r="D176" s="1">
        <v>1.0</v>
      </c>
      <c r="E176" s="1">
        <v>60.0</v>
      </c>
      <c r="F176" s="1">
        <v>53.0</v>
      </c>
    </row>
    <row r="177" ht="15.75" customHeight="1">
      <c r="A177" s="1">
        <v>36.0</v>
      </c>
      <c r="B177" s="1">
        <v>39.0</v>
      </c>
      <c r="C177" s="1">
        <v>48.0</v>
      </c>
      <c r="D177" s="1">
        <v>1.0</v>
      </c>
      <c r="E177" s="1">
        <v>60.0</v>
      </c>
      <c r="F177" s="1">
        <v>53.0</v>
      </c>
    </row>
    <row r="178" ht="15.75" customHeight="1">
      <c r="A178" s="1">
        <v>36.0</v>
      </c>
      <c r="B178" s="1">
        <v>40.0</v>
      </c>
      <c r="C178" s="1">
        <v>48.0</v>
      </c>
      <c r="D178" s="1">
        <v>1.0</v>
      </c>
      <c r="E178" s="1">
        <v>61.0</v>
      </c>
      <c r="F178" s="1">
        <v>53.0</v>
      </c>
    </row>
    <row r="179" ht="15.75" customHeight="1">
      <c r="A179" s="1">
        <v>36.0</v>
      </c>
      <c r="B179" s="1">
        <v>37.0</v>
      </c>
      <c r="C179" s="1">
        <v>48.0</v>
      </c>
      <c r="D179" s="1">
        <v>1.0</v>
      </c>
      <c r="E179" s="1">
        <v>59.0</v>
      </c>
      <c r="F179" s="1">
        <v>53.0</v>
      </c>
    </row>
    <row r="180" ht="15.75" customHeight="1">
      <c r="A180" s="1">
        <v>1.0</v>
      </c>
      <c r="B180" s="1">
        <v>59.0</v>
      </c>
      <c r="C180" s="1">
        <v>51.0</v>
      </c>
      <c r="D180" s="1">
        <v>36.0</v>
      </c>
      <c r="E180" s="1">
        <v>38.0</v>
      </c>
      <c r="F180" s="1">
        <v>46.0</v>
      </c>
    </row>
    <row r="181" ht="15.75" customHeight="1">
      <c r="A181" s="1">
        <v>1.0</v>
      </c>
      <c r="B181" s="1">
        <v>61.0</v>
      </c>
      <c r="C181" s="1">
        <v>51.0</v>
      </c>
      <c r="D181" s="1">
        <v>36.0</v>
      </c>
      <c r="E181" s="1">
        <v>39.0</v>
      </c>
      <c r="F181" s="1">
        <v>46.0</v>
      </c>
    </row>
    <row r="182" ht="15.75" customHeight="1">
      <c r="A182" s="1">
        <v>15.0</v>
      </c>
      <c r="B182" s="1">
        <v>9.0</v>
      </c>
      <c r="C182" s="1">
        <v>3.0</v>
      </c>
      <c r="D182" s="1">
        <v>15.0</v>
      </c>
      <c r="E182" s="1">
        <v>73.0</v>
      </c>
      <c r="F182" s="1">
        <v>36.0</v>
      </c>
    </row>
    <row r="183" ht="15.75" customHeight="1">
      <c r="A183" s="1">
        <v>15.0</v>
      </c>
      <c r="B183" s="1">
        <v>73.0</v>
      </c>
      <c r="C183" s="1">
        <v>38.0</v>
      </c>
      <c r="D183" s="1">
        <v>15.0</v>
      </c>
      <c r="E183" s="1">
        <v>9.0</v>
      </c>
      <c r="F183" s="1">
        <v>5.0</v>
      </c>
    </row>
    <row r="184" ht="15.75" customHeight="1">
      <c r="A184" s="1">
        <v>15.0</v>
      </c>
      <c r="B184" s="1">
        <v>5.0</v>
      </c>
      <c r="C184" s="1">
        <v>3.0</v>
      </c>
      <c r="D184" s="1">
        <v>15.0</v>
      </c>
      <c r="E184" s="1">
        <v>34.0</v>
      </c>
      <c r="F184" s="1">
        <v>36.0</v>
      </c>
    </row>
    <row r="185" ht="15.75" customHeight="1">
      <c r="A185" s="1">
        <v>15.0</v>
      </c>
      <c r="B185" s="1">
        <v>34.0</v>
      </c>
      <c r="C185" s="1">
        <v>38.0</v>
      </c>
      <c r="D185" s="1">
        <v>15.0</v>
      </c>
      <c r="E185" s="1">
        <v>5.0</v>
      </c>
      <c r="F185" s="1">
        <v>5.0</v>
      </c>
    </row>
    <row r="186" ht="15.75" customHeight="1">
      <c r="A186" s="1">
        <v>15.0</v>
      </c>
      <c r="B186" s="1">
        <v>35.0</v>
      </c>
      <c r="C186" s="1">
        <v>38.0</v>
      </c>
      <c r="D186" s="1">
        <v>15.0</v>
      </c>
      <c r="E186" s="1">
        <v>6.0</v>
      </c>
      <c r="F186" s="1">
        <v>5.0</v>
      </c>
    </row>
    <row r="187" ht="15.75" customHeight="1">
      <c r="A187" s="1">
        <v>11.0</v>
      </c>
      <c r="B187" s="1">
        <v>10.0</v>
      </c>
      <c r="C187" s="1">
        <v>3.0</v>
      </c>
      <c r="D187" s="1">
        <v>11.0</v>
      </c>
      <c r="E187" s="1">
        <v>85.0</v>
      </c>
      <c r="F187" s="1">
        <v>98.0</v>
      </c>
    </row>
    <row r="188" ht="15.75" customHeight="1">
      <c r="A188" s="1">
        <v>11.0</v>
      </c>
      <c r="B188" s="1">
        <v>9.0</v>
      </c>
      <c r="C188" s="1">
        <v>3.0</v>
      </c>
      <c r="D188" s="1">
        <v>11.0</v>
      </c>
      <c r="E188" s="1">
        <v>84.0</v>
      </c>
      <c r="F188" s="1">
        <v>98.0</v>
      </c>
    </row>
    <row r="189" ht="15.75" customHeight="1">
      <c r="A189" s="1">
        <v>11.0</v>
      </c>
      <c r="B189" s="1">
        <v>11.0</v>
      </c>
      <c r="C189" s="1">
        <v>3.0</v>
      </c>
      <c r="D189" s="1">
        <v>11.0</v>
      </c>
      <c r="E189" s="1">
        <v>86.0</v>
      </c>
      <c r="F189" s="1">
        <v>98.0</v>
      </c>
    </row>
    <row r="190" ht="15.75" customHeight="1">
      <c r="A190" s="1">
        <v>11.0</v>
      </c>
      <c r="B190" s="1">
        <v>85.0</v>
      </c>
      <c r="C190" s="1">
        <v>100.0</v>
      </c>
      <c r="D190" s="1">
        <v>11.0</v>
      </c>
      <c r="E190" s="1">
        <v>10.0</v>
      </c>
      <c r="F190" s="1">
        <v>5.0</v>
      </c>
    </row>
    <row r="191" ht="15.75" customHeight="1">
      <c r="A191" s="1">
        <v>11.0</v>
      </c>
      <c r="B191" s="1">
        <v>84.0</v>
      </c>
      <c r="C191" s="1">
        <v>100.0</v>
      </c>
      <c r="D191" s="1">
        <v>11.0</v>
      </c>
      <c r="E191" s="1">
        <v>9.0</v>
      </c>
      <c r="F191" s="1">
        <v>5.0</v>
      </c>
    </row>
    <row r="192" ht="15.75" customHeight="1">
      <c r="A192" s="1">
        <v>11.0</v>
      </c>
      <c r="B192" s="1">
        <v>86.0</v>
      </c>
      <c r="C192" s="1">
        <v>100.0</v>
      </c>
      <c r="D192" s="1">
        <v>11.0</v>
      </c>
      <c r="E192" s="1">
        <v>11.0</v>
      </c>
      <c r="F192" s="1">
        <v>5.0</v>
      </c>
    </row>
    <row r="193" ht="15.75" customHeight="1">
      <c r="A193" s="1">
        <v>12.0</v>
      </c>
      <c r="B193" s="1">
        <v>1.0</v>
      </c>
      <c r="C193" s="1">
        <v>19.0</v>
      </c>
      <c r="D193" s="1">
        <v>11.0</v>
      </c>
      <c r="E193" s="1">
        <v>98.0</v>
      </c>
      <c r="F193" s="1">
        <v>21.0</v>
      </c>
    </row>
    <row r="194" ht="15.75" customHeight="1">
      <c r="A194" s="1">
        <v>12.0</v>
      </c>
      <c r="B194" s="1">
        <v>1.0</v>
      </c>
      <c r="C194" s="1">
        <v>20.0</v>
      </c>
      <c r="D194" s="1">
        <v>11.0</v>
      </c>
      <c r="E194" s="1">
        <v>98.0</v>
      </c>
      <c r="F194" s="1">
        <v>22.0</v>
      </c>
    </row>
    <row r="195" ht="15.75" customHeight="1">
      <c r="A195" s="1">
        <v>12.0</v>
      </c>
      <c r="B195" s="1">
        <v>1.0</v>
      </c>
      <c r="C195" s="1">
        <v>21.0</v>
      </c>
      <c r="D195" s="1">
        <v>11.0</v>
      </c>
      <c r="E195" s="1">
        <v>98.0</v>
      </c>
      <c r="F195" s="1">
        <v>23.0</v>
      </c>
    </row>
    <row r="196" ht="15.75" customHeight="1">
      <c r="A196" s="1">
        <v>11.0</v>
      </c>
      <c r="B196" s="1">
        <v>100.0</v>
      </c>
      <c r="C196" s="1">
        <v>21.0</v>
      </c>
      <c r="D196" s="1">
        <v>12.0</v>
      </c>
      <c r="E196" s="1">
        <v>2.0</v>
      </c>
      <c r="F196" s="1">
        <v>19.0</v>
      </c>
    </row>
    <row r="197" ht="15.75" customHeight="1">
      <c r="A197" s="1">
        <v>11.0</v>
      </c>
      <c r="B197" s="1">
        <v>100.0</v>
      </c>
      <c r="C197" s="1">
        <v>22.0</v>
      </c>
      <c r="D197" s="1">
        <v>12.0</v>
      </c>
      <c r="E197" s="1">
        <v>2.0</v>
      </c>
      <c r="F197" s="1">
        <v>20.0</v>
      </c>
    </row>
    <row r="198" ht="15.75" customHeight="1">
      <c r="A198" s="1">
        <v>11.0</v>
      </c>
      <c r="B198" s="1">
        <v>100.0</v>
      </c>
      <c r="C198" s="1">
        <v>23.0</v>
      </c>
      <c r="D198" s="1">
        <v>12.0</v>
      </c>
      <c r="E198" s="1">
        <v>2.0</v>
      </c>
      <c r="F198" s="1">
        <v>21.0</v>
      </c>
    </row>
    <row r="199" ht="15.75" customHeight="1">
      <c r="A199" s="1">
        <v>12.0</v>
      </c>
      <c r="B199" s="1">
        <v>86.0</v>
      </c>
      <c r="C199" s="1">
        <v>15.0</v>
      </c>
      <c r="D199" s="1">
        <v>12.0</v>
      </c>
      <c r="E199" s="1">
        <v>96.0</v>
      </c>
      <c r="F199" s="1">
        <v>97.0</v>
      </c>
    </row>
    <row r="200" ht="15.75" customHeight="1">
      <c r="A200" s="1">
        <v>12.0</v>
      </c>
      <c r="B200" s="1">
        <v>96.0</v>
      </c>
      <c r="C200" s="1">
        <v>98.0</v>
      </c>
      <c r="D200" s="1">
        <v>12.0</v>
      </c>
      <c r="E200" s="1">
        <v>86.0</v>
      </c>
      <c r="F200" s="1">
        <v>14.0</v>
      </c>
    </row>
    <row r="201" ht="15.75" customHeight="1">
      <c r="A201" s="1">
        <v>12.0</v>
      </c>
      <c r="B201" s="1">
        <v>97.0</v>
      </c>
      <c r="C201" s="1">
        <v>98.0</v>
      </c>
      <c r="D201" s="1">
        <v>12.0</v>
      </c>
      <c r="E201" s="1">
        <v>87.0</v>
      </c>
      <c r="F201" s="1">
        <v>15.0</v>
      </c>
    </row>
    <row r="202" ht="15.75" customHeight="1">
      <c r="A202" s="1">
        <v>9.0</v>
      </c>
      <c r="B202" s="1">
        <v>1.0</v>
      </c>
      <c r="C202" s="1">
        <v>34.0</v>
      </c>
      <c r="D202" s="1">
        <v>9.0</v>
      </c>
      <c r="E202" s="1">
        <v>42.0</v>
      </c>
      <c r="F202" s="1">
        <v>19.0</v>
      </c>
    </row>
    <row r="203" ht="15.75" customHeight="1">
      <c r="A203" s="1">
        <v>9.0</v>
      </c>
      <c r="B203" s="1">
        <v>41.0</v>
      </c>
      <c r="C203" s="1">
        <v>21.0</v>
      </c>
      <c r="D203" s="1">
        <v>9.0</v>
      </c>
      <c r="E203" s="1">
        <v>2.0</v>
      </c>
      <c r="F203" s="1">
        <v>29.0</v>
      </c>
    </row>
    <row r="204" ht="15.75" customHeight="1">
      <c r="A204" s="1">
        <v>9.0</v>
      </c>
      <c r="B204" s="1">
        <v>42.0</v>
      </c>
      <c r="C204" s="1">
        <v>21.0</v>
      </c>
      <c r="D204" s="1">
        <v>9.0</v>
      </c>
      <c r="E204" s="1">
        <v>3.0</v>
      </c>
      <c r="F204" s="1">
        <v>29.0</v>
      </c>
    </row>
    <row r="205" ht="15.75" customHeight="1">
      <c r="A205" s="1">
        <v>9.0</v>
      </c>
      <c r="B205" s="1">
        <v>43.0</v>
      </c>
      <c r="C205" s="1">
        <v>21.0</v>
      </c>
      <c r="D205" s="1">
        <v>9.0</v>
      </c>
      <c r="E205" s="1">
        <v>4.0</v>
      </c>
      <c r="F205" s="1">
        <v>29.0</v>
      </c>
    </row>
    <row r="206" ht="15.75" customHeight="1">
      <c r="A206" s="1">
        <v>29.0</v>
      </c>
      <c r="B206" s="1">
        <v>50.0</v>
      </c>
      <c r="C206" s="1">
        <v>94.0</v>
      </c>
      <c r="D206" s="1">
        <v>35.0</v>
      </c>
      <c r="E206" s="1">
        <v>78.0</v>
      </c>
      <c r="F206" s="1">
        <v>17.0</v>
      </c>
    </row>
    <row r="207" ht="15.75" customHeight="1">
      <c r="A207" s="1">
        <v>35.0</v>
      </c>
      <c r="B207" s="1">
        <v>77.0</v>
      </c>
      <c r="C207" s="1">
        <v>15.0</v>
      </c>
      <c r="D207" s="1">
        <v>29.0</v>
      </c>
      <c r="E207" s="1">
        <v>49.0</v>
      </c>
      <c r="F207" s="1">
        <v>93.0</v>
      </c>
    </row>
    <row r="208" ht="15.75" customHeight="1">
      <c r="A208" s="1">
        <v>35.0</v>
      </c>
      <c r="B208" s="1">
        <v>78.0</v>
      </c>
      <c r="C208" s="1">
        <v>15.0</v>
      </c>
      <c r="D208" s="1">
        <v>29.0</v>
      </c>
      <c r="E208" s="1">
        <v>50.0</v>
      </c>
      <c r="F208" s="1">
        <v>93.0</v>
      </c>
    </row>
    <row r="209" ht="15.75" customHeight="1">
      <c r="A209" s="1">
        <v>35.0</v>
      </c>
      <c r="B209" s="1">
        <v>79.0</v>
      </c>
      <c r="C209" s="1">
        <v>15.0</v>
      </c>
      <c r="D209" s="1">
        <v>29.0</v>
      </c>
      <c r="E209" s="1">
        <v>51.0</v>
      </c>
      <c r="F209" s="1">
        <v>93.0</v>
      </c>
    </row>
    <row r="210" ht="15.75" customHeight="1">
      <c r="A210" s="1">
        <v>35.0</v>
      </c>
      <c r="B210" s="1">
        <v>79.0</v>
      </c>
      <c r="C210" s="1">
        <v>43.0</v>
      </c>
      <c r="D210" s="1">
        <v>1.0</v>
      </c>
      <c r="E210" s="1">
        <v>50.0</v>
      </c>
      <c r="F210" s="1">
        <v>61.0</v>
      </c>
    </row>
    <row r="211" ht="15.75" customHeight="1">
      <c r="A211" s="1">
        <v>35.0</v>
      </c>
      <c r="B211" s="1">
        <v>80.0</v>
      </c>
      <c r="C211" s="1">
        <v>43.0</v>
      </c>
      <c r="D211" s="1">
        <v>1.0</v>
      </c>
      <c r="E211" s="1">
        <v>51.0</v>
      </c>
      <c r="F211" s="1">
        <v>61.0</v>
      </c>
    </row>
    <row r="212" ht="15.75" customHeight="1">
      <c r="A212" s="1">
        <v>1.0</v>
      </c>
      <c r="B212" s="1">
        <v>40.0</v>
      </c>
      <c r="C212" s="1">
        <v>50.0</v>
      </c>
      <c r="D212" s="1">
        <v>36.0</v>
      </c>
      <c r="E212" s="1">
        <v>35.0</v>
      </c>
      <c r="F212" s="1">
        <v>98.0</v>
      </c>
    </row>
    <row r="213" ht="15.75" customHeight="1">
      <c r="A213" s="1">
        <v>36.0</v>
      </c>
      <c r="B213" s="1">
        <v>35.0</v>
      </c>
      <c r="C213" s="1">
        <v>100.0</v>
      </c>
      <c r="D213" s="1">
        <v>1.0</v>
      </c>
      <c r="E213" s="1">
        <v>40.0</v>
      </c>
      <c r="F213" s="1">
        <v>51.0</v>
      </c>
    </row>
    <row r="214" ht="15.75" customHeight="1">
      <c r="A214" s="1">
        <v>36.0</v>
      </c>
      <c r="B214" s="1">
        <v>36.0</v>
      </c>
      <c r="C214" s="1">
        <v>100.0</v>
      </c>
      <c r="D214" s="1">
        <v>1.0</v>
      </c>
      <c r="E214" s="1">
        <v>41.0</v>
      </c>
      <c r="F214" s="1">
        <v>51.0</v>
      </c>
    </row>
    <row r="215" ht="15.75" customHeight="1">
      <c r="A215" s="1">
        <v>36.0</v>
      </c>
      <c r="B215" s="1">
        <v>37.0</v>
      </c>
      <c r="C215" s="1">
        <v>100.0</v>
      </c>
      <c r="D215" s="1">
        <v>1.0</v>
      </c>
      <c r="E215" s="1">
        <v>41.0</v>
      </c>
      <c r="F215" s="1">
        <v>51.0</v>
      </c>
    </row>
    <row r="216" ht="15.75" customHeight="1">
      <c r="A216" s="1">
        <v>36.0</v>
      </c>
      <c r="B216" s="1">
        <v>34.0</v>
      </c>
      <c r="C216" s="1">
        <v>100.0</v>
      </c>
      <c r="D216" s="1">
        <v>1.0</v>
      </c>
      <c r="E216" s="1">
        <v>39.0</v>
      </c>
      <c r="F216" s="1">
        <v>51.0</v>
      </c>
    </row>
    <row r="217" ht="15.75" customHeight="1">
      <c r="A217" s="1">
        <v>24.0</v>
      </c>
      <c r="B217" s="1">
        <v>37.0</v>
      </c>
      <c r="C217" s="1">
        <v>81.0</v>
      </c>
      <c r="D217" s="1">
        <v>24.0</v>
      </c>
      <c r="E217" s="1">
        <v>49.0</v>
      </c>
      <c r="F217" s="1">
        <v>94.0</v>
      </c>
    </row>
    <row r="218" ht="15.75" customHeight="1">
      <c r="A218" s="1">
        <v>24.0</v>
      </c>
      <c r="B218" s="1">
        <v>49.0</v>
      </c>
      <c r="C218" s="1">
        <v>96.0</v>
      </c>
      <c r="D218" s="1">
        <v>24.0</v>
      </c>
      <c r="E218" s="1">
        <v>35.0</v>
      </c>
      <c r="F218" s="1">
        <v>81.0</v>
      </c>
    </row>
    <row r="219" ht="15.75" customHeight="1">
      <c r="A219" s="1">
        <v>24.0</v>
      </c>
      <c r="B219" s="1">
        <v>64.0</v>
      </c>
      <c r="C219" s="1">
        <v>81.0</v>
      </c>
      <c r="D219" s="1">
        <v>24.0</v>
      </c>
      <c r="E219" s="1">
        <v>52.0</v>
      </c>
      <c r="F219" s="1">
        <v>94.0</v>
      </c>
    </row>
    <row r="220" ht="15.75" customHeight="1">
      <c r="A220" s="1">
        <v>24.0</v>
      </c>
      <c r="B220" s="1">
        <v>52.0</v>
      </c>
      <c r="C220" s="1">
        <v>96.0</v>
      </c>
      <c r="D220" s="1">
        <v>24.0</v>
      </c>
      <c r="E220" s="1">
        <v>66.0</v>
      </c>
      <c r="F220" s="1">
        <v>81.0</v>
      </c>
    </row>
    <row r="221" ht="15.75" customHeight="1">
      <c r="A221" s="1">
        <v>24.0</v>
      </c>
      <c r="B221" s="1">
        <v>96.0</v>
      </c>
      <c r="C221" s="1">
        <v>94.0</v>
      </c>
      <c r="D221" s="1">
        <v>29.0</v>
      </c>
      <c r="E221" s="1">
        <v>55.0</v>
      </c>
      <c r="F221" s="1">
        <v>15.0</v>
      </c>
    </row>
    <row r="222" ht="15.75" customHeight="1">
      <c r="A222" s="1">
        <v>29.0</v>
      </c>
      <c r="B222" s="1">
        <v>53.0</v>
      </c>
      <c r="C222" s="1">
        <v>15.0</v>
      </c>
      <c r="D222" s="1">
        <v>24.0</v>
      </c>
      <c r="E222" s="1">
        <v>96.0</v>
      </c>
      <c r="F222" s="1">
        <v>92.0</v>
      </c>
    </row>
    <row r="223" ht="15.75" customHeight="1">
      <c r="A223" s="1">
        <v>29.0</v>
      </c>
      <c r="B223" s="1">
        <v>48.0</v>
      </c>
      <c r="C223" s="1">
        <v>6.0</v>
      </c>
      <c r="D223" s="1">
        <v>24.0</v>
      </c>
      <c r="E223" s="1">
        <v>5.0</v>
      </c>
      <c r="F223" s="1">
        <v>92.0</v>
      </c>
    </row>
    <row r="224" ht="15.75" customHeight="1">
      <c r="A224" s="1">
        <v>24.0</v>
      </c>
      <c r="B224" s="1">
        <v>5.0</v>
      </c>
      <c r="C224" s="1">
        <v>94.0</v>
      </c>
      <c r="D224" s="1">
        <v>29.0</v>
      </c>
      <c r="E224" s="1">
        <v>46.0</v>
      </c>
      <c r="F224" s="1">
        <v>6.0</v>
      </c>
    </row>
    <row r="225" ht="15.75" customHeight="1">
      <c r="A225" s="1">
        <v>24.0</v>
      </c>
      <c r="B225" s="1">
        <v>37.0</v>
      </c>
      <c r="C225" s="1">
        <v>67.0</v>
      </c>
      <c r="D225" s="1">
        <v>24.0</v>
      </c>
      <c r="E225" s="1">
        <v>4.0</v>
      </c>
      <c r="F225" s="1">
        <v>45.0</v>
      </c>
    </row>
    <row r="226" ht="15.75" customHeight="1">
      <c r="A226" s="1">
        <v>24.0</v>
      </c>
      <c r="B226" s="1">
        <v>4.0</v>
      </c>
      <c r="C226" s="1">
        <v>43.0</v>
      </c>
      <c r="D226" s="1">
        <v>24.0</v>
      </c>
      <c r="E226" s="1">
        <v>39.0</v>
      </c>
      <c r="F226" s="1">
        <v>67.0</v>
      </c>
    </row>
    <row r="227" ht="15.75" customHeight="1">
      <c r="A227" s="1">
        <v>24.0</v>
      </c>
      <c r="B227" s="1">
        <v>64.0</v>
      </c>
      <c r="C227" s="1">
        <v>67.0</v>
      </c>
      <c r="D227" s="1">
        <v>24.0</v>
      </c>
      <c r="E227" s="1">
        <v>97.0</v>
      </c>
      <c r="F227" s="1">
        <v>45.0</v>
      </c>
    </row>
    <row r="228" ht="15.75" customHeight="1">
      <c r="A228" s="1">
        <v>24.0</v>
      </c>
      <c r="B228" s="1">
        <v>97.0</v>
      </c>
      <c r="C228" s="1">
        <v>43.0</v>
      </c>
      <c r="D228" s="1">
        <v>24.0</v>
      </c>
      <c r="E228" s="1">
        <v>62.0</v>
      </c>
      <c r="F228" s="1">
        <v>67.0</v>
      </c>
    </row>
    <row r="229" ht="15.75" customHeight="1">
      <c r="A229" s="1">
        <v>24.0</v>
      </c>
      <c r="B229" s="1">
        <v>56.0</v>
      </c>
      <c r="C229" s="1">
        <v>42.0</v>
      </c>
      <c r="D229" s="1">
        <v>24.0</v>
      </c>
      <c r="E229" s="1">
        <v>73.0</v>
      </c>
      <c r="F229" s="1">
        <v>40.0</v>
      </c>
    </row>
    <row r="230" ht="15.75" customHeight="1">
      <c r="A230" s="1">
        <v>24.0</v>
      </c>
      <c r="B230" s="1">
        <v>73.0</v>
      </c>
      <c r="C230" s="1">
        <v>38.0</v>
      </c>
      <c r="D230" s="1">
        <v>24.0</v>
      </c>
      <c r="E230" s="1">
        <v>56.0</v>
      </c>
      <c r="F230" s="1">
        <v>40.0</v>
      </c>
    </row>
    <row r="231" ht="15.75" customHeight="1">
      <c r="A231" s="1">
        <v>24.0</v>
      </c>
      <c r="B231" s="1">
        <v>28.0</v>
      </c>
      <c r="C231" s="1">
        <v>37.0</v>
      </c>
      <c r="D231" s="1">
        <v>24.0</v>
      </c>
      <c r="E231" s="1">
        <v>45.0</v>
      </c>
      <c r="F231" s="1">
        <v>40.0</v>
      </c>
    </row>
    <row r="232" ht="15.75" customHeight="1">
      <c r="A232" s="1">
        <v>24.0</v>
      </c>
      <c r="B232" s="1">
        <v>45.0</v>
      </c>
      <c r="C232" s="1">
        <v>42.0</v>
      </c>
      <c r="D232" s="1">
        <v>24.0</v>
      </c>
      <c r="E232" s="1">
        <v>28.0</v>
      </c>
      <c r="F232" s="1">
        <v>39.0</v>
      </c>
    </row>
    <row r="233" ht="15.75" customHeight="1">
      <c r="A233" s="1">
        <v>2.0</v>
      </c>
      <c r="B233" s="1">
        <v>99.0</v>
      </c>
      <c r="C233" s="1">
        <v>89.0</v>
      </c>
      <c r="D233" s="1">
        <v>2.0</v>
      </c>
      <c r="E233" s="1">
        <v>29.0</v>
      </c>
      <c r="F233" s="1">
        <v>25.0</v>
      </c>
    </row>
    <row r="234" ht="15.75" customHeight="1">
      <c r="A234" s="1">
        <v>2.0</v>
      </c>
      <c r="B234" s="1">
        <v>29.0</v>
      </c>
      <c r="C234" s="1">
        <v>22.0</v>
      </c>
      <c r="D234" s="1">
        <v>2.0</v>
      </c>
      <c r="E234" s="1">
        <v>97.0</v>
      </c>
      <c r="F234" s="1">
        <v>90.0</v>
      </c>
    </row>
    <row r="235" ht="15.75" customHeight="1">
      <c r="A235" s="1">
        <v>2.0</v>
      </c>
      <c r="B235" s="1">
        <v>9.0</v>
      </c>
      <c r="C235" s="1">
        <v>69.0</v>
      </c>
      <c r="D235" s="1">
        <v>2.0</v>
      </c>
      <c r="E235" s="1">
        <v>95.0</v>
      </c>
      <c r="F235" s="1">
        <v>8.0</v>
      </c>
    </row>
    <row r="236" ht="15.75" customHeight="1">
      <c r="A236" s="1">
        <v>2.0</v>
      </c>
      <c r="B236" s="1">
        <v>91.0</v>
      </c>
      <c r="C236" s="1">
        <v>8.0</v>
      </c>
      <c r="D236" s="1">
        <v>2.0</v>
      </c>
      <c r="E236" s="1">
        <v>11.0</v>
      </c>
      <c r="F236" s="1">
        <v>73.0</v>
      </c>
    </row>
    <row r="237" ht="15.75" customHeight="1">
      <c r="A237" s="1">
        <v>2.0</v>
      </c>
      <c r="B237" s="1">
        <v>92.0</v>
      </c>
      <c r="C237" s="1">
        <v>8.0</v>
      </c>
      <c r="D237" s="1">
        <v>2.0</v>
      </c>
      <c r="E237" s="1">
        <v>11.0</v>
      </c>
      <c r="F237" s="1">
        <v>73.0</v>
      </c>
    </row>
    <row r="238" ht="15.75" customHeight="1">
      <c r="A238" s="1">
        <v>2.0</v>
      </c>
      <c r="B238" s="1">
        <v>92.0</v>
      </c>
      <c r="C238" s="1">
        <v>9.0</v>
      </c>
      <c r="D238" s="1">
        <v>2.0</v>
      </c>
      <c r="E238" s="1">
        <v>11.0</v>
      </c>
      <c r="F238" s="1">
        <v>73.0</v>
      </c>
    </row>
    <row r="239" ht="15.75" customHeight="1">
      <c r="A239" s="1">
        <v>2.0</v>
      </c>
      <c r="B239" s="1">
        <v>91.0</v>
      </c>
      <c r="C239" s="1">
        <v>9.0</v>
      </c>
      <c r="D239" s="1">
        <v>2.0</v>
      </c>
      <c r="E239" s="1">
        <v>11.0</v>
      </c>
      <c r="F239" s="1">
        <v>73.0</v>
      </c>
    </row>
    <row r="240" ht="15.75" customHeight="1">
      <c r="A240" s="1">
        <v>42.0</v>
      </c>
      <c r="B240" s="1">
        <v>42.0</v>
      </c>
      <c r="C240" s="1">
        <v>100.0</v>
      </c>
      <c r="D240" s="1">
        <v>8.0</v>
      </c>
      <c r="E240" s="1">
        <v>37.0</v>
      </c>
      <c r="F240" s="1">
        <v>3.0</v>
      </c>
    </row>
    <row r="241" ht="15.75" customHeight="1">
      <c r="A241" s="1">
        <v>42.0</v>
      </c>
      <c r="B241" s="1">
        <v>43.0</v>
      </c>
      <c r="C241" s="1">
        <v>100.0</v>
      </c>
      <c r="D241" s="1">
        <v>8.0</v>
      </c>
      <c r="E241" s="1">
        <v>38.0</v>
      </c>
      <c r="F241" s="1">
        <v>3.0</v>
      </c>
    </row>
    <row r="242" ht="15.75" customHeight="1">
      <c r="A242" s="1">
        <v>8.0</v>
      </c>
      <c r="B242" s="1">
        <v>37.0</v>
      </c>
      <c r="C242" s="1">
        <v>1.0</v>
      </c>
      <c r="D242" s="1">
        <v>42.0</v>
      </c>
      <c r="E242" s="1">
        <v>42.0</v>
      </c>
      <c r="F242" s="1">
        <v>98.0</v>
      </c>
    </row>
    <row r="243" ht="15.75" customHeight="1">
      <c r="A243" s="1">
        <v>42.0</v>
      </c>
      <c r="B243" s="1">
        <v>44.0</v>
      </c>
      <c r="C243" s="1">
        <v>100.0</v>
      </c>
      <c r="D243" s="1">
        <v>8.0</v>
      </c>
      <c r="E243" s="1">
        <v>39.0</v>
      </c>
      <c r="F243" s="1">
        <v>3.0</v>
      </c>
    </row>
    <row r="244" ht="15.75" customHeight="1">
      <c r="A244" s="1">
        <v>8.0</v>
      </c>
      <c r="B244" s="1">
        <v>38.0</v>
      </c>
      <c r="C244" s="1">
        <v>1.0</v>
      </c>
      <c r="D244" s="1">
        <v>42.0</v>
      </c>
      <c r="E244" s="1">
        <v>43.0</v>
      </c>
      <c r="F244" s="1">
        <v>98.0</v>
      </c>
    </row>
    <row r="245" ht="15.75" customHeight="1">
      <c r="A245" s="1">
        <v>42.0</v>
      </c>
      <c r="B245" s="1">
        <v>45.0</v>
      </c>
      <c r="C245" s="1">
        <v>100.0</v>
      </c>
      <c r="D245" s="1">
        <v>8.0</v>
      </c>
      <c r="E245" s="1">
        <v>40.0</v>
      </c>
      <c r="F245" s="1">
        <v>3.0</v>
      </c>
    </row>
    <row r="246" ht="15.75" customHeight="1">
      <c r="A246" s="1">
        <v>8.0</v>
      </c>
      <c r="B246" s="1">
        <v>39.0</v>
      </c>
      <c r="C246" s="1">
        <v>1.0</v>
      </c>
      <c r="D246" s="1">
        <v>42.0</v>
      </c>
      <c r="E246" s="1">
        <v>44.0</v>
      </c>
      <c r="F246" s="1">
        <v>98.0</v>
      </c>
    </row>
    <row r="247" ht="15.75" customHeight="1">
      <c r="A247" s="1">
        <v>42.0</v>
      </c>
      <c r="B247" s="1">
        <v>46.0</v>
      </c>
      <c r="C247" s="1">
        <v>100.0</v>
      </c>
      <c r="D247" s="1">
        <v>8.0</v>
      </c>
      <c r="E247" s="1">
        <v>41.0</v>
      </c>
      <c r="F247" s="1">
        <v>3.0</v>
      </c>
    </row>
    <row r="248" ht="15.75" customHeight="1">
      <c r="A248" s="1">
        <v>8.0</v>
      </c>
      <c r="B248" s="1">
        <v>40.0</v>
      </c>
      <c r="C248" s="1">
        <v>1.0</v>
      </c>
      <c r="D248" s="1">
        <v>42.0</v>
      </c>
      <c r="E248" s="1">
        <v>45.0</v>
      </c>
      <c r="F248" s="1">
        <v>98.0</v>
      </c>
    </row>
    <row r="249" ht="15.75" customHeight="1">
      <c r="A249" s="1">
        <v>8.0</v>
      </c>
      <c r="B249" s="1">
        <v>41.0</v>
      </c>
      <c r="C249" s="1">
        <v>1.0</v>
      </c>
      <c r="D249" s="1">
        <v>42.0</v>
      </c>
      <c r="E249" s="1">
        <v>46.0</v>
      </c>
      <c r="F249" s="1">
        <v>98.0</v>
      </c>
    </row>
    <row r="250" ht="15.75" customHeight="1">
      <c r="A250" s="1">
        <v>42.0</v>
      </c>
      <c r="B250" s="1">
        <v>54.0</v>
      </c>
      <c r="C250" s="1">
        <v>2.0</v>
      </c>
      <c r="D250" s="1">
        <v>43.0</v>
      </c>
      <c r="E250" s="1">
        <v>53.0</v>
      </c>
      <c r="F250" s="1">
        <v>98.0</v>
      </c>
    </row>
    <row r="251" ht="15.75" customHeight="1">
      <c r="A251" s="1">
        <v>43.0</v>
      </c>
      <c r="B251" s="1">
        <v>53.0</v>
      </c>
      <c r="C251" s="1">
        <v>100.0</v>
      </c>
      <c r="D251" s="1">
        <v>42.0</v>
      </c>
      <c r="E251" s="1">
        <v>54.0</v>
      </c>
      <c r="F251" s="1">
        <v>4.0</v>
      </c>
    </row>
    <row r="252" ht="15.75" customHeight="1">
      <c r="A252" s="1">
        <v>42.0</v>
      </c>
      <c r="B252" s="1">
        <v>63.0</v>
      </c>
      <c r="C252" s="1">
        <v>2.0</v>
      </c>
      <c r="D252" s="1">
        <v>43.0</v>
      </c>
      <c r="E252" s="1">
        <v>54.0</v>
      </c>
      <c r="F252" s="1">
        <v>98.0</v>
      </c>
    </row>
    <row r="253" ht="15.75" customHeight="1">
      <c r="A253" s="1">
        <v>43.0</v>
      </c>
      <c r="B253" s="1">
        <v>54.0</v>
      </c>
      <c r="C253" s="1">
        <v>100.0</v>
      </c>
      <c r="D253" s="1">
        <v>42.0</v>
      </c>
      <c r="E253" s="1">
        <v>63.0</v>
      </c>
      <c r="F253" s="1">
        <v>4.0</v>
      </c>
    </row>
    <row r="254" ht="15.75" customHeight="1">
      <c r="A254" s="1">
        <v>43.0</v>
      </c>
      <c r="B254" s="1">
        <v>55.0</v>
      </c>
      <c r="C254" s="1">
        <v>100.0</v>
      </c>
      <c r="D254" s="1">
        <v>42.0</v>
      </c>
      <c r="E254" s="1">
        <v>71.0</v>
      </c>
      <c r="F254" s="1">
        <v>4.0</v>
      </c>
    </row>
    <row r="255" ht="15.75" customHeight="1">
      <c r="A255" s="1">
        <v>42.0</v>
      </c>
      <c r="B255" s="1">
        <v>71.0</v>
      </c>
      <c r="C255" s="1">
        <v>2.0</v>
      </c>
      <c r="D255" s="1">
        <v>43.0</v>
      </c>
      <c r="E255" s="1">
        <v>55.0</v>
      </c>
      <c r="F255" s="1">
        <v>98.0</v>
      </c>
    </row>
    <row r="256" ht="15.75" customHeight="1">
      <c r="A256" s="1">
        <v>31.0</v>
      </c>
      <c r="B256" s="1">
        <v>76.0</v>
      </c>
      <c r="C256" s="1">
        <v>56.0</v>
      </c>
      <c r="D256" s="1">
        <v>31.0</v>
      </c>
      <c r="E256" s="1">
        <v>61.0</v>
      </c>
      <c r="F256" s="1">
        <v>53.0</v>
      </c>
    </row>
    <row r="257" ht="15.75" customHeight="1">
      <c r="A257" s="1">
        <v>31.0</v>
      </c>
      <c r="B257" s="1">
        <v>60.0</v>
      </c>
      <c r="C257" s="1">
        <v>52.0</v>
      </c>
      <c r="D257" s="1">
        <v>31.0</v>
      </c>
      <c r="E257" s="1">
        <v>63.0</v>
      </c>
      <c r="F257" s="1">
        <v>53.0</v>
      </c>
    </row>
    <row r="258" ht="15.75" customHeight="1">
      <c r="A258" s="1">
        <v>31.0</v>
      </c>
      <c r="B258" s="1">
        <v>62.0</v>
      </c>
      <c r="C258" s="1">
        <v>52.0</v>
      </c>
      <c r="D258" s="1">
        <v>31.0</v>
      </c>
      <c r="E258" s="1">
        <v>61.0</v>
      </c>
      <c r="F258" s="1">
        <v>54.0</v>
      </c>
    </row>
    <row r="259" ht="15.75" customHeight="1">
      <c r="A259" s="1">
        <v>31.0</v>
      </c>
      <c r="B259" s="1">
        <v>60.0</v>
      </c>
      <c r="C259" s="1">
        <v>53.0</v>
      </c>
      <c r="D259" s="1">
        <v>31.0</v>
      </c>
      <c r="E259" s="1">
        <v>63.0</v>
      </c>
      <c r="F259" s="1">
        <v>54.0</v>
      </c>
    </row>
    <row r="260" ht="15.75" customHeight="1">
      <c r="A260" s="1">
        <v>31.0</v>
      </c>
      <c r="B260" s="1">
        <v>62.0</v>
      </c>
      <c r="C260" s="1">
        <v>53.0</v>
      </c>
      <c r="D260" s="1">
        <v>31.0</v>
      </c>
      <c r="E260" s="1">
        <v>61.0</v>
      </c>
      <c r="F260" s="1">
        <v>55.0</v>
      </c>
    </row>
    <row r="261" ht="15.75" customHeight="1">
      <c r="A261" s="1">
        <v>31.0</v>
      </c>
      <c r="B261" s="1">
        <v>60.0</v>
      </c>
      <c r="C261" s="1">
        <v>54.0</v>
      </c>
      <c r="D261" s="1">
        <v>31.0</v>
      </c>
      <c r="E261" s="1">
        <v>62.0</v>
      </c>
      <c r="F261" s="1">
        <v>55.0</v>
      </c>
    </row>
    <row r="262" ht="15.75" customHeight="1">
      <c r="A262" s="1">
        <v>31.0</v>
      </c>
      <c r="B262" s="1">
        <v>61.0</v>
      </c>
      <c r="C262" s="1">
        <v>54.0</v>
      </c>
      <c r="D262" s="1">
        <v>31.0</v>
      </c>
      <c r="E262" s="1">
        <v>61.0</v>
      </c>
      <c r="F262" s="1">
        <v>56.0</v>
      </c>
    </row>
    <row r="263" ht="15.75" customHeight="1">
      <c r="A263" s="1">
        <v>31.0</v>
      </c>
      <c r="B263" s="1">
        <v>60.0</v>
      </c>
      <c r="C263" s="1">
        <v>55.0</v>
      </c>
      <c r="D263" s="1">
        <v>31.0</v>
      </c>
      <c r="E263" s="1">
        <v>63.0</v>
      </c>
      <c r="F263" s="1">
        <v>56.0</v>
      </c>
    </row>
    <row r="264" ht="15.75" customHeight="1">
      <c r="A264" s="1">
        <v>31.0</v>
      </c>
      <c r="B264" s="1">
        <v>62.0</v>
      </c>
      <c r="C264" s="1">
        <v>55.0</v>
      </c>
      <c r="D264" s="1">
        <v>31.0</v>
      </c>
      <c r="E264" s="1">
        <v>61.0</v>
      </c>
      <c r="F264" s="1">
        <v>57.0</v>
      </c>
    </row>
    <row r="265" ht="15.75" customHeight="1">
      <c r="A265" s="1">
        <v>31.0</v>
      </c>
      <c r="B265" s="1">
        <v>60.0</v>
      </c>
      <c r="C265" s="1">
        <v>56.0</v>
      </c>
      <c r="D265" s="1">
        <v>31.0</v>
      </c>
      <c r="E265" s="1">
        <v>63.0</v>
      </c>
      <c r="F265" s="1">
        <v>57.0</v>
      </c>
    </row>
    <row r="266" ht="15.75" customHeight="1">
      <c r="A266" s="1">
        <v>31.0</v>
      </c>
      <c r="B266" s="1">
        <v>62.0</v>
      </c>
      <c r="C266" s="1">
        <v>56.0</v>
      </c>
      <c r="D266" s="1">
        <v>31.0</v>
      </c>
      <c r="E266" s="1">
        <v>65.0</v>
      </c>
      <c r="F266" s="1">
        <v>54.0</v>
      </c>
    </row>
    <row r="267" ht="15.75" customHeight="1">
      <c r="A267" s="1">
        <v>31.0</v>
      </c>
      <c r="B267" s="1">
        <v>64.0</v>
      </c>
      <c r="C267" s="1">
        <v>53.0</v>
      </c>
      <c r="D267" s="1">
        <v>31.0</v>
      </c>
      <c r="E267" s="1">
        <v>67.0</v>
      </c>
      <c r="F267" s="1">
        <v>54.0</v>
      </c>
    </row>
    <row r="268" ht="15.75" customHeight="1">
      <c r="A268" s="1">
        <v>31.0</v>
      </c>
      <c r="B268" s="1">
        <v>68.0</v>
      </c>
      <c r="C268" s="1">
        <v>53.0</v>
      </c>
      <c r="D268" s="1">
        <v>31.0</v>
      </c>
      <c r="E268" s="1">
        <v>71.0</v>
      </c>
      <c r="F268" s="1">
        <v>54.0</v>
      </c>
    </row>
    <row r="269" ht="15.75" customHeight="1">
      <c r="A269" s="1">
        <v>31.0</v>
      </c>
      <c r="B269" s="1">
        <v>66.0</v>
      </c>
      <c r="C269" s="1">
        <v>53.0</v>
      </c>
      <c r="D269" s="1">
        <v>31.0</v>
      </c>
      <c r="E269" s="1">
        <v>65.0</v>
      </c>
      <c r="F269" s="1">
        <v>55.0</v>
      </c>
    </row>
    <row r="270" ht="15.75" customHeight="1">
      <c r="A270" s="1">
        <v>31.0</v>
      </c>
      <c r="B270" s="1">
        <v>64.0</v>
      </c>
      <c r="C270" s="1">
        <v>54.0</v>
      </c>
      <c r="D270" s="1">
        <v>31.0</v>
      </c>
      <c r="E270" s="1">
        <v>67.0</v>
      </c>
      <c r="F270" s="1">
        <v>55.0</v>
      </c>
    </row>
    <row r="271" ht="15.75" customHeight="1">
      <c r="A271" s="1">
        <v>31.0</v>
      </c>
      <c r="B271" s="1">
        <v>66.0</v>
      </c>
      <c r="C271" s="1">
        <v>54.0</v>
      </c>
      <c r="D271" s="1">
        <v>31.0</v>
      </c>
      <c r="E271" s="1">
        <v>65.0</v>
      </c>
      <c r="F271" s="1">
        <v>56.0</v>
      </c>
    </row>
    <row r="272" ht="15.75" customHeight="1">
      <c r="A272" s="1">
        <v>31.0</v>
      </c>
      <c r="B272" s="1">
        <v>64.0</v>
      </c>
      <c r="C272" s="1">
        <v>55.0</v>
      </c>
      <c r="D272" s="1">
        <v>31.0</v>
      </c>
      <c r="E272" s="1">
        <v>67.0</v>
      </c>
      <c r="F272" s="1">
        <v>56.0</v>
      </c>
    </row>
    <row r="273" ht="15.75" customHeight="1">
      <c r="A273" s="1">
        <v>31.0</v>
      </c>
      <c r="B273" s="1">
        <v>66.0</v>
      </c>
      <c r="C273" s="1">
        <v>55.0</v>
      </c>
      <c r="D273" s="1">
        <v>31.0</v>
      </c>
      <c r="E273" s="1">
        <v>65.0</v>
      </c>
      <c r="F273" s="1">
        <v>57.0</v>
      </c>
    </row>
    <row r="274" ht="15.75" customHeight="1">
      <c r="A274" s="1">
        <v>31.0</v>
      </c>
      <c r="B274" s="1">
        <v>64.0</v>
      </c>
      <c r="C274" s="1">
        <v>56.0</v>
      </c>
      <c r="D274" s="1">
        <v>31.0</v>
      </c>
      <c r="E274" s="1">
        <v>67.0</v>
      </c>
      <c r="F274" s="1">
        <v>57.0</v>
      </c>
    </row>
    <row r="275" ht="15.75" customHeight="1">
      <c r="A275" s="1">
        <v>31.0</v>
      </c>
      <c r="B275" s="1">
        <v>66.0</v>
      </c>
      <c r="C275" s="1">
        <v>56.0</v>
      </c>
      <c r="D275" s="1">
        <v>31.0</v>
      </c>
      <c r="E275" s="1">
        <v>69.0</v>
      </c>
      <c r="F275" s="1">
        <v>54.0</v>
      </c>
    </row>
    <row r="276" ht="15.75" customHeight="1">
      <c r="A276" s="1">
        <v>31.0</v>
      </c>
      <c r="B276" s="1">
        <v>70.0</v>
      </c>
      <c r="C276" s="1">
        <v>53.0</v>
      </c>
      <c r="D276" s="1">
        <v>31.0</v>
      </c>
      <c r="E276" s="1">
        <v>69.0</v>
      </c>
      <c r="F276" s="1">
        <v>55.0</v>
      </c>
    </row>
    <row r="277" ht="15.75" customHeight="1">
      <c r="A277" s="1">
        <v>31.0</v>
      </c>
      <c r="B277" s="1">
        <v>68.0</v>
      </c>
      <c r="C277" s="1">
        <v>54.0</v>
      </c>
      <c r="D277" s="1">
        <v>31.0</v>
      </c>
      <c r="E277" s="1">
        <v>71.0</v>
      </c>
      <c r="F277" s="1">
        <v>55.0</v>
      </c>
    </row>
    <row r="278" ht="15.75" customHeight="1">
      <c r="A278" s="1">
        <v>31.0</v>
      </c>
      <c r="B278" s="1">
        <v>70.0</v>
      </c>
      <c r="C278" s="1">
        <v>54.0</v>
      </c>
      <c r="D278" s="1">
        <v>31.0</v>
      </c>
      <c r="E278" s="1">
        <v>69.0</v>
      </c>
      <c r="F278" s="1">
        <v>56.0</v>
      </c>
    </row>
    <row r="279" ht="15.75" customHeight="1">
      <c r="A279" s="1">
        <v>31.0</v>
      </c>
      <c r="B279" s="1">
        <v>68.0</v>
      </c>
      <c r="C279" s="1">
        <v>55.0</v>
      </c>
      <c r="D279" s="1">
        <v>31.0</v>
      </c>
      <c r="E279" s="1">
        <v>71.0</v>
      </c>
      <c r="F279" s="1">
        <v>56.0</v>
      </c>
    </row>
    <row r="280" ht="15.75" customHeight="1">
      <c r="A280" s="1">
        <v>31.0</v>
      </c>
      <c r="B280" s="1">
        <v>70.0</v>
      </c>
      <c r="C280" s="1">
        <v>55.0</v>
      </c>
      <c r="D280" s="1">
        <v>31.0</v>
      </c>
      <c r="E280" s="1">
        <v>69.0</v>
      </c>
      <c r="F280" s="1">
        <v>57.0</v>
      </c>
    </row>
    <row r="281" ht="15.75" customHeight="1">
      <c r="A281" s="1">
        <v>31.0</v>
      </c>
      <c r="B281" s="1">
        <v>68.0</v>
      </c>
      <c r="C281" s="1">
        <v>56.0</v>
      </c>
      <c r="D281" s="1">
        <v>31.0</v>
      </c>
      <c r="E281" s="1">
        <v>71.0</v>
      </c>
      <c r="F281" s="1">
        <v>57.0</v>
      </c>
    </row>
    <row r="282" ht="15.75" customHeight="1">
      <c r="A282" s="1">
        <v>31.0</v>
      </c>
      <c r="B282" s="1">
        <v>70.0</v>
      </c>
      <c r="C282" s="1">
        <v>56.0</v>
      </c>
      <c r="D282" s="1">
        <v>31.0</v>
      </c>
      <c r="E282" s="1">
        <v>73.0</v>
      </c>
      <c r="F282" s="1">
        <v>53.0</v>
      </c>
    </row>
    <row r="283" ht="15.75" customHeight="1">
      <c r="A283" s="1">
        <v>31.0</v>
      </c>
      <c r="B283" s="1">
        <v>72.0</v>
      </c>
      <c r="C283" s="1">
        <v>52.0</v>
      </c>
      <c r="D283" s="1">
        <v>31.0</v>
      </c>
      <c r="E283" s="1">
        <v>75.0</v>
      </c>
      <c r="F283" s="1">
        <v>53.0</v>
      </c>
    </row>
    <row r="284" ht="15.75" customHeight="1">
      <c r="A284" s="1">
        <v>31.0</v>
      </c>
      <c r="B284" s="1">
        <v>74.0</v>
      </c>
      <c r="C284" s="1">
        <v>52.0</v>
      </c>
      <c r="D284" s="1">
        <v>31.0</v>
      </c>
      <c r="E284" s="1">
        <v>73.0</v>
      </c>
      <c r="F284" s="1">
        <v>54.0</v>
      </c>
    </row>
    <row r="285" ht="15.75" customHeight="1">
      <c r="A285" s="1">
        <v>31.0</v>
      </c>
      <c r="B285" s="1">
        <v>72.0</v>
      </c>
      <c r="C285" s="1">
        <v>53.0</v>
      </c>
      <c r="D285" s="1">
        <v>31.0</v>
      </c>
      <c r="E285" s="1">
        <v>75.0</v>
      </c>
      <c r="F285" s="1">
        <v>54.0</v>
      </c>
    </row>
    <row r="286" ht="15.75" customHeight="1">
      <c r="A286" s="1">
        <v>31.0</v>
      </c>
      <c r="B286" s="1">
        <v>74.0</v>
      </c>
      <c r="C286" s="1">
        <v>53.0</v>
      </c>
      <c r="D286" s="1">
        <v>31.0</v>
      </c>
      <c r="E286" s="1">
        <v>73.0</v>
      </c>
      <c r="F286" s="1">
        <v>55.0</v>
      </c>
    </row>
    <row r="287" ht="15.75" customHeight="1">
      <c r="A287" s="1">
        <v>31.0</v>
      </c>
      <c r="B287" s="1">
        <v>72.0</v>
      </c>
      <c r="C287" s="1">
        <v>54.0</v>
      </c>
      <c r="D287" s="1">
        <v>31.0</v>
      </c>
      <c r="E287" s="1">
        <v>74.0</v>
      </c>
      <c r="F287" s="1">
        <v>55.0</v>
      </c>
    </row>
    <row r="288" ht="15.75" customHeight="1">
      <c r="A288" s="1">
        <v>31.0</v>
      </c>
      <c r="B288" s="1">
        <v>73.0</v>
      </c>
      <c r="C288" s="1">
        <v>54.0</v>
      </c>
      <c r="D288" s="1">
        <v>31.0</v>
      </c>
      <c r="E288" s="1">
        <v>73.0</v>
      </c>
      <c r="F288" s="1">
        <v>56.0</v>
      </c>
    </row>
    <row r="289" ht="15.75" customHeight="1">
      <c r="A289" s="1">
        <v>31.0</v>
      </c>
      <c r="B289" s="1">
        <v>72.0</v>
      </c>
      <c r="C289" s="1">
        <v>55.0</v>
      </c>
      <c r="D289" s="1">
        <v>31.0</v>
      </c>
      <c r="E289" s="1">
        <v>75.0</v>
      </c>
      <c r="F289" s="1">
        <v>56.0</v>
      </c>
    </row>
    <row r="290" ht="15.75" customHeight="1">
      <c r="A290" s="1">
        <v>31.0</v>
      </c>
      <c r="B290" s="1">
        <v>74.0</v>
      </c>
      <c r="C290" s="1">
        <v>55.0</v>
      </c>
      <c r="D290" s="1">
        <v>31.0</v>
      </c>
      <c r="E290" s="1">
        <v>73.0</v>
      </c>
      <c r="F290" s="1">
        <v>57.0</v>
      </c>
    </row>
    <row r="291" ht="15.75" customHeight="1">
      <c r="A291" s="1">
        <v>31.0</v>
      </c>
      <c r="B291" s="1">
        <v>72.0</v>
      </c>
      <c r="C291" s="1">
        <v>56.0</v>
      </c>
      <c r="D291" s="1">
        <v>31.0</v>
      </c>
      <c r="E291" s="1">
        <v>75.0</v>
      </c>
      <c r="F291" s="1">
        <v>57.0</v>
      </c>
    </row>
    <row r="292" ht="15.75" customHeight="1">
      <c r="A292" s="1">
        <v>31.0</v>
      </c>
      <c r="B292" s="1">
        <v>74.0</v>
      </c>
      <c r="C292" s="1">
        <v>57.0</v>
      </c>
      <c r="D292" s="1">
        <v>31.0</v>
      </c>
      <c r="E292" s="1">
        <v>77.0</v>
      </c>
      <c r="F292" s="1">
        <v>54.0</v>
      </c>
    </row>
    <row r="293" ht="15.75" customHeight="1">
      <c r="A293" s="1">
        <v>31.0</v>
      </c>
      <c r="B293" s="1">
        <v>77.0</v>
      </c>
      <c r="C293" s="1">
        <v>53.0</v>
      </c>
      <c r="D293" s="1">
        <v>31.0</v>
      </c>
      <c r="E293" s="1">
        <v>77.0</v>
      </c>
      <c r="F293" s="1">
        <v>55.0</v>
      </c>
    </row>
    <row r="294" ht="15.75" customHeight="1">
      <c r="A294" s="1">
        <v>31.0</v>
      </c>
      <c r="B294" s="1">
        <v>74.0</v>
      </c>
      <c r="C294" s="1">
        <v>56.0</v>
      </c>
      <c r="D294" s="1">
        <v>31.0</v>
      </c>
      <c r="E294" s="1">
        <v>77.0</v>
      </c>
      <c r="F294" s="1">
        <v>54.0</v>
      </c>
    </row>
    <row r="295" ht="15.75" customHeight="1">
      <c r="A295" s="1">
        <v>31.0</v>
      </c>
      <c r="B295" s="1">
        <v>76.0</v>
      </c>
      <c r="C295" s="1">
        <v>53.0</v>
      </c>
      <c r="D295" s="1">
        <v>31.0</v>
      </c>
      <c r="E295" s="1">
        <v>78.0</v>
      </c>
      <c r="F295" s="1">
        <v>54.0</v>
      </c>
    </row>
    <row r="296" ht="15.75" customHeight="1">
      <c r="A296" s="1">
        <v>31.0</v>
      </c>
      <c r="B296" s="1">
        <v>76.0</v>
      </c>
      <c r="C296" s="1">
        <v>54.0</v>
      </c>
      <c r="D296" s="1">
        <v>31.0</v>
      </c>
      <c r="E296" s="1">
        <v>78.0</v>
      </c>
      <c r="F296" s="1">
        <v>56.0</v>
      </c>
    </row>
    <row r="297" ht="15.75" customHeight="1">
      <c r="A297" s="1">
        <v>31.0</v>
      </c>
      <c r="B297" s="1">
        <v>77.0</v>
      </c>
      <c r="C297" s="1">
        <v>55.0</v>
      </c>
      <c r="D297" s="1">
        <v>31.0</v>
      </c>
      <c r="E297" s="1">
        <v>78.0</v>
      </c>
      <c r="F297" s="1">
        <v>57.0</v>
      </c>
    </row>
    <row r="298" ht="15.75" customHeight="1">
      <c r="A298" s="1">
        <v>36.0</v>
      </c>
      <c r="B298" s="1">
        <v>83.0</v>
      </c>
      <c r="C298" s="1">
        <v>12.0</v>
      </c>
      <c r="D298" s="1">
        <v>1.0</v>
      </c>
      <c r="E298" s="1">
        <v>22.0</v>
      </c>
      <c r="F298" s="1">
        <v>80.0</v>
      </c>
    </row>
    <row r="299" ht="15.75" customHeight="1">
      <c r="A299" s="1">
        <v>36.0</v>
      </c>
      <c r="B299" s="1">
        <v>84.0</v>
      </c>
      <c r="C299" s="1">
        <v>12.0</v>
      </c>
      <c r="D299" s="1">
        <v>1.0</v>
      </c>
      <c r="E299" s="1">
        <v>23.0</v>
      </c>
      <c r="F299" s="1">
        <v>80.0</v>
      </c>
    </row>
    <row r="300" ht="15.75" customHeight="1">
      <c r="A300" s="1">
        <v>36.0</v>
      </c>
      <c r="B300" s="1">
        <v>85.0</v>
      </c>
      <c r="C300" s="1">
        <v>12.0</v>
      </c>
      <c r="D300" s="1">
        <v>1.0</v>
      </c>
      <c r="E300" s="1">
        <v>24.0</v>
      </c>
      <c r="F300" s="1">
        <v>80.0</v>
      </c>
    </row>
    <row r="301" ht="15.75" customHeight="1">
      <c r="A301" s="1">
        <v>1.0</v>
      </c>
      <c r="B301" s="1">
        <v>23.0</v>
      </c>
      <c r="C301" s="1">
        <v>79.0</v>
      </c>
      <c r="D301" s="1">
        <v>36.0</v>
      </c>
      <c r="E301" s="1">
        <v>84.0</v>
      </c>
      <c r="F301" s="1">
        <v>11.0</v>
      </c>
    </row>
    <row r="302" ht="15.75" customHeight="1">
      <c r="A302" s="1">
        <v>35.0</v>
      </c>
      <c r="B302" s="1">
        <v>87.0</v>
      </c>
      <c r="C302" s="1">
        <v>20.0</v>
      </c>
      <c r="D302" s="1">
        <v>32.0</v>
      </c>
      <c r="E302" s="1">
        <v>34.0</v>
      </c>
      <c r="F302" s="1">
        <v>49.0</v>
      </c>
    </row>
    <row r="303" ht="15.75" customHeight="1">
      <c r="A303" s="1">
        <v>32.0</v>
      </c>
      <c r="B303" s="1">
        <v>35.0</v>
      </c>
      <c r="C303" s="1">
        <v>49.0</v>
      </c>
      <c r="D303" s="1">
        <v>35.0</v>
      </c>
      <c r="E303" s="1">
        <v>87.0</v>
      </c>
      <c r="F303" s="1">
        <v>21.0</v>
      </c>
    </row>
    <row r="304" ht="15.75" customHeight="1">
      <c r="A304" s="1">
        <v>35.0</v>
      </c>
      <c r="B304" s="1">
        <v>89.0</v>
      </c>
      <c r="C304" s="1">
        <v>20.0</v>
      </c>
      <c r="D304" s="1">
        <v>32.0</v>
      </c>
      <c r="E304" s="1">
        <v>48.0</v>
      </c>
      <c r="F304" s="1">
        <v>49.0</v>
      </c>
    </row>
    <row r="305" ht="15.75" customHeight="1">
      <c r="A305" s="1">
        <v>32.0</v>
      </c>
      <c r="B305" s="1">
        <v>47.0</v>
      </c>
      <c r="C305" s="1">
        <v>49.0</v>
      </c>
      <c r="D305" s="1">
        <v>35.0</v>
      </c>
      <c r="E305" s="1">
        <v>89.0</v>
      </c>
      <c r="F305" s="1">
        <v>21.0</v>
      </c>
    </row>
    <row r="306" ht="15.75" customHeight="1">
      <c r="A306" s="1">
        <v>35.0</v>
      </c>
      <c r="B306" s="1">
        <v>87.0</v>
      </c>
      <c r="C306" s="1">
        <v>16.0</v>
      </c>
      <c r="D306" s="1">
        <v>33.0</v>
      </c>
      <c r="E306" s="1">
        <v>43.0</v>
      </c>
      <c r="F306" s="1">
        <v>43.0</v>
      </c>
    </row>
    <row r="307" ht="15.75" customHeight="1">
      <c r="A307" s="1">
        <v>33.0</v>
      </c>
      <c r="B307" s="1">
        <v>43.0</v>
      </c>
      <c r="C307" s="1">
        <v>42.0</v>
      </c>
      <c r="D307" s="1">
        <v>35.0</v>
      </c>
      <c r="E307" s="1">
        <v>87.0</v>
      </c>
      <c r="F307" s="1">
        <v>17.0</v>
      </c>
    </row>
    <row r="308" ht="15.75" customHeight="1">
      <c r="A308" s="1">
        <v>35.0</v>
      </c>
      <c r="B308" s="1">
        <v>89.0</v>
      </c>
      <c r="C308" s="1">
        <v>16.0</v>
      </c>
      <c r="D308" s="1">
        <v>33.0</v>
      </c>
      <c r="E308" s="1">
        <v>58.0</v>
      </c>
      <c r="F308" s="1">
        <v>43.0</v>
      </c>
    </row>
    <row r="309" ht="15.75" customHeight="1">
      <c r="A309" s="1">
        <v>33.0</v>
      </c>
      <c r="B309" s="1">
        <v>58.0</v>
      </c>
      <c r="C309" s="1">
        <v>42.0</v>
      </c>
      <c r="D309" s="1">
        <v>35.0</v>
      </c>
      <c r="E309" s="1">
        <v>89.0</v>
      </c>
      <c r="F309" s="1">
        <v>17.0</v>
      </c>
    </row>
    <row r="310" ht="15.75" customHeight="1">
      <c r="A310" s="1">
        <v>35.0</v>
      </c>
      <c r="B310" s="1">
        <v>87.0</v>
      </c>
      <c r="C310" s="1">
        <v>12.0</v>
      </c>
      <c r="D310" s="1">
        <v>34.0</v>
      </c>
      <c r="E310" s="1">
        <v>54.0</v>
      </c>
      <c r="F310" s="1">
        <v>49.0</v>
      </c>
    </row>
    <row r="311" ht="15.75" customHeight="1">
      <c r="A311" s="1">
        <v>34.0</v>
      </c>
      <c r="B311" s="1">
        <v>54.0</v>
      </c>
      <c r="C311" s="1">
        <v>50.0</v>
      </c>
      <c r="D311" s="1">
        <v>35.0</v>
      </c>
      <c r="E311" s="1">
        <v>87.0</v>
      </c>
      <c r="F311" s="1">
        <v>13.0</v>
      </c>
    </row>
    <row r="312" ht="15.75" customHeight="1">
      <c r="A312" s="1">
        <v>34.0</v>
      </c>
      <c r="B312" s="1">
        <v>55.0</v>
      </c>
      <c r="C312" s="1">
        <v>50.0</v>
      </c>
      <c r="D312" s="1">
        <v>35.0</v>
      </c>
      <c r="E312" s="1">
        <v>87.0</v>
      </c>
      <c r="F312" s="1">
        <v>13.0</v>
      </c>
    </row>
    <row r="313" ht="15.75" customHeight="1">
      <c r="A313" s="1">
        <v>35.0</v>
      </c>
      <c r="B313" s="1">
        <v>89.0</v>
      </c>
      <c r="C313" s="1">
        <v>12.0</v>
      </c>
      <c r="D313" s="1">
        <v>34.0</v>
      </c>
      <c r="E313" s="1">
        <v>52.0</v>
      </c>
      <c r="F313" s="1">
        <v>60.0</v>
      </c>
    </row>
    <row r="314" ht="15.75" customHeight="1">
      <c r="A314" s="1">
        <v>34.0</v>
      </c>
      <c r="B314" s="1">
        <v>52.0</v>
      </c>
      <c r="C314" s="1">
        <v>59.0</v>
      </c>
      <c r="D314" s="1">
        <v>35.0</v>
      </c>
      <c r="E314" s="1">
        <v>89.0</v>
      </c>
      <c r="F314" s="1">
        <v>13.0</v>
      </c>
    </row>
    <row r="315" ht="15.75" customHeight="1">
      <c r="A315" s="1">
        <v>34.0</v>
      </c>
      <c r="B315" s="1">
        <v>53.0</v>
      </c>
      <c r="C315" s="1">
        <v>59.0</v>
      </c>
      <c r="D315" s="1">
        <v>35.0</v>
      </c>
      <c r="E315" s="1">
        <v>89.0</v>
      </c>
      <c r="F315" s="1">
        <v>13.0</v>
      </c>
    </row>
    <row r="316" ht="15.75" customHeight="1">
      <c r="A316" s="1">
        <v>43.0</v>
      </c>
      <c r="B316" s="1">
        <v>43.0</v>
      </c>
      <c r="C316" s="1">
        <v>26.0</v>
      </c>
      <c r="D316" s="1">
        <v>44.0</v>
      </c>
      <c r="E316" s="1">
        <v>57.0</v>
      </c>
      <c r="F316" s="1">
        <v>91.0</v>
      </c>
    </row>
    <row r="317" ht="15.75" customHeight="1">
      <c r="A317" s="1">
        <v>44.0</v>
      </c>
      <c r="B317" s="1">
        <v>57.0</v>
      </c>
      <c r="C317" s="1">
        <v>91.0</v>
      </c>
      <c r="D317" s="1">
        <v>43.0</v>
      </c>
      <c r="E317" s="1">
        <v>43.0</v>
      </c>
      <c r="F317" s="1">
        <v>26.0</v>
      </c>
    </row>
    <row r="318" ht="15.75" customHeight="1">
      <c r="A318" s="1">
        <v>24.0</v>
      </c>
      <c r="B318" s="1">
        <v>50.0</v>
      </c>
      <c r="C318" s="1">
        <v>4.0</v>
      </c>
      <c r="D318" s="1">
        <v>29.0</v>
      </c>
      <c r="E318" s="1">
        <v>54.0</v>
      </c>
      <c r="F318" s="1">
        <v>62.0</v>
      </c>
    </row>
    <row r="319" ht="15.75" customHeight="1">
      <c r="A319" s="1">
        <v>24.0</v>
      </c>
      <c r="B319" s="1">
        <v>51.0</v>
      </c>
      <c r="C319" s="1">
        <v>4.0</v>
      </c>
      <c r="D319" s="1">
        <v>29.0</v>
      </c>
      <c r="E319" s="1">
        <v>56.0</v>
      </c>
      <c r="F319" s="1">
        <v>62.0</v>
      </c>
    </row>
    <row r="320" ht="15.75" customHeight="1">
      <c r="A320" s="1">
        <v>29.0</v>
      </c>
      <c r="B320" s="1">
        <v>54.0</v>
      </c>
      <c r="C320" s="1">
        <v>63.0</v>
      </c>
      <c r="D320" s="1">
        <v>24.0</v>
      </c>
      <c r="E320" s="1">
        <v>50.0</v>
      </c>
      <c r="F320" s="1">
        <v>5.0</v>
      </c>
    </row>
    <row r="321" ht="15.75" customHeight="1">
      <c r="A321" s="1">
        <v>29.0</v>
      </c>
      <c r="B321" s="1">
        <v>55.0</v>
      </c>
      <c r="C321" s="1">
        <v>63.0</v>
      </c>
      <c r="D321" s="1">
        <v>24.0</v>
      </c>
      <c r="E321" s="1">
        <v>50.0</v>
      </c>
      <c r="F321" s="1">
        <v>5.0</v>
      </c>
    </row>
    <row r="322" ht="15.75" customHeight="1">
      <c r="A322" s="1">
        <v>29.0</v>
      </c>
      <c r="B322" s="1">
        <v>56.0</v>
      </c>
      <c r="C322" s="1">
        <v>63.0</v>
      </c>
      <c r="D322" s="1">
        <v>24.0</v>
      </c>
      <c r="E322" s="1">
        <v>51.0</v>
      </c>
      <c r="F322" s="1">
        <v>5.0</v>
      </c>
    </row>
    <row r="323" ht="15.75" customHeight="1">
      <c r="A323" s="1">
        <v>25.0</v>
      </c>
      <c r="B323" s="1">
        <v>1.0</v>
      </c>
      <c r="C323" s="1">
        <v>53.0</v>
      </c>
      <c r="D323" s="1">
        <v>38.0</v>
      </c>
      <c r="E323" s="1">
        <v>99.0</v>
      </c>
      <c r="F323" s="1">
        <v>23.0</v>
      </c>
    </row>
    <row r="324" ht="15.75" customHeight="1">
      <c r="A324" s="1">
        <v>25.0</v>
      </c>
      <c r="B324" s="1">
        <v>1.0</v>
      </c>
      <c r="C324" s="1">
        <v>54.0</v>
      </c>
      <c r="D324" s="1">
        <v>38.0</v>
      </c>
      <c r="E324" s="1">
        <v>99.0</v>
      </c>
      <c r="F324" s="1">
        <v>24.0</v>
      </c>
    </row>
    <row r="325" ht="15.75" customHeight="1">
      <c r="A325" s="1">
        <v>25.0</v>
      </c>
      <c r="B325" s="1">
        <v>1.0</v>
      </c>
      <c r="C325" s="1">
        <v>55.0</v>
      </c>
      <c r="D325" s="1">
        <v>38.0</v>
      </c>
      <c r="E325" s="1">
        <v>99.0</v>
      </c>
      <c r="F325" s="1">
        <v>25.0</v>
      </c>
    </row>
    <row r="326" ht="15.75" customHeight="1">
      <c r="A326" s="1">
        <v>25.0</v>
      </c>
      <c r="B326" s="1">
        <v>1.0</v>
      </c>
      <c r="C326" s="1">
        <v>56.0</v>
      </c>
      <c r="D326" s="1">
        <v>38.0</v>
      </c>
      <c r="E326" s="1">
        <v>99.0</v>
      </c>
      <c r="F326" s="1">
        <v>26.0</v>
      </c>
    </row>
    <row r="327" ht="15.75" customHeight="1">
      <c r="A327" s="1">
        <v>25.0</v>
      </c>
      <c r="B327" s="1">
        <v>1.0</v>
      </c>
      <c r="C327" s="1">
        <v>57.0</v>
      </c>
      <c r="D327" s="1">
        <v>38.0</v>
      </c>
      <c r="E327" s="1">
        <v>99.0</v>
      </c>
      <c r="F327" s="1">
        <v>27.0</v>
      </c>
    </row>
    <row r="328" ht="15.75" customHeight="1">
      <c r="A328" s="1">
        <v>38.0</v>
      </c>
      <c r="B328" s="1">
        <v>100.0</v>
      </c>
      <c r="C328" s="1">
        <v>23.0</v>
      </c>
      <c r="D328" s="1">
        <v>25.0</v>
      </c>
      <c r="E328" s="1">
        <v>2.0</v>
      </c>
      <c r="F328" s="1">
        <v>53.0</v>
      </c>
    </row>
    <row r="329" ht="15.75" customHeight="1">
      <c r="A329" s="1">
        <v>38.0</v>
      </c>
      <c r="B329" s="1">
        <v>100.0</v>
      </c>
      <c r="C329" s="1">
        <v>24.0</v>
      </c>
      <c r="D329" s="1">
        <v>25.0</v>
      </c>
      <c r="E329" s="1">
        <v>2.0</v>
      </c>
      <c r="F329" s="1">
        <v>54.0</v>
      </c>
    </row>
    <row r="330" ht="15.75" customHeight="1">
      <c r="A330" s="1">
        <v>38.0</v>
      </c>
      <c r="B330" s="1">
        <v>100.0</v>
      </c>
      <c r="C330" s="1">
        <v>25.0</v>
      </c>
      <c r="D330" s="1">
        <v>25.0</v>
      </c>
      <c r="E330" s="1">
        <v>2.0</v>
      </c>
      <c r="F330" s="1">
        <v>55.0</v>
      </c>
    </row>
    <row r="331" ht="15.75" customHeight="1">
      <c r="A331" s="1">
        <v>38.0</v>
      </c>
      <c r="B331" s="1">
        <v>100.0</v>
      </c>
      <c r="C331" s="1">
        <v>26.0</v>
      </c>
      <c r="D331" s="1">
        <v>25.0</v>
      </c>
      <c r="E331" s="1">
        <v>2.0</v>
      </c>
      <c r="F331" s="1">
        <v>56.0</v>
      </c>
    </row>
    <row r="332" ht="15.75" customHeight="1">
      <c r="A332" s="1">
        <v>38.0</v>
      </c>
      <c r="B332" s="1">
        <v>100.0</v>
      </c>
      <c r="C332" s="1">
        <v>27.0</v>
      </c>
      <c r="D332" s="1">
        <v>25.0</v>
      </c>
      <c r="E332" s="1">
        <v>2.0</v>
      </c>
      <c r="F332" s="1">
        <v>57.0</v>
      </c>
    </row>
    <row r="333" ht="15.75" customHeight="1">
      <c r="A333" s="1">
        <v>38.0</v>
      </c>
      <c r="B333" s="1">
        <v>37.0</v>
      </c>
      <c r="C333" s="1">
        <v>35.0</v>
      </c>
      <c r="D333" s="1">
        <v>39.0</v>
      </c>
      <c r="E333" s="1">
        <v>5.0</v>
      </c>
      <c r="F333" s="1">
        <v>98.0</v>
      </c>
    </row>
    <row r="334" ht="15.75" customHeight="1">
      <c r="A334" s="1">
        <v>38.0</v>
      </c>
      <c r="B334" s="1">
        <v>38.0</v>
      </c>
      <c r="C334" s="1">
        <v>35.0</v>
      </c>
      <c r="D334" s="1">
        <v>39.0</v>
      </c>
      <c r="E334" s="1">
        <v>6.0</v>
      </c>
      <c r="F334" s="1">
        <v>98.0</v>
      </c>
    </row>
    <row r="335" ht="15.75" customHeight="1">
      <c r="A335" s="1">
        <v>38.0</v>
      </c>
      <c r="B335" s="1">
        <v>39.0</v>
      </c>
      <c r="C335" s="1">
        <v>35.0</v>
      </c>
      <c r="D335" s="1">
        <v>39.0</v>
      </c>
      <c r="E335" s="1">
        <v>7.0</v>
      </c>
      <c r="F335" s="1">
        <v>98.0</v>
      </c>
    </row>
    <row r="336" ht="15.75" customHeight="1">
      <c r="A336" s="1">
        <v>39.0</v>
      </c>
      <c r="B336" s="1">
        <v>5.0</v>
      </c>
      <c r="C336" s="1">
        <v>99.0</v>
      </c>
      <c r="D336" s="1">
        <v>38.0</v>
      </c>
      <c r="E336" s="1">
        <v>37.0</v>
      </c>
      <c r="F336" s="1">
        <v>36.0</v>
      </c>
    </row>
    <row r="337" ht="15.75" customHeight="1">
      <c r="A337" s="1">
        <v>39.0</v>
      </c>
      <c r="B337" s="1">
        <v>6.0</v>
      </c>
      <c r="C337" s="1">
        <v>99.0</v>
      </c>
      <c r="D337" s="1">
        <v>38.0</v>
      </c>
      <c r="E337" s="1">
        <v>38.0</v>
      </c>
      <c r="F337" s="1">
        <v>36.0</v>
      </c>
    </row>
    <row r="338" ht="15.75" customHeight="1">
      <c r="A338" s="1">
        <v>39.0</v>
      </c>
      <c r="B338" s="1">
        <v>7.0</v>
      </c>
      <c r="C338" s="1">
        <v>99.0</v>
      </c>
      <c r="D338" s="1">
        <v>38.0</v>
      </c>
      <c r="E338" s="1">
        <v>39.0</v>
      </c>
      <c r="F338" s="1">
        <v>36.0</v>
      </c>
    </row>
    <row r="339" ht="15.75" customHeight="1">
      <c r="A339" s="1">
        <v>39.0</v>
      </c>
      <c r="B339" s="1">
        <v>40.0</v>
      </c>
      <c r="C339" s="1">
        <v>4.0</v>
      </c>
      <c r="D339" s="1">
        <v>39.0</v>
      </c>
      <c r="E339" s="1">
        <v>93.0</v>
      </c>
      <c r="F339" s="1">
        <v>99.0</v>
      </c>
    </row>
    <row r="340" ht="15.75" customHeight="1">
      <c r="A340" s="1">
        <v>39.0</v>
      </c>
      <c r="B340" s="1">
        <v>41.0</v>
      </c>
      <c r="C340" s="1">
        <v>4.0</v>
      </c>
      <c r="D340" s="1">
        <v>39.0</v>
      </c>
      <c r="E340" s="1">
        <v>94.0</v>
      </c>
      <c r="F340" s="1">
        <v>99.0</v>
      </c>
    </row>
    <row r="341" ht="15.75" customHeight="1">
      <c r="A341" s="1">
        <v>39.0</v>
      </c>
      <c r="B341" s="1">
        <v>42.0</v>
      </c>
      <c r="C341" s="1">
        <v>4.0</v>
      </c>
      <c r="D341" s="1">
        <v>39.0</v>
      </c>
      <c r="E341" s="1">
        <v>95.0</v>
      </c>
      <c r="F341" s="1">
        <v>99.0</v>
      </c>
    </row>
    <row r="342" ht="15.75" customHeight="1">
      <c r="A342" s="1">
        <v>39.0</v>
      </c>
      <c r="B342" s="1">
        <v>93.0</v>
      </c>
      <c r="C342" s="1">
        <v>100.0</v>
      </c>
      <c r="D342" s="1">
        <v>39.0</v>
      </c>
      <c r="E342" s="1">
        <v>40.0</v>
      </c>
      <c r="F342" s="1">
        <v>5.0</v>
      </c>
    </row>
    <row r="343" ht="15.75" customHeight="1">
      <c r="A343" s="1">
        <v>39.0</v>
      </c>
      <c r="B343" s="1">
        <v>94.0</v>
      </c>
      <c r="C343" s="1">
        <v>100.0</v>
      </c>
      <c r="D343" s="1">
        <v>39.0</v>
      </c>
      <c r="E343" s="1">
        <v>41.0</v>
      </c>
      <c r="F343" s="1">
        <v>5.0</v>
      </c>
    </row>
    <row r="344" ht="15.75" customHeight="1">
      <c r="A344" s="1">
        <v>39.0</v>
      </c>
      <c r="B344" s="1">
        <v>95.0</v>
      </c>
      <c r="C344" s="1">
        <v>100.0</v>
      </c>
      <c r="D344" s="1">
        <v>39.0</v>
      </c>
      <c r="E344" s="1">
        <v>42.0</v>
      </c>
      <c r="F344" s="1">
        <v>5.0</v>
      </c>
    </row>
    <row r="345" ht="15.75" customHeight="1">
      <c r="A345" s="1">
        <v>29.0</v>
      </c>
      <c r="B345" s="1">
        <v>59.0</v>
      </c>
      <c r="C345" s="1">
        <v>48.0</v>
      </c>
      <c r="D345" s="1">
        <v>40.0</v>
      </c>
      <c r="E345" s="1">
        <v>19.0</v>
      </c>
      <c r="F345" s="1">
        <v>98.0</v>
      </c>
    </row>
    <row r="346" ht="15.75" customHeight="1">
      <c r="A346" s="1">
        <v>40.0</v>
      </c>
      <c r="B346" s="1">
        <v>17.0</v>
      </c>
      <c r="C346" s="1">
        <v>98.0</v>
      </c>
      <c r="D346" s="1">
        <v>29.0</v>
      </c>
      <c r="E346" s="1">
        <v>60.0</v>
      </c>
      <c r="F346" s="1">
        <v>48.0</v>
      </c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4</v>
      </c>
      <c r="C1" s="1" t="s">
        <v>6</v>
      </c>
      <c r="D1" s="1" t="s">
        <v>1558</v>
      </c>
      <c r="E1" s="1" t="s">
        <v>1559</v>
      </c>
      <c r="F1" s="1" t="s">
        <v>11</v>
      </c>
      <c r="G1" s="1" t="s">
        <v>1560</v>
      </c>
      <c r="H1" s="1" t="s">
        <v>1561</v>
      </c>
      <c r="I1" s="1" t="s">
        <v>1562</v>
      </c>
      <c r="J1" s="1" t="s">
        <v>1563</v>
      </c>
      <c r="K1" s="1" t="s">
        <v>1564</v>
      </c>
      <c r="L1" s="1" t="s">
        <v>1565</v>
      </c>
      <c r="M1" s="1" t="s">
        <v>1566</v>
      </c>
      <c r="N1" s="1" t="s">
        <v>1567</v>
      </c>
    </row>
    <row r="2">
      <c r="A2" s="1">
        <v>1.0</v>
      </c>
      <c r="B2" s="1" t="s">
        <v>1568</v>
      </c>
      <c r="C2" s="1" t="s">
        <v>1569</v>
      </c>
      <c r="D2" s="1" t="s">
        <v>1570</v>
      </c>
      <c r="E2" s="1" t="s">
        <v>1571</v>
      </c>
      <c r="F2" s="1">
        <v>253.0</v>
      </c>
      <c r="I2" s="1">
        <v>5.0</v>
      </c>
      <c r="J2" s="1">
        <v>5.0</v>
      </c>
      <c r="K2" s="1">
        <v>1.0</v>
      </c>
      <c r="L2" s="1">
        <v>1.0</v>
      </c>
    </row>
    <row r="3">
      <c r="A3" s="1">
        <v>2.0</v>
      </c>
      <c r="B3" s="1" t="s">
        <v>1572</v>
      </c>
      <c r="C3" s="1" t="s">
        <v>1573</v>
      </c>
      <c r="D3" s="1" t="s">
        <v>1574</v>
      </c>
      <c r="E3" s="1" t="s">
        <v>1571</v>
      </c>
      <c r="F3" s="1">
        <v>253.0</v>
      </c>
      <c r="I3" s="1">
        <v>5.0</v>
      </c>
      <c r="J3" s="1">
        <v>5.0</v>
      </c>
      <c r="K3" s="1">
        <v>1.0</v>
      </c>
      <c r="L3" s="1">
        <v>1.0</v>
      </c>
    </row>
    <row r="4">
      <c r="A4" s="1">
        <v>3.0</v>
      </c>
      <c r="B4" s="1" t="s">
        <v>1575</v>
      </c>
      <c r="C4" s="1" t="s">
        <v>1576</v>
      </c>
      <c r="D4" s="1" t="s">
        <v>1577</v>
      </c>
      <c r="E4" s="1" t="s">
        <v>1571</v>
      </c>
      <c r="F4" s="1">
        <v>253.0</v>
      </c>
      <c r="I4" s="1">
        <v>5.0</v>
      </c>
      <c r="J4" s="1">
        <v>5.0</v>
      </c>
      <c r="K4" s="1">
        <v>1.0</v>
      </c>
      <c r="L4" s="1">
        <v>1.0</v>
      </c>
    </row>
    <row r="5">
      <c r="A5" s="1">
        <v>4.0</v>
      </c>
      <c r="B5" s="1" t="s">
        <v>1578</v>
      </c>
      <c r="C5" s="1" t="s">
        <v>1579</v>
      </c>
      <c r="D5" s="1" t="s">
        <v>1580</v>
      </c>
      <c r="E5" s="1" t="s">
        <v>1571</v>
      </c>
      <c r="F5" s="1">
        <v>253.0</v>
      </c>
      <c r="I5" s="1">
        <v>5.0</v>
      </c>
      <c r="J5" s="1">
        <v>5.0</v>
      </c>
      <c r="K5" s="1">
        <v>1.0</v>
      </c>
      <c r="L5" s="1">
        <v>1.0</v>
      </c>
    </row>
    <row r="6">
      <c r="A6" s="1">
        <v>5.0</v>
      </c>
      <c r="B6" s="1" t="s">
        <v>1581</v>
      </c>
      <c r="C6" s="1" t="s">
        <v>1582</v>
      </c>
      <c r="D6" s="1" t="s">
        <v>1583</v>
      </c>
      <c r="E6" s="1" t="s">
        <v>1571</v>
      </c>
      <c r="I6" s="1">
        <v>1.0</v>
      </c>
      <c r="L6" s="1">
        <v>1.0</v>
      </c>
    </row>
    <row r="7">
      <c r="A7" s="1">
        <v>6.0</v>
      </c>
      <c r="B7" s="1" t="s">
        <v>1584</v>
      </c>
      <c r="C7" s="1" t="s">
        <v>1585</v>
      </c>
      <c r="D7" s="1" t="s">
        <v>1586</v>
      </c>
      <c r="E7" s="1" t="s">
        <v>1571</v>
      </c>
      <c r="I7" s="1">
        <v>2.0</v>
      </c>
    </row>
    <row r="8">
      <c r="A8" s="1">
        <v>7.0</v>
      </c>
      <c r="B8" s="1" t="s">
        <v>1587</v>
      </c>
      <c r="C8" s="1" t="s">
        <v>1588</v>
      </c>
      <c r="D8" s="1" t="s">
        <v>1589</v>
      </c>
      <c r="E8" s="1" t="s">
        <v>1571</v>
      </c>
      <c r="I8" s="1">
        <v>5.0</v>
      </c>
      <c r="L8" s="1">
        <v>1.0</v>
      </c>
    </row>
    <row r="9">
      <c r="A9" s="1">
        <v>8.0</v>
      </c>
      <c r="B9" s="1" t="s">
        <v>1590</v>
      </c>
      <c r="C9" s="1" t="s">
        <v>1591</v>
      </c>
      <c r="D9" s="1" t="s">
        <v>1592</v>
      </c>
      <c r="E9" s="1" t="s">
        <v>1571</v>
      </c>
      <c r="I9" s="1">
        <v>5.0</v>
      </c>
      <c r="L9" s="1">
        <v>1.0</v>
      </c>
    </row>
    <row r="10">
      <c r="A10" s="1">
        <v>9.0</v>
      </c>
      <c r="B10" s="1" t="s">
        <v>1593</v>
      </c>
      <c r="C10" s="1" t="s">
        <v>1594</v>
      </c>
      <c r="D10" s="1" t="s">
        <v>1595</v>
      </c>
      <c r="E10" s="1" t="s">
        <v>1571</v>
      </c>
      <c r="I10" s="1">
        <v>7.0</v>
      </c>
      <c r="L10" s="1">
        <v>1.0</v>
      </c>
    </row>
    <row r="11">
      <c r="A11" s="1">
        <v>10.0</v>
      </c>
      <c r="B11" s="1" t="s">
        <v>1596</v>
      </c>
      <c r="C11" s="1" t="s">
        <v>1597</v>
      </c>
      <c r="D11" s="1" t="s">
        <v>1598</v>
      </c>
      <c r="E11" s="1" t="s">
        <v>1571</v>
      </c>
      <c r="I11" s="1">
        <v>10.0</v>
      </c>
      <c r="L11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H1" s="1" t="s">
        <v>1604</v>
      </c>
      <c r="I1" s="1" t="s">
        <v>1605</v>
      </c>
    </row>
    <row r="2">
      <c r="A2" s="1">
        <v>1.0</v>
      </c>
      <c r="B2" s="1">
        <v>5.0</v>
      </c>
      <c r="C2" s="1" t="s">
        <v>1606</v>
      </c>
      <c r="D2" s="1">
        <v>1.0</v>
      </c>
      <c r="E2" s="1">
        <v>15.0</v>
      </c>
      <c r="H2" s="1" t="str">
        <f>VLOOKUP(B2,Quests!A:C,2,0)</f>
        <v>Mouse Killer</v>
      </c>
      <c r="I2" s="1" t="str">
        <f>IF(C2 = "Item", VLOOKUP(D2,Items!A:C,3,0), IF(OR(C2 = "Kill", C2 = "TalkToNPC"), VLOOKUP(D2,NPCs!A:C,3,0), ""))</f>
        <v>Mouse</v>
      </c>
    </row>
    <row r="3">
      <c r="A3" s="1">
        <v>2.0</v>
      </c>
      <c r="B3" s="1">
        <v>6.0</v>
      </c>
      <c r="C3" s="1" t="s">
        <v>1607</v>
      </c>
      <c r="D3" s="1">
        <v>649.0</v>
      </c>
      <c r="E3" s="1">
        <v>10.0</v>
      </c>
      <c r="H3" s="1" t="str">
        <f>VLOOKUP(B3,Quests!A:C,2,0)</f>
        <v>Sheep Wool</v>
      </c>
      <c r="I3" s="1" t="str">
        <f>IF(C3 = "Item", VLOOKUP(D3,Items!A:C,3,0), IF(OR(C3 = "Kill", C3 = "TalkToNPC"), VLOOKUP(D3,NPCs!A:C,3,0), ""))</f>
        <v>Wool</v>
      </c>
    </row>
    <row r="4">
      <c r="A4" s="1">
        <v>3.0</v>
      </c>
      <c r="B4" s="1">
        <v>7.0</v>
      </c>
      <c r="C4" s="1" t="s">
        <v>1607</v>
      </c>
      <c r="D4" s="1">
        <v>7.0</v>
      </c>
      <c r="E4" s="1">
        <v>10.0</v>
      </c>
      <c r="H4" s="1" t="str">
        <f>VLOOKUP(B4,Quests!A:C,2,0)</f>
        <v>Jack's Jacket</v>
      </c>
      <c r="I4" s="1" t="str">
        <f>IF(C4 = "Item", VLOOKUP(D4,Items!A:C,3,0), IF(OR(C4 = "Kill", C4 = "TalkToNPC"), VLOOKUP(D4,NPCs!A:C,3,0), ""))</f>
        <v>Rabbit Fur</v>
      </c>
    </row>
    <row r="5">
      <c r="A5" s="1">
        <v>4.0</v>
      </c>
      <c r="B5" s="1">
        <v>7.0</v>
      </c>
      <c r="C5" s="1" t="s">
        <v>1607</v>
      </c>
      <c r="D5" s="1">
        <v>8.0</v>
      </c>
      <c r="E5" s="1">
        <v>10.0</v>
      </c>
      <c r="H5" s="1" t="str">
        <f>VLOOKUP(B5,Quests!A:C,2,0)</f>
        <v>Jack's Jacket</v>
      </c>
      <c r="I5" s="1" t="str">
        <f>IF(C5 = "Item", VLOOKUP(D5,Items!A:C,3,0), IF(OR(C5 = "Kill", C5 = "TalkToNPC"), VLOOKUP(D5,NPCs!A:C,3,0), ""))</f>
        <v>Rabbit Pelt</v>
      </c>
    </row>
    <row r="6">
      <c r="A6" s="1">
        <v>5.0</v>
      </c>
      <c r="B6" s="1">
        <v>7.0</v>
      </c>
      <c r="C6" s="1" t="s">
        <v>1608</v>
      </c>
      <c r="D6" s="1">
        <v>188.0</v>
      </c>
      <c r="H6" s="1" t="str">
        <f>VLOOKUP(B6,Quests!A:C,2,0)</f>
        <v>Jack's Jacket</v>
      </c>
      <c r="I6" s="1" t="str">
        <f>IF(C6 = "Item", VLOOKUP(D6,Items!A:C,3,0), IF(OR(C6 = "Kill", C6 = "TalkToNPC"), VLOOKUP(D6,NPCs!A:C,3,0), ""))</f>
        <v>Jill</v>
      </c>
    </row>
    <row r="7">
      <c r="A7" s="1">
        <v>6.0</v>
      </c>
      <c r="B7" s="1">
        <v>8.0</v>
      </c>
      <c r="C7" s="1" t="s">
        <v>1606</v>
      </c>
      <c r="D7" s="1">
        <v>4.0</v>
      </c>
      <c r="E7" s="1">
        <v>20.0</v>
      </c>
      <c r="H7" s="1" t="str">
        <f>VLOOKUP(B7,Quests!A:C,2,0)</f>
        <v>Angry Rabbits</v>
      </c>
      <c r="I7" s="1" t="str">
        <f>IF(C7 = "Item", VLOOKUP(D7,Items!A:C,3,0), IF(OR(C7 = "Kill", C7 = "TalkToNPC"), VLOOKUP(D7,NPCs!A:C,3,0), ""))</f>
        <v>Rabid Rabbit</v>
      </c>
    </row>
    <row r="8">
      <c r="A8" s="1">
        <v>7.0</v>
      </c>
      <c r="B8" s="1">
        <v>9.0</v>
      </c>
      <c r="C8" s="1" t="s">
        <v>1606</v>
      </c>
      <c r="D8" s="1">
        <v>6.0</v>
      </c>
      <c r="E8" s="1">
        <v>20.0</v>
      </c>
      <c r="H8" s="1" t="str">
        <f>VLOOKUP(B8,Quests!A:C,2,0)</f>
        <v>Biting Asps</v>
      </c>
      <c r="I8" s="1" t="str">
        <f>IF(C8 = "Item", VLOOKUP(D8,Items!A:C,3,0), IF(OR(C8 = "Kill", C8 = "TalkToNPC"), VLOOKUP(D8,NPCs!A:C,3,0), ""))</f>
        <v>Asp</v>
      </c>
    </row>
    <row r="9">
      <c r="A9" s="1">
        <v>8.0</v>
      </c>
      <c r="B9" s="1">
        <v>10.0</v>
      </c>
      <c r="C9" s="1" t="s">
        <v>1606</v>
      </c>
      <c r="D9" s="1">
        <v>7.0</v>
      </c>
      <c r="E9" s="1">
        <v>25.0</v>
      </c>
      <c r="H9" s="1" t="str">
        <f>VLOOKUP(B9,Quests!A:C,2,0)</f>
        <v>Screeching Bats</v>
      </c>
      <c r="I9" s="1" t="str">
        <f>IF(C9 = "Item", VLOOKUP(D9,Items!A:C,3,0), IF(OR(C9 = "Kill", C9 = "TalkToNPC"), VLOOKUP(D9,NPCs!A:C,3,0), ""))</f>
        <v>Bat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1599</v>
      </c>
      <c r="C1" s="1" t="s">
        <v>1609</v>
      </c>
      <c r="D1" s="1" t="s">
        <v>1610</v>
      </c>
      <c r="E1" s="1" t="s">
        <v>1611</v>
      </c>
      <c r="F1" s="1" t="s">
        <v>1612</v>
      </c>
      <c r="H1" s="1" t="s">
        <v>1604</v>
      </c>
      <c r="I1" s="1" t="s">
        <v>1130</v>
      </c>
    </row>
    <row r="2">
      <c r="A2" s="1">
        <v>1.0</v>
      </c>
      <c r="B2" s="1">
        <v>1.0</v>
      </c>
      <c r="C2" s="1" t="s">
        <v>1613</v>
      </c>
      <c r="D2" s="1">
        <v>3.0</v>
      </c>
      <c r="H2" s="1" t="str">
        <f>VLOOKUP(B2,Quests!A:C,2,0)</f>
        <v>Path of the Warrior</v>
      </c>
      <c r="I2" s="1" t="str">
        <f>IF(C2 = "Item", VLOOKUP(D2,Items!A:C,3,0), "")</f>
        <v/>
      </c>
    </row>
    <row r="3">
      <c r="A3" s="1">
        <v>2.0</v>
      </c>
      <c r="B3" s="1">
        <v>1.0</v>
      </c>
      <c r="C3" s="1" t="s">
        <v>1607</v>
      </c>
      <c r="D3" s="1">
        <v>644.0</v>
      </c>
      <c r="E3" s="1">
        <v>1.0</v>
      </c>
      <c r="H3" s="1" t="str">
        <f>VLOOKUP(B3,Quests!A:C,2,0)</f>
        <v>Path of the Warrior</v>
      </c>
      <c r="I3" s="1" t="str">
        <f>IF(C3 = "Item", VLOOKUP(D3,Items!A:C,3,0), "")</f>
        <v>Dusty Shoes</v>
      </c>
    </row>
    <row r="4">
      <c r="A4" s="1">
        <v>3.0</v>
      </c>
      <c r="B4" s="1">
        <v>1.0</v>
      </c>
      <c r="C4" s="1" t="s">
        <v>1607</v>
      </c>
      <c r="D4" s="1">
        <v>648.0</v>
      </c>
      <c r="E4" s="1">
        <v>1.0</v>
      </c>
      <c r="H4" s="1" t="str">
        <f>VLOOKUP(B4,Quests!A:C,2,0)</f>
        <v>Path of the Warrior</v>
      </c>
      <c r="I4" s="1" t="str">
        <f>IF(C4 = "Item", VLOOKUP(D4,Items!A:C,3,0), "")</f>
        <v>Rusty Sword</v>
      </c>
    </row>
    <row r="5">
      <c r="A5" s="1">
        <v>4.0</v>
      </c>
      <c r="B5" s="1">
        <v>2.0</v>
      </c>
      <c r="C5" s="1" t="s">
        <v>1613</v>
      </c>
      <c r="D5" s="1">
        <v>4.0</v>
      </c>
      <c r="H5" s="1" t="str">
        <f>VLOOKUP(B5,Quests!A:C,2,0)</f>
        <v>Path of the Magus</v>
      </c>
      <c r="I5" s="1" t="str">
        <f>IF(C5 = "Item", VLOOKUP(D5,Items!A:C,3,0), "")</f>
        <v/>
      </c>
    </row>
    <row r="6">
      <c r="A6" s="1">
        <v>5.0</v>
      </c>
      <c r="B6" s="1">
        <v>2.0</v>
      </c>
      <c r="C6" s="1" t="s">
        <v>1607</v>
      </c>
      <c r="D6" s="1">
        <v>644.0</v>
      </c>
      <c r="E6" s="1">
        <v>1.0</v>
      </c>
      <c r="H6" s="1" t="str">
        <f>VLOOKUP(B6,Quests!A:C,2,0)</f>
        <v>Path of the Magus</v>
      </c>
      <c r="I6" s="1" t="str">
        <f>IF(C6 = "Item", VLOOKUP(D6,Items!A:C,3,0), "")</f>
        <v>Dusty Shoes</v>
      </c>
    </row>
    <row r="7">
      <c r="A7" s="1">
        <v>6.0</v>
      </c>
      <c r="B7" s="1">
        <v>2.0</v>
      </c>
      <c r="C7" s="1" t="s">
        <v>1607</v>
      </c>
      <c r="D7" s="1">
        <v>646.0</v>
      </c>
      <c r="E7" s="1">
        <v>1.0</v>
      </c>
      <c r="H7" s="1" t="str">
        <f>VLOOKUP(B7,Quests!A:C,2,0)</f>
        <v>Path of the Magus</v>
      </c>
      <c r="I7" s="1" t="str">
        <f>IF(C7 = "Item", VLOOKUP(D7,Items!A:C,3,0), "")</f>
        <v>Old Stave</v>
      </c>
    </row>
    <row r="8">
      <c r="A8" s="1">
        <v>7.0</v>
      </c>
      <c r="B8" s="1">
        <v>2.0</v>
      </c>
      <c r="C8" s="1" t="s">
        <v>1607</v>
      </c>
      <c r="D8" s="1">
        <v>25.0</v>
      </c>
      <c r="E8" s="1">
        <v>1.0</v>
      </c>
      <c r="H8" s="1" t="str">
        <f>VLOOKUP(B8,Quests!A:C,2,0)</f>
        <v>Path of the Magus</v>
      </c>
      <c r="I8" s="1" t="str">
        <f>IF(C8 = "Item", VLOOKUP(D8,Items!A:C,3,0), "")</f>
        <v>Scroll: Elemental Strike 1</v>
      </c>
    </row>
    <row r="9">
      <c r="A9" s="1">
        <v>8.0</v>
      </c>
      <c r="B9" s="1">
        <v>3.0</v>
      </c>
      <c r="C9" s="1" t="s">
        <v>1613</v>
      </c>
      <c r="D9" s="1">
        <v>2.0</v>
      </c>
      <c r="H9" s="1" t="str">
        <f>VLOOKUP(B9,Quests!A:C,2,0)</f>
        <v>Path of the Rogue</v>
      </c>
      <c r="I9" s="1" t="str">
        <f>IF(C9 = "Item", VLOOKUP(D9,Items!A:C,3,0), "")</f>
        <v/>
      </c>
    </row>
    <row r="10">
      <c r="A10" s="1">
        <v>9.0</v>
      </c>
      <c r="B10" s="1">
        <v>3.0</v>
      </c>
      <c r="C10" s="1" t="s">
        <v>1607</v>
      </c>
      <c r="D10" s="1">
        <v>644.0</v>
      </c>
      <c r="E10" s="1">
        <v>1.0</v>
      </c>
      <c r="H10" s="1" t="str">
        <f>VLOOKUP(B10,Quests!A:C,2,0)</f>
        <v>Path of the Rogue</v>
      </c>
      <c r="I10" s="1" t="str">
        <f>IF(C10 = "Item", VLOOKUP(D10,Items!A:C,3,0), "")</f>
        <v>Dusty Shoes</v>
      </c>
    </row>
    <row r="11">
      <c r="A11" s="1">
        <v>10.0</v>
      </c>
      <c r="B11" s="1">
        <v>3.0</v>
      </c>
      <c r="C11" s="1" t="s">
        <v>1607</v>
      </c>
      <c r="D11" s="1">
        <v>647.0</v>
      </c>
      <c r="E11" s="1">
        <v>1.0</v>
      </c>
      <c r="H11" s="1" t="str">
        <f>VLOOKUP(B11,Quests!A:C,2,0)</f>
        <v>Path of the Rogue</v>
      </c>
      <c r="I11" s="1" t="str">
        <f>IF(C11 = "Item", VLOOKUP(D11,Items!A:C,3,0), "")</f>
        <v>Rusty Dagger</v>
      </c>
    </row>
    <row r="12">
      <c r="A12" s="1">
        <v>11.0</v>
      </c>
      <c r="B12" s="1">
        <v>4.0</v>
      </c>
      <c r="C12" s="1" t="s">
        <v>1613</v>
      </c>
      <c r="D12" s="1">
        <v>5.0</v>
      </c>
      <c r="H12" s="1" t="str">
        <f>VLOOKUP(B12,Quests!A:C,2,0)</f>
        <v>Path of the Priest</v>
      </c>
      <c r="I12" s="1" t="str">
        <f>IF(C12 = "Item", VLOOKUP(D12,Items!A:C,3,0), "")</f>
        <v/>
      </c>
    </row>
    <row r="13">
      <c r="A13" s="1">
        <v>12.0</v>
      </c>
      <c r="B13" s="1">
        <v>4.0</v>
      </c>
      <c r="C13" s="1" t="s">
        <v>1607</v>
      </c>
      <c r="D13" s="1">
        <v>644.0</v>
      </c>
      <c r="E13" s="1">
        <v>1.0</v>
      </c>
      <c r="H13" s="1" t="str">
        <f>VLOOKUP(B13,Quests!A:C,2,0)</f>
        <v>Path of the Priest</v>
      </c>
      <c r="I13" s="1" t="str">
        <f>IF(C13 = "Item", VLOOKUP(D13,Items!A:C,3,0), "")</f>
        <v>Dusty Shoes</v>
      </c>
    </row>
    <row r="14">
      <c r="A14" s="1">
        <v>13.0</v>
      </c>
      <c r="B14" s="1">
        <v>4.0</v>
      </c>
      <c r="C14" s="1" t="s">
        <v>1607</v>
      </c>
      <c r="D14" s="1">
        <v>645.0</v>
      </c>
      <c r="E14" s="1">
        <v>1.0</v>
      </c>
      <c r="H14" s="1" t="str">
        <f>VLOOKUP(B14,Quests!A:C,2,0)</f>
        <v>Path of the Priest</v>
      </c>
      <c r="I14" s="1" t="str">
        <f>IF(C14 = "Item", VLOOKUP(D14,Items!A:C,3,0), "")</f>
        <v>Rusty Hammer</v>
      </c>
    </row>
    <row r="15">
      <c r="A15" s="1">
        <v>14.0</v>
      </c>
      <c r="B15" s="1">
        <v>4.0</v>
      </c>
      <c r="C15" s="1" t="s">
        <v>1607</v>
      </c>
      <c r="D15" s="1">
        <v>10.0</v>
      </c>
      <c r="E15" s="1">
        <v>1.0</v>
      </c>
      <c r="H15" s="1" t="str">
        <f>VLOOKUP(B15,Quests!A:C,2,0)</f>
        <v>Path of the Priest</v>
      </c>
      <c r="I15" s="1" t="str">
        <f>IF(C15 = "Item", VLOOKUP(D15,Items!A:C,3,0), "")</f>
        <v>Scroll: Healing 1</v>
      </c>
    </row>
    <row r="16">
      <c r="A16" s="1">
        <v>15.0</v>
      </c>
      <c r="B16" s="1">
        <v>5.0</v>
      </c>
      <c r="C16" s="1" t="s">
        <v>1607</v>
      </c>
      <c r="D16" s="1">
        <v>4.0</v>
      </c>
      <c r="E16" s="1">
        <v>5.0</v>
      </c>
      <c r="H16" s="1" t="str">
        <f>VLOOKUP(B16,Quests!A:C,2,0)</f>
        <v>Mouse Killer</v>
      </c>
      <c r="I16" s="1" t="str">
        <f>IF(C16 = "Item", VLOOKUP(D16,Items!A:C,3,0), "")</f>
        <v>Small Health Potion</v>
      </c>
    </row>
    <row r="17">
      <c r="A17" s="1">
        <v>16.0</v>
      </c>
      <c r="B17" s="1">
        <v>5.0</v>
      </c>
      <c r="C17" s="1" t="s">
        <v>1607</v>
      </c>
      <c r="D17" s="1">
        <v>5.0</v>
      </c>
      <c r="E17" s="1">
        <v>5.0</v>
      </c>
      <c r="H17" s="1" t="str">
        <f>VLOOKUP(B17,Quests!A:C,2,0)</f>
        <v>Mouse Killer</v>
      </c>
      <c r="I17" s="1" t="str">
        <f>IF(C17 = "Item", VLOOKUP(D17,Items!A:C,3,0), "")</f>
        <v>Small Mana Potion</v>
      </c>
    </row>
    <row r="18">
      <c r="A18" s="1">
        <v>17.0</v>
      </c>
      <c r="B18" s="1">
        <v>5.0</v>
      </c>
      <c r="C18" s="1" t="s">
        <v>135</v>
      </c>
      <c r="D18" s="1">
        <v>2000.0</v>
      </c>
      <c r="H18" s="1" t="str">
        <f>VLOOKUP(B18,Quests!A:C,2,0)</f>
        <v>Mouse Killer</v>
      </c>
      <c r="I18" s="1" t="str">
        <f>IF(C18 = "Item", VLOOKUP(D18,Items!A:C,3,0), "")</f>
        <v/>
      </c>
    </row>
    <row r="19">
      <c r="A19" s="1">
        <v>18.0</v>
      </c>
      <c r="B19" s="1">
        <v>6.0</v>
      </c>
      <c r="C19" s="1" t="s">
        <v>135</v>
      </c>
      <c r="D19" s="1">
        <v>2500.0</v>
      </c>
      <c r="H19" s="1" t="str">
        <f>VLOOKUP(B19,Quests!A:C,2,0)</f>
        <v>Sheep Wool</v>
      </c>
      <c r="I19" s="1" t="str">
        <f>IF(C19 = "Item", VLOOKUP(D19,Items!A:C,3,0), "")</f>
        <v/>
      </c>
    </row>
    <row r="20">
      <c r="A20" s="1">
        <v>19.0</v>
      </c>
      <c r="B20" s="1">
        <v>6.0</v>
      </c>
      <c r="C20" s="1" t="s">
        <v>1614</v>
      </c>
      <c r="D20" s="1">
        <v>1000.0</v>
      </c>
      <c r="H20" s="1" t="str">
        <f>VLOOKUP(B20,Quests!A:C,2,0)</f>
        <v>Sheep Wool</v>
      </c>
      <c r="I20" s="1" t="str">
        <f>IF(C20 = "Item", VLOOKUP(D20,Items!A:C,3,0), "")</f>
        <v/>
      </c>
    </row>
    <row r="21" ht="15.75" customHeight="1">
      <c r="A21" s="1">
        <v>20.0</v>
      </c>
      <c r="B21" s="1">
        <v>7.0</v>
      </c>
      <c r="C21" s="1" t="s">
        <v>135</v>
      </c>
      <c r="D21" s="1">
        <v>3000.0</v>
      </c>
      <c r="H21" s="1" t="str">
        <f>VLOOKUP(B21,Quests!A:C,2,0)</f>
        <v>Jack's Jacket</v>
      </c>
      <c r="I21" s="1" t="str">
        <f>IF(C21 = "Item", VLOOKUP(D21,Items!A:C,3,0), "")</f>
        <v/>
      </c>
    </row>
    <row r="22" ht="15.75" customHeight="1">
      <c r="A22" s="1">
        <v>21.0</v>
      </c>
      <c r="B22" s="1">
        <v>7.0</v>
      </c>
      <c r="C22" s="1" t="s">
        <v>1614</v>
      </c>
      <c r="D22" s="1">
        <v>2000.0</v>
      </c>
      <c r="H22" s="1" t="str">
        <f>VLOOKUP(B22,Quests!A:C,2,0)</f>
        <v>Jack's Jacket</v>
      </c>
      <c r="I22" s="1" t="str">
        <f>IF(C22 = "Item", VLOOKUP(D22,Items!A:C,3,0), "")</f>
        <v/>
      </c>
    </row>
    <row r="23" ht="15.75" customHeight="1">
      <c r="A23" s="1">
        <v>22.0</v>
      </c>
      <c r="B23" s="1">
        <v>7.0</v>
      </c>
      <c r="C23" s="1" t="s">
        <v>1607</v>
      </c>
      <c r="D23" s="1">
        <v>650.0</v>
      </c>
      <c r="E23" s="1">
        <v>1.0</v>
      </c>
      <c r="H23" s="1" t="str">
        <f>VLOOKUP(B23,Quests!A:C,2,0)</f>
        <v>Jack's Jacket</v>
      </c>
      <c r="I23" s="1" t="str">
        <f>IF(C23 = "Item", VLOOKUP(D23,Items!A:C,3,0), "")</f>
        <v>Rabbit Fur Pants</v>
      </c>
    </row>
    <row r="24" ht="15.75" customHeight="1">
      <c r="A24" s="1">
        <v>23.0</v>
      </c>
      <c r="B24" s="1">
        <v>8.0</v>
      </c>
      <c r="C24" s="1" t="s">
        <v>1614</v>
      </c>
      <c r="D24" s="1">
        <v>2500.0</v>
      </c>
      <c r="H24" s="1" t="str">
        <f>VLOOKUP(B24,Quests!A:C,2,0)</f>
        <v>Angry Rabbits</v>
      </c>
      <c r="I24" s="1" t="str">
        <f>IF(C24 = "Item", VLOOKUP(D24,Items!A:C,3,0), "")</f>
        <v/>
      </c>
    </row>
    <row r="25" ht="15.75" customHeight="1">
      <c r="A25" s="1">
        <v>24.0</v>
      </c>
      <c r="B25" s="1">
        <v>9.0</v>
      </c>
      <c r="C25" s="1" t="s">
        <v>1614</v>
      </c>
      <c r="D25" s="1">
        <v>3000.0</v>
      </c>
      <c r="H25" s="1" t="str">
        <f>VLOOKUP(B25,Quests!A:C,2,0)</f>
        <v>Biting Asps</v>
      </c>
      <c r="I25" s="1" t="str">
        <f>IF(C25 = "Item", VLOOKUP(D25,Items!A:C,3,0), "")</f>
        <v/>
      </c>
    </row>
    <row r="26" ht="15.75" customHeight="1">
      <c r="A26" s="1">
        <v>25.0</v>
      </c>
      <c r="B26" s="1">
        <v>10.0</v>
      </c>
      <c r="C26" s="1" t="s">
        <v>1614</v>
      </c>
      <c r="D26" s="1">
        <v>5000.0</v>
      </c>
      <c r="H26" s="1" t="str">
        <f>VLOOKUP(B26,Quests!A:C,2,0)</f>
        <v>Screeching Bats</v>
      </c>
      <c r="I26" s="1" t="str">
        <f>IF(C26 = "Item", VLOOKUP(D26,Items!A:C,3,0), "")</f>
        <v/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4</v>
      </c>
      <c r="C1" s="1" t="s">
        <v>1519</v>
      </c>
      <c r="D1" s="1" t="s">
        <v>1520</v>
      </c>
      <c r="E1" s="1" t="s">
        <v>1615</v>
      </c>
      <c r="F1" s="1" t="s">
        <v>1616</v>
      </c>
      <c r="G1" s="1" t="s">
        <v>1617</v>
      </c>
      <c r="H1" s="1" t="s">
        <v>1618</v>
      </c>
      <c r="I1" s="1" t="s">
        <v>1619</v>
      </c>
      <c r="J1" s="1" t="s">
        <v>122</v>
      </c>
      <c r="K1" s="1" t="s">
        <v>1620</v>
      </c>
    </row>
    <row r="2">
      <c r="A2" s="1">
        <v>1.0</v>
      </c>
      <c r="B2" s="1" t="s">
        <v>1621</v>
      </c>
      <c r="I2" s="1">
        <v>0.5</v>
      </c>
      <c r="J2" s="1" t="s">
        <v>1622</v>
      </c>
      <c r="K2" s="1" t="s">
        <v>1623</v>
      </c>
    </row>
    <row r="3">
      <c r="A3" s="1">
        <v>2.0</v>
      </c>
      <c r="B3" s="1" t="s">
        <v>1624</v>
      </c>
      <c r="I3" s="1">
        <v>0.5</v>
      </c>
      <c r="J3" s="1" t="s">
        <v>1622</v>
      </c>
      <c r="K3" s="1" t="s">
        <v>1625</v>
      </c>
    </row>
    <row r="4">
      <c r="A4" s="1">
        <v>3.0</v>
      </c>
      <c r="B4" s="1" t="s">
        <v>1626</v>
      </c>
      <c r="I4" s="1">
        <v>0.5</v>
      </c>
      <c r="J4" s="1" t="s">
        <v>1622</v>
      </c>
      <c r="K4" s="1" t="s">
        <v>1627</v>
      </c>
    </row>
    <row r="5">
      <c r="A5" s="1">
        <v>4.0</v>
      </c>
      <c r="B5" s="1" t="s">
        <v>1628</v>
      </c>
      <c r="G5" s="1" t="s">
        <v>148</v>
      </c>
      <c r="I5" s="1">
        <v>0.5</v>
      </c>
      <c r="J5" s="1" t="s">
        <v>1622</v>
      </c>
      <c r="K5" s="1" t="s">
        <v>1629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4</v>
      </c>
      <c r="C1" s="1" t="s">
        <v>1519</v>
      </c>
      <c r="D1" s="1" t="s">
        <v>1520</v>
      </c>
      <c r="E1" s="1" t="s">
        <v>1615</v>
      </c>
      <c r="F1" s="1" t="s">
        <v>1616</v>
      </c>
      <c r="G1" s="1" t="s">
        <v>1617</v>
      </c>
      <c r="H1" s="1" t="s">
        <v>1618</v>
      </c>
      <c r="I1" s="1" t="s">
        <v>1619</v>
      </c>
      <c r="J1" s="1" t="s">
        <v>122</v>
      </c>
      <c r="K1" s="1" t="s">
        <v>1620</v>
      </c>
    </row>
    <row r="2">
      <c r="A2" s="1">
        <v>1.0</v>
      </c>
      <c r="B2" s="1" t="s">
        <v>1630</v>
      </c>
      <c r="I2" s="1">
        <v>0.5</v>
      </c>
      <c r="J2" s="1" t="s">
        <v>1622</v>
      </c>
      <c r="K2" s="1" t="s">
        <v>1631</v>
      </c>
    </row>
    <row r="3">
      <c r="A3" s="1">
        <v>2.0</v>
      </c>
      <c r="B3" s="1" t="s">
        <v>1632</v>
      </c>
      <c r="I3" s="1">
        <v>0.5</v>
      </c>
      <c r="J3" s="1" t="s">
        <v>1622</v>
      </c>
      <c r="K3" s="1" t="s">
        <v>1633</v>
      </c>
    </row>
    <row r="4">
      <c r="A4" s="1">
        <v>3.0</v>
      </c>
      <c r="B4" s="1" t="s">
        <v>1634</v>
      </c>
      <c r="G4" s="1" t="s">
        <v>148</v>
      </c>
      <c r="I4" s="1">
        <v>0.5</v>
      </c>
      <c r="J4" s="1" t="s">
        <v>1622</v>
      </c>
      <c r="K4" s="1" t="s">
        <v>1635</v>
      </c>
    </row>
    <row r="5">
      <c r="A5" s="1">
        <v>4.0</v>
      </c>
      <c r="B5" s="1" t="s">
        <v>1636</v>
      </c>
      <c r="G5" s="1" t="s">
        <v>137</v>
      </c>
      <c r="I5" s="1">
        <v>0.5</v>
      </c>
      <c r="J5" s="1" t="s">
        <v>1622</v>
      </c>
      <c r="K5" s="1" t="s">
        <v>1637</v>
      </c>
    </row>
    <row r="6">
      <c r="A6" s="1">
        <v>5.0</v>
      </c>
      <c r="B6" s="1" t="s">
        <v>1638</v>
      </c>
      <c r="I6" s="1">
        <v>0.5</v>
      </c>
      <c r="J6" s="1" t="s">
        <v>1622</v>
      </c>
      <c r="K6" s="1" t="s">
        <v>1639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4</v>
      </c>
      <c r="C1" s="1" t="s">
        <v>1640</v>
      </c>
      <c r="D1" s="1" t="s">
        <v>1641</v>
      </c>
      <c r="E1" s="1" t="s">
        <v>1642</v>
      </c>
    </row>
    <row r="2">
      <c r="A2" s="1">
        <v>1.0</v>
      </c>
      <c r="B2" s="1" t="s">
        <v>1643</v>
      </c>
      <c r="C2" s="1">
        <v>1.0</v>
      </c>
      <c r="D2" s="1">
        <v>10000.0</v>
      </c>
      <c r="E2" s="1">
        <v>10000.0</v>
      </c>
    </row>
    <row r="3">
      <c r="A3" s="1">
        <v>2.0</v>
      </c>
      <c r="B3" s="1" t="s">
        <v>1644</v>
      </c>
      <c r="C3" s="1">
        <v>0.65</v>
      </c>
      <c r="D3" s="1">
        <v>150000.0</v>
      </c>
      <c r="E3" s="1">
        <v>150000.0</v>
      </c>
    </row>
    <row r="4">
      <c r="A4" s="1">
        <v>3.0</v>
      </c>
      <c r="B4" s="1" t="s">
        <v>1645</v>
      </c>
      <c r="C4" s="1">
        <v>1.0</v>
      </c>
      <c r="D4" s="1">
        <v>100000.0</v>
      </c>
      <c r="E4" s="1">
        <v>200000.0</v>
      </c>
    </row>
    <row r="5">
      <c r="A5" s="1">
        <v>4.0</v>
      </c>
      <c r="B5" s="1" t="s">
        <v>1646</v>
      </c>
      <c r="C5" s="1">
        <v>0.5</v>
      </c>
      <c r="D5" s="1">
        <v>200000.0</v>
      </c>
      <c r="E5" s="1">
        <v>100000.0</v>
      </c>
    </row>
    <row r="6">
      <c r="A6" s="1">
        <v>5.0</v>
      </c>
      <c r="B6" s="1" t="s">
        <v>1647</v>
      </c>
      <c r="C6" s="1">
        <v>0.7</v>
      </c>
      <c r="D6" s="1">
        <v>180000.0</v>
      </c>
      <c r="E6" s="1">
        <v>120000.0</v>
      </c>
    </row>
    <row r="7">
      <c r="A7" s="1">
        <v>6.0</v>
      </c>
      <c r="B7" s="1" t="s">
        <v>1648</v>
      </c>
      <c r="C7" s="1">
        <v>1.0</v>
      </c>
      <c r="D7" s="1">
        <v>100000.0</v>
      </c>
      <c r="E7" s="1">
        <v>100000.0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1649</v>
      </c>
      <c r="B1" s="1" t="s">
        <v>1650</v>
      </c>
      <c r="C1" s="1" t="s">
        <v>1651</v>
      </c>
      <c r="D1" s="1" t="s">
        <v>1652</v>
      </c>
      <c r="E1" s="1" t="s">
        <v>1653</v>
      </c>
      <c r="F1" s="1" t="s">
        <v>1654</v>
      </c>
      <c r="G1" s="1" t="s">
        <v>1655</v>
      </c>
      <c r="H1" s="1" t="s">
        <v>1656</v>
      </c>
      <c r="I1" s="1" t="s">
        <v>1657</v>
      </c>
      <c r="J1" s="1" t="s">
        <v>1658</v>
      </c>
      <c r="K1" s="1" t="s">
        <v>1659</v>
      </c>
      <c r="L1" s="1" t="s">
        <v>1660</v>
      </c>
      <c r="M1" s="1" t="s">
        <v>1661</v>
      </c>
      <c r="N1" s="1" t="s">
        <v>1662</v>
      </c>
      <c r="O1" s="1" t="s">
        <v>1663</v>
      </c>
      <c r="P1" s="1" t="s">
        <v>1664</v>
      </c>
      <c r="Q1" s="1" t="s">
        <v>97</v>
      </c>
      <c r="R1" s="1" t="s">
        <v>101</v>
      </c>
      <c r="S1" s="1" t="s">
        <v>103</v>
      </c>
      <c r="T1" s="1" t="s">
        <v>105</v>
      </c>
      <c r="U1" s="1" t="s">
        <v>106</v>
      </c>
      <c r="V1" s="1" t="s">
        <v>110</v>
      </c>
      <c r="W1" s="1" t="s">
        <v>113</v>
      </c>
      <c r="X1" s="1" t="s">
        <v>116</v>
      </c>
      <c r="Y1" s="1" t="s">
        <v>119</v>
      </c>
      <c r="Z1" s="1" t="s">
        <v>123</v>
      </c>
      <c r="AB1" s="1" t="s">
        <v>1665</v>
      </c>
    </row>
    <row r="2">
      <c r="A2" s="1">
        <v>1.0</v>
      </c>
      <c r="B2" s="1">
        <v>1.0</v>
      </c>
      <c r="C2" s="1">
        <v>200.0</v>
      </c>
      <c r="D2" s="1">
        <v>30.0</v>
      </c>
      <c r="E2" s="1">
        <v>30.0</v>
      </c>
      <c r="AB2" s="1" t="str">
        <f>VLOOKUP(A2,Classes!A:C,2,0)</f>
        <v>Commoner</v>
      </c>
    </row>
    <row r="3">
      <c r="A3" s="1">
        <v>1.0</v>
      </c>
      <c r="B3" s="1">
        <v>2.0</v>
      </c>
      <c r="C3" s="1">
        <v>800.0</v>
      </c>
      <c r="D3" s="1">
        <v>38.0</v>
      </c>
      <c r="E3" s="1">
        <v>38.0</v>
      </c>
      <c r="AB3" s="1" t="str">
        <f>VLOOKUP(A3,Classes!A:C,2,0)</f>
        <v>Commoner</v>
      </c>
    </row>
    <row r="4">
      <c r="A4" s="1">
        <v>1.0</v>
      </c>
      <c r="B4" s="1">
        <v>3.0</v>
      </c>
      <c r="C4" s="1">
        <v>2000.0</v>
      </c>
      <c r="D4" s="1">
        <v>50.0</v>
      </c>
      <c r="E4" s="1">
        <v>50.0</v>
      </c>
      <c r="AB4" s="1" t="str">
        <f>VLOOKUP(A4,Classes!A:C,2,0)</f>
        <v>Commoner</v>
      </c>
    </row>
    <row r="5">
      <c r="A5" s="1">
        <v>1.0</v>
      </c>
      <c r="B5" s="1">
        <v>4.0</v>
      </c>
      <c r="C5" s="1">
        <v>4000.0</v>
      </c>
      <c r="D5" s="1">
        <v>66.0</v>
      </c>
      <c r="E5" s="1">
        <v>66.0</v>
      </c>
      <c r="AB5" s="1" t="str">
        <f>VLOOKUP(A5,Classes!A:C,2,0)</f>
        <v>Commoner</v>
      </c>
    </row>
    <row r="6">
      <c r="A6" s="1">
        <v>1.0</v>
      </c>
      <c r="B6" s="1">
        <v>5.0</v>
      </c>
      <c r="C6" s="1">
        <v>0.0</v>
      </c>
      <c r="D6" s="1">
        <v>86.0</v>
      </c>
      <c r="E6" s="1">
        <v>86.0</v>
      </c>
      <c r="AB6" s="1" t="str">
        <f>VLOOKUP(A6,Classes!A:C,2,0)</f>
        <v>Commoner</v>
      </c>
    </row>
    <row r="7">
      <c r="A7" s="1">
        <v>2.0</v>
      </c>
      <c r="B7" s="1">
        <v>1.0</v>
      </c>
      <c r="C7" s="1">
        <v>200.0</v>
      </c>
      <c r="D7" s="1">
        <v>30.0</v>
      </c>
      <c r="E7" s="1">
        <v>30.0</v>
      </c>
      <c r="AB7" s="1" t="str">
        <f>VLOOKUP(A7,Classes!A:C,2,0)</f>
        <v>Rogue</v>
      </c>
    </row>
    <row r="8">
      <c r="A8" s="1">
        <v>2.0</v>
      </c>
      <c r="B8" s="1">
        <v>2.0</v>
      </c>
      <c r="C8" s="1">
        <v>800.0</v>
      </c>
      <c r="D8" s="1">
        <v>38.0</v>
      </c>
      <c r="E8" s="1">
        <v>38.0</v>
      </c>
      <c r="AB8" s="1" t="str">
        <f>VLOOKUP(A8,Classes!A:C,2,0)</f>
        <v>Rogue</v>
      </c>
    </row>
    <row r="9">
      <c r="A9" s="1">
        <v>2.0</v>
      </c>
      <c r="B9" s="1">
        <v>3.0</v>
      </c>
      <c r="C9" s="1">
        <v>2000.0</v>
      </c>
      <c r="D9" s="1">
        <v>50.0</v>
      </c>
      <c r="E9" s="1">
        <v>50.0</v>
      </c>
      <c r="AB9" s="1" t="str">
        <f>VLOOKUP(A9,Classes!A:C,2,0)</f>
        <v>Rogue</v>
      </c>
    </row>
    <row r="10">
      <c r="A10" s="1">
        <v>2.0</v>
      </c>
      <c r="B10" s="1">
        <v>4.0</v>
      </c>
      <c r="C10" s="1">
        <v>4000.0</v>
      </c>
      <c r="D10" s="1">
        <v>66.0</v>
      </c>
      <c r="E10" s="1">
        <v>66.0</v>
      </c>
      <c r="AB10" s="1" t="str">
        <f>VLOOKUP(A10,Classes!A:C,2,0)</f>
        <v>Rogue</v>
      </c>
    </row>
    <row r="11">
      <c r="A11" s="1">
        <v>2.0</v>
      </c>
      <c r="B11" s="1">
        <v>5.0</v>
      </c>
      <c r="C11" s="1">
        <v>7000.0</v>
      </c>
      <c r="D11" s="1">
        <v>86.0</v>
      </c>
      <c r="E11" s="1">
        <v>86.0</v>
      </c>
      <c r="AB11" s="1" t="str">
        <f>VLOOKUP(A11,Classes!A:C,2,0)</f>
        <v>Rogue</v>
      </c>
    </row>
    <row r="12">
      <c r="A12" s="1">
        <v>2.0</v>
      </c>
      <c r="B12" s="1">
        <v>6.0</v>
      </c>
      <c r="C12" s="1">
        <v>11200.0</v>
      </c>
      <c r="D12" s="1">
        <v>110.0</v>
      </c>
      <c r="E12" s="1">
        <v>110.0</v>
      </c>
      <c r="AB12" s="1" t="str">
        <f>VLOOKUP(A12,Classes!A:C,2,0)</f>
        <v>Rogue</v>
      </c>
    </row>
    <row r="13">
      <c r="A13" s="1">
        <v>2.0</v>
      </c>
      <c r="B13" s="1">
        <v>7.0</v>
      </c>
      <c r="C13" s="1">
        <v>16800.0</v>
      </c>
      <c r="D13" s="1">
        <v>138.0</v>
      </c>
      <c r="E13" s="1">
        <v>138.0</v>
      </c>
      <c r="AB13" s="1" t="str">
        <f>VLOOKUP(A13,Classes!A:C,2,0)</f>
        <v>Rogue</v>
      </c>
    </row>
    <row r="14">
      <c r="A14" s="1">
        <v>2.0</v>
      </c>
      <c r="B14" s="1">
        <v>8.0</v>
      </c>
      <c r="C14" s="1">
        <v>24000.0</v>
      </c>
      <c r="D14" s="1">
        <v>170.0</v>
      </c>
      <c r="E14" s="1">
        <v>170.0</v>
      </c>
      <c r="AB14" s="1" t="str">
        <f>VLOOKUP(A14,Classes!A:C,2,0)</f>
        <v>Rogue</v>
      </c>
    </row>
    <row r="15">
      <c r="A15" s="1">
        <v>2.0</v>
      </c>
      <c r="B15" s="1">
        <v>9.0</v>
      </c>
      <c r="C15" s="1">
        <v>33000.0</v>
      </c>
      <c r="D15" s="1">
        <v>206.0</v>
      </c>
      <c r="E15" s="1">
        <v>206.0</v>
      </c>
      <c r="AB15" s="1" t="str">
        <f>VLOOKUP(A15,Classes!A:C,2,0)</f>
        <v>Rogue</v>
      </c>
    </row>
    <row r="16">
      <c r="A16" s="1">
        <v>2.0</v>
      </c>
      <c r="B16" s="1">
        <v>10.0</v>
      </c>
      <c r="C16" s="1">
        <v>44000.0</v>
      </c>
      <c r="D16" s="1">
        <v>246.0</v>
      </c>
      <c r="E16" s="1">
        <v>246.0</v>
      </c>
      <c r="AB16" s="1" t="str">
        <f>VLOOKUP(A16,Classes!A:C,2,0)</f>
        <v>Rogue</v>
      </c>
    </row>
    <row r="17">
      <c r="A17" s="1">
        <v>2.0</v>
      </c>
      <c r="B17" s="1">
        <v>11.0</v>
      </c>
      <c r="C17" s="1">
        <v>57200.0</v>
      </c>
      <c r="D17" s="1">
        <v>290.0</v>
      </c>
      <c r="E17" s="1">
        <v>290.0</v>
      </c>
      <c r="AB17" s="1" t="str">
        <f>VLOOKUP(A17,Classes!A:C,2,0)</f>
        <v>Rogue</v>
      </c>
    </row>
    <row r="18">
      <c r="A18" s="1">
        <v>2.0</v>
      </c>
      <c r="B18" s="1">
        <v>12.0</v>
      </c>
      <c r="C18" s="1">
        <v>72800.0</v>
      </c>
      <c r="D18" s="1">
        <v>338.0</v>
      </c>
      <c r="E18" s="1">
        <v>338.0</v>
      </c>
      <c r="AB18" s="1" t="str">
        <f>VLOOKUP(A18,Classes!A:C,2,0)</f>
        <v>Rogue</v>
      </c>
    </row>
    <row r="19">
      <c r="A19" s="1">
        <v>2.0</v>
      </c>
      <c r="B19" s="1">
        <v>13.0</v>
      </c>
      <c r="C19" s="1">
        <v>91000.0</v>
      </c>
      <c r="D19" s="1">
        <v>390.0</v>
      </c>
      <c r="E19" s="1">
        <v>390.0</v>
      </c>
      <c r="AB19" s="1" t="str">
        <f>VLOOKUP(A19,Classes!A:C,2,0)</f>
        <v>Rogue</v>
      </c>
    </row>
    <row r="20">
      <c r="A20" s="1">
        <v>2.0</v>
      </c>
      <c r="B20" s="1">
        <v>14.0</v>
      </c>
      <c r="C20" s="1">
        <v>112000.0</v>
      </c>
      <c r="D20" s="1">
        <v>446.0</v>
      </c>
      <c r="E20" s="1">
        <v>446.0</v>
      </c>
      <c r="AB20" s="1" t="str">
        <f>VLOOKUP(A20,Classes!A:C,2,0)</f>
        <v>Rogue</v>
      </c>
    </row>
    <row r="21" ht="15.75" customHeight="1">
      <c r="A21" s="1">
        <v>2.0</v>
      </c>
      <c r="B21" s="1">
        <v>15.0</v>
      </c>
      <c r="C21" s="1">
        <v>136000.0</v>
      </c>
      <c r="D21" s="1">
        <v>506.0</v>
      </c>
      <c r="E21" s="1">
        <v>506.0</v>
      </c>
      <c r="AB21" s="1" t="str">
        <f>VLOOKUP(A21,Classes!A:C,2,0)</f>
        <v>Rogue</v>
      </c>
    </row>
    <row r="22" ht="15.75" customHeight="1">
      <c r="A22" s="1">
        <v>2.0</v>
      </c>
      <c r="B22" s="1">
        <v>16.0</v>
      </c>
      <c r="C22" s="1">
        <v>163200.0</v>
      </c>
      <c r="D22" s="1">
        <v>570.0</v>
      </c>
      <c r="E22" s="1">
        <v>570.0</v>
      </c>
      <c r="AB22" s="1" t="str">
        <f>VLOOKUP(A22,Classes!A:C,2,0)</f>
        <v>Rogue</v>
      </c>
    </row>
    <row r="23" ht="15.75" customHeight="1">
      <c r="A23" s="1">
        <v>2.0</v>
      </c>
      <c r="B23" s="1">
        <v>17.0</v>
      </c>
      <c r="C23" s="1">
        <v>193800.0</v>
      </c>
      <c r="D23" s="1">
        <v>638.0</v>
      </c>
      <c r="E23" s="1">
        <v>638.0</v>
      </c>
      <c r="AB23" s="1" t="str">
        <f>VLOOKUP(A23,Classes!A:C,2,0)</f>
        <v>Rogue</v>
      </c>
    </row>
    <row r="24" ht="15.75" customHeight="1">
      <c r="A24" s="1">
        <v>2.0</v>
      </c>
      <c r="B24" s="1">
        <v>18.0</v>
      </c>
      <c r="C24" s="1">
        <v>228000.0</v>
      </c>
      <c r="D24" s="1">
        <v>710.0</v>
      </c>
      <c r="E24" s="1">
        <v>710.0</v>
      </c>
      <c r="AB24" s="1" t="str">
        <f>VLOOKUP(A24,Classes!A:C,2,0)</f>
        <v>Rogue</v>
      </c>
    </row>
    <row r="25" ht="15.75" customHeight="1">
      <c r="A25" s="1">
        <v>2.0</v>
      </c>
      <c r="B25" s="1">
        <v>19.0</v>
      </c>
      <c r="C25" s="1">
        <v>266000.0</v>
      </c>
      <c r="D25" s="1">
        <v>786.0</v>
      </c>
      <c r="E25" s="1">
        <v>786.0</v>
      </c>
      <c r="AB25" s="1" t="str">
        <f>VLOOKUP(A25,Classes!A:C,2,0)</f>
        <v>Rogue</v>
      </c>
    </row>
    <row r="26" ht="15.75" customHeight="1">
      <c r="A26" s="1">
        <v>2.0</v>
      </c>
      <c r="B26" s="1">
        <v>20.0</v>
      </c>
      <c r="C26" s="1">
        <v>308000.0</v>
      </c>
      <c r="D26" s="1">
        <v>866.0</v>
      </c>
      <c r="E26" s="1">
        <v>866.0</v>
      </c>
      <c r="AB26" s="1" t="str">
        <f>VLOOKUP(A26,Classes!A:C,2,0)</f>
        <v>Rogue</v>
      </c>
    </row>
    <row r="27" ht="15.75" customHeight="1">
      <c r="A27" s="1">
        <v>2.0</v>
      </c>
      <c r="B27" s="1">
        <v>21.0</v>
      </c>
      <c r="C27" s="1">
        <v>354200.0</v>
      </c>
      <c r="D27" s="1">
        <v>950.0</v>
      </c>
      <c r="E27" s="1">
        <v>950.0</v>
      </c>
      <c r="AB27" s="1" t="str">
        <f>VLOOKUP(A27,Classes!A:C,2,0)</f>
        <v>Rogue</v>
      </c>
    </row>
    <row r="28" ht="15.75" customHeight="1">
      <c r="A28" s="1">
        <v>2.0</v>
      </c>
      <c r="B28" s="1">
        <v>22.0</v>
      </c>
      <c r="C28" s="1">
        <v>404800.0</v>
      </c>
      <c r="D28" s="1">
        <v>1038.0</v>
      </c>
      <c r="E28" s="1">
        <v>1038.0</v>
      </c>
      <c r="AB28" s="1" t="str">
        <f>VLOOKUP(A28,Classes!A:C,2,0)</f>
        <v>Rogue</v>
      </c>
    </row>
    <row r="29" ht="15.75" customHeight="1">
      <c r="A29" s="1">
        <v>2.0</v>
      </c>
      <c r="B29" s="1">
        <v>23.0</v>
      </c>
      <c r="C29" s="1">
        <v>460000.0</v>
      </c>
      <c r="D29" s="1">
        <v>1130.0</v>
      </c>
      <c r="E29" s="1">
        <v>1130.0</v>
      </c>
      <c r="AB29" s="1" t="str">
        <f>VLOOKUP(A29,Classes!A:C,2,0)</f>
        <v>Rogue</v>
      </c>
    </row>
    <row r="30" ht="15.75" customHeight="1">
      <c r="A30" s="1">
        <v>2.0</v>
      </c>
      <c r="B30" s="1">
        <v>24.0</v>
      </c>
      <c r="C30" s="1">
        <v>520000.0</v>
      </c>
      <c r="D30" s="1">
        <v>1226.0</v>
      </c>
      <c r="E30" s="1">
        <v>1226.0</v>
      </c>
      <c r="AB30" s="1" t="str">
        <f>VLOOKUP(A30,Classes!A:C,2,0)</f>
        <v>Rogue</v>
      </c>
    </row>
    <row r="31" ht="15.75" customHeight="1">
      <c r="A31" s="1">
        <v>2.0</v>
      </c>
      <c r="B31" s="1">
        <v>25.0</v>
      </c>
      <c r="C31" s="1">
        <v>585000.0</v>
      </c>
      <c r="D31" s="1">
        <v>1326.0</v>
      </c>
      <c r="E31" s="1">
        <v>1326.0</v>
      </c>
      <c r="AB31" s="1" t="str">
        <f>VLOOKUP(A31,Classes!A:C,2,0)</f>
        <v>Rogue</v>
      </c>
    </row>
    <row r="32" ht="15.75" customHeight="1">
      <c r="A32" s="1">
        <v>2.0</v>
      </c>
      <c r="B32" s="1">
        <v>26.0</v>
      </c>
      <c r="C32" s="1">
        <v>655200.0</v>
      </c>
      <c r="D32" s="1">
        <v>1430.0</v>
      </c>
      <c r="E32" s="1">
        <v>1430.0</v>
      </c>
      <c r="AB32" s="1" t="str">
        <f>VLOOKUP(A32,Classes!A:C,2,0)</f>
        <v>Rogue</v>
      </c>
    </row>
    <row r="33" ht="15.75" customHeight="1">
      <c r="A33" s="1">
        <v>2.0</v>
      </c>
      <c r="B33" s="1">
        <v>27.0</v>
      </c>
      <c r="C33" s="1">
        <v>730800.0</v>
      </c>
      <c r="D33" s="1">
        <v>1538.0</v>
      </c>
      <c r="E33" s="1">
        <v>1538.0</v>
      </c>
      <c r="AB33" s="1" t="str">
        <f>VLOOKUP(A33,Classes!A:C,2,0)</f>
        <v>Rogue</v>
      </c>
    </row>
    <row r="34" ht="15.75" customHeight="1">
      <c r="A34" s="1">
        <v>2.0</v>
      </c>
      <c r="B34" s="1">
        <v>28.0</v>
      </c>
      <c r="C34" s="1">
        <v>812000.0</v>
      </c>
      <c r="D34" s="1">
        <v>1650.0</v>
      </c>
      <c r="E34" s="1">
        <v>1650.0</v>
      </c>
      <c r="AB34" s="1" t="str">
        <f>VLOOKUP(A34,Classes!A:C,2,0)</f>
        <v>Rogue</v>
      </c>
    </row>
    <row r="35" ht="15.75" customHeight="1">
      <c r="A35" s="1">
        <v>2.0</v>
      </c>
      <c r="B35" s="1">
        <v>29.0</v>
      </c>
      <c r="C35" s="1">
        <v>899000.0</v>
      </c>
      <c r="D35" s="1">
        <v>1766.0</v>
      </c>
      <c r="E35" s="1">
        <v>1766.0</v>
      </c>
      <c r="AB35" s="1" t="str">
        <f>VLOOKUP(A35,Classes!A:C,2,0)</f>
        <v>Rogue</v>
      </c>
    </row>
    <row r="36" ht="15.75" customHeight="1">
      <c r="A36" s="1">
        <v>2.0</v>
      </c>
      <c r="B36" s="1">
        <v>30.0</v>
      </c>
      <c r="C36" s="1">
        <v>992000.0</v>
      </c>
      <c r="D36" s="1">
        <v>1886.0</v>
      </c>
      <c r="E36" s="1">
        <v>1886.0</v>
      </c>
      <c r="AB36" s="1" t="str">
        <f>VLOOKUP(A36,Classes!A:C,2,0)</f>
        <v>Rogue</v>
      </c>
    </row>
    <row r="37" ht="15.75" customHeight="1">
      <c r="A37" s="1">
        <v>2.0</v>
      </c>
      <c r="B37" s="1">
        <v>31.0</v>
      </c>
      <c r="C37" s="1">
        <v>1091200.0</v>
      </c>
      <c r="D37" s="1">
        <v>2010.0</v>
      </c>
      <c r="E37" s="1">
        <v>2010.0</v>
      </c>
      <c r="AB37" s="1" t="str">
        <f>VLOOKUP(A37,Classes!A:C,2,0)</f>
        <v>Rogue</v>
      </c>
    </row>
    <row r="38" ht="15.75" customHeight="1">
      <c r="A38" s="1">
        <v>2.0</v>
      </c>
      <c r="B38" s="1">
        <v>32.0</v>
      </c>
      <c r="C38" s="1">
        <v>1196800.0</v>
      </c>
      <c r="D38" s="1">
        <v>2138.0</v>
      </c>
      <c r="E38" s="1">
        <v>2138.0</v>
      </c>
      <c r="AB38" s="1" t="str">
        <f>VLOOKUP(A38,Classes!A:C,2,0)</f>
        <v>Rogue</v>
      </c>
    </row>
    <row r="39" ht="15.75" customHeight="1">
      <c r="A39" s="1">
        <v>2.0</v>
      </c>
      <c r="B39" s="1">
        <v>33.0</v>
      </c>
      <c r="C39" s="1">
        <v>1309000.0</v>
      </c>
      <c r="D39" s="1">
        <v>2270.0</v>
      </c>
      <c r="E39" s="1">
        <v>2270.0</v>
      </c>
      <c r="AB39" s="1" t="str">
        <f>VLOOKUP(A39,Classes!A:C,2,0)</f>
        <v>Rogue</v>
      </c>
    </row>
    <row r="40" ht="15.75" customHeight="1">
      <c r="A40" s="1">
        <v>2.0</v>
      </c>
      <c r="B40" s="1">
        <v>34.0</v>
      </c>
      <c r="C40" s="1">
        <v>1428000.0</v>
      </c>
      <c r="D40" s="1">
        <v>2406.0</v>
      </c>
      <c r="E40" s="1">
        <v>2406.0</v>
      </c>
      <c r="AB40" s="1" t="str">
        <f>VLOOKUP(A40,Classes!A:C,2,0)</f>
        <v>Rogue</v>
      </c>
    </row>
    <row r="41" ht="15.75" customHeight="1">
      <c r="A41" s="1">
        <v>2.0</v>
      </c>
      <c r="B41" s="1">
        <v>35.0</v>
      </c>
      <c r="C41" s="1">
        <v>1554000.0</v>
      </c>
      <c r="D41" s="1">
        <v>2546.0</v>
      </c>
      <c r="E41" s="1">
        <v>2546.0</v>
      </c>
      <c r="AB41" s="1" t="str">
        <f>VLOOKUP(A41,Classes!A:C,2,0)</f>
        <v>Rogue</v>
      </c>
    </row>
    <row r="42" ht="15.75" customHeight="1">
      <c r="A42" s="1">
        <v>2.0</v>
      </c>
      <c r="B42" s="1">
        <v>36.0</v>
      </c>
      <c r="C42" s="1">
        <v>1687200.0</v>
      </c>
      <c r="D42" s="1">
        <v>2690.0</v>
      </c>
      <c r="E42" s="1">
        <v>2690.0</v>
      </c>
      <c r="AB42" s="1" t="str">
        <f>VLOOKUP(A42,Classes!A:C,2,0)</f>
        <v>Rogue</v>
      </c>
    </row>
    <row r="43" ht="15.75" customHeight="1">
      <c r="A43" s="1">
        <v>2.0</v>
      </c>
      <c r="B43" s="1">
        <v>37.0</v>
      </c>
      <c r="C43" s="1">
        <v>1827800.0</v>
      </c>
      <c r="D43" s="1">
        <v>2838.0</v>
      </c>
      <c r="E43" s="1">
        <v>2838.0</v>
      </c>
      <c r="AB43" s="1" t="str">
        <f>VLOOKUP(A43,Classes!A:C,2,0)</f>
        <v>Rogue</v>
      </c>
    </row>
    <row r="44" ht="15.75" customHeight="1">
      <c r="A44" s="1">
        <v>2.0</v>
      </c>
      <c r="B44" s="1">
        <v>38.0</v>
      </c>
      <c r="C44" s="1">
        <v>1976000.0</v>
      </c>
      <c r="D44" s="1">
        <v>2990.0</v>
      </c>
      <c r="E44" s="1">
        <v>2990.0</v>
      </c>
      <c r="AB44" s="1" t="str">
        <f>VLOOKUP(A44,Classes!A:C,2,0)</f>
        <v>Rogue</v>
      </c>
    </row>
    <row r="45" ht="15.75" customHeight="1">
      <c r="A45" s="1">
        <v>2.0</v>
      </c>
      <c r="B45" s="1">
        <v>39.0</v>
      </c>
      <c r="C45" s="1">
        <v>2132000.0</v>
      </c>
      <c r="D45" s="1">
        <v>3146.0</v>
      </c>
      <c r="E45" s="1">
        <v>3146.0</v>
      </c>
      <c r="AB45" s="1" t="str">
        <f>VLOOKUP(A45,Classes!A:C,2,0)</f>
        <v>Rogue</v>
      </c>
    </row>
    <row r="46" ht="15.75" customHeight="1">
      <c r="A46" s="1">
        <v>2.0</v>
      </c>
      <c r="B46" s="1">
        <v>40.0</v>
      </c>
      <c r="C46" s="1">
        <v>2296000.0</v>
      </c>
      <c r="D46" s="1">
        <v>3306.0</v>
      </c>
      <c r="E46" s="1">
        <v>3306.0</v>
      </c>
      <c r="AB46" s="1" t="str">
        <f>VLOOKUP(A46,Classes!A:C,2,0)</f>
        <v>Rogue</v>
      </c>
    </row>
    <row r="47" ht="15.75" customHeight="1">
      <c r="A47" s="1">
        <v>2.0</v>
      </c>
      <c r="B47" s="1">
        <v>41.0</v>
      </c>
      <c r="C47" s="1">
        <v>2468200.0</v>
      </c>
      <c r="D47" s="1">
        <v>3470.0</v>
      </c>
      <c r="E47" s="1">
        <v>3470.0</v>
      </c>
      <c r="AB47" s="1" t="str">
        <f>VLOOKUP(A47,Classes!A:C,2,0)</f>
        <v>Rogue</v>
      </c>
    </row>
    <row r="48" ht="15.75" customHeight="1">
      <c r="A48" s="1">
        <v>2.0</v>
      </c>
      <c r="B48" s="1">
        <v>42.0</v>
      </c>
      <c r="C48" s="1">
        <v>2648800.0</v>
      </c>
      <c r="D48" s="1">
        <v>3638.0</v>
      </c>
      <c r="E48" s="1">
        <v>3638.0</v>
      </c>
      <c r="AB48" s="1" t="str">
        <f>VLOOKUP(A48,Classes!A:C,2,0)</f>
        <v>Rogue</v>
      </c>
    </row>
    <row r="49" ht="15.75" customHeight="1">
      <c r="A49" s="1">
        <v>2.0</v>
      </c>
      <c r="B49" s="1">
        <v>43.0</v>
      </c>
      <c r="C49" s="1">
        <v>2838000.0</v>
      </c>
      <c r="D49" s="1">
        <v>3810.0</v>
      </c>
      <c r="E49" s="1">
        <v>3810.0</v>
      </c>
      <c r="AB49" s="1" t="str">
        <f>VLOOKUP(A49,Classes!A:C,2,0)</f>
        <v>Rogue</v>
      </c>
    </row>
    <row r="50" ht="15.75" customHeight="1">
      <c r="A50" s="1">
        <v>2.0</v>
      </c>
      <c r="B50" s="1">
        <v>44.0</v>
      </c>
      <c r="C50" s="1">
        <v>3036000.0</v>
      </c>
      <c r="D50" s="1">
        <v>3986.0</v>
      </c>
      <c r="E50" s="1">
        <v>3986.0</v>
      </c>
      <c r="AB50" s="1" t="str">
        <f>VLOOKUP(A50,Classes!A:C,2,0)</f>
        <v>Rogue</v>
      </c>
    </row>
    <row r="51" ht="15.75" customHeight="1">
      <c r="A51" s="1">
        <v>2.0</v>
      </c>
      <c r="B51" s="1">
        <v>45.0</v>
      </c>
      <c r="C51" s="1">
        <v>3243000.0</v>
      </c>
      <c r="D51" s="1">
        <v>4166.0</v>
      </c>
      <c r="E51" s="1">
        <v>4166.0</v>
      </c>
      <c r="AB51" s="1" t="str">
        <f>VLOOKUP(A51,Classes!A:C,2,0)</f>
        <v>Rogue</v>
      </c>
    </row>
    <row r="52" ht="15.75" customHeight="1">
      <c r="A52" s="1">
        <v>2.0</v>
      </c>
      <c r="B52" s="1">
        <v>46.0</v>
      </c>
      <c r="C52" s="1">
        <v>3459200.0</v>
      </c>
      <c r="D52" s="1">
        <v>4350.0</v>
      </c>
      <c r="E52" s="1">
        <v>4350.0</v>
      </c>
      <c r="AB52" s="1" t="str">
        <f>VLOOKUP(A52,Classes!A:C,2,0)</f>
        <v>Rogue</v>
      </c>
    </row>
    <row r="53" ht="15.75" customHeight="1">
      <c r="A53" s="1">
        <v>2.0</v>
      </c>
      <c r="B53" s="1">
        <v>47.0</v>
      </c>
      <c r="C53" s="1">
        <v>3684800.0</v>
      </c>
      <c r="D53" s="1">
        <v>4538.0</v>
      </c>
      <c r="E53" s="1">
        <v>4538.0</v>
      </c>
      <c r="AB53" s="1" t="str">
        <f>VLOOKUP(A53,Classes!A:C,2,0)</f>
        <v>Rogue</v>
      </c>
    </row>
    <row r="54" ht="15.75" customHeight="1">
      <c r="A54" s="1">
        <v>2.0</v>
      </c>
      <c r="B54" s="1">
        <v>48.0</v>
      </c>
      <c r="C54" s="1">
        <v>3920000.0</v>
      </c>
      <c r="D54" s="1">
        <v>4730.0</v>
      </c>
      <c r="E54" s="1">
        <v>4730.0</v>
      </c>
      <c r="AB54" s="1" t="str">
        <f>VLOOKUP(A54,Classes!A:C,2,0)</f>
        <v>Rogue</v>
      </c>
    </row>
    <row r="55" ht="15.75" customHeight="1">
      <c r="A55" s="1">
        <v>2.0</v>
      </c>
      <c r="B55" s="1">
        <v>49.0</v>
      </c>
      <c r="C55" s="1">
        <v>4165000.0</v>
      </c>
      <c r="D55" s="1">
        <v>4926.0</v>
      </c>
      <c r="E55" s="1">
        <v>4926.0</v>
      </c>
      <c r="AB55" s="1" t="str">
        <f>VLOOKUP(A55,Classes!A:C,2,0)</f>
        <v>Rogue</v>
      </c>
    </row>
    <row r="56" ht="15.75" customHeight="1">
      <c r="A56" s="1">
        <v>2.0</v>
      </c>
      <c r="B56" s="1">
        <v>50.0</v>
      </c>
      <c r="C56" s="1">
        <v>0.0</v>
      </c>
      <c r="D56" s="1">
        <v>5200.0</v>
      </c>
      <c r="E56" s="1">
        <v>5200.0</v>
      </c>
      <c r="AB56" s="1" t="str">
        <f>VLOOKUP(A56,Classes!A:C,2,0)</f>
        <v>Rogue</v>
      </c>
    </row>
    <row r="57" ht="15.75" customHeight="1">
      <c r="A57" s="1">
        <v>3.0</v>
      </c>
      <c r="B57" s="1">
        <v>1.0</v>
      </c>
      <c r="C57" s="1">
        <v>200.0</v>
      </c>
      <c r="D57" s="1">
        <v>30.0</v>
      </c>
      <c r="E57" s="1">
        <v>30.0</v>
      </c>
      <c r="G57" s="1">
        <v>10.0</v>
      </c>
      <c r="AB57" s="1" t="str">
        <f>VLOOKUP(A57,Classes!A:C,2,0)</f>
        <v>Warrior</v>
      </c>
    </row>
    <row r="58" ht="15.75" customHeight="1">
      <c r="A58" s="1">
        <v>3.0</v>
      </c>
      <c r="B58" s="1">
        <v>2.0</v>
      </c>
      <c r="C58" s="1">
        <v>800.0</v>
      </c>
      <c r="D58" s="1">
        <v>42.0</v>
      </c>
      <c r="E58" s="1">
        <v>36.0</v>
      </c>
      <c r="G58" s="1">
        <v>20.0</v>
      </c>
      <c r="AB58" s="1" t="str">
        <f>VLOOKUP(A58,Classes!A:C,2,0)</f>
        <v>Warrior</v>
      </c>
    </row>
    <row r="59" ht="15.75" customHeight="1">
      <c r="A59" s="1">
        <v>3.0</v>
      </c>
      <c r="B59" s="1">
        <v>3.0</v>
      </c>
      <c r="C59" s="1">
        <v>2000.0</v>
      </c>
      <c r="D59" s="1">
        <v>60.0</v>
      </c>
      <c r="E59" s="1">
        <v>45.0</v>
      </c>
      <c r="G59" s="1">
        <v>30.0</v>
      </c>
      <c r="AB59" s="1" t="str">
        <f>VLOOKUP(A59,Classes!A:C,2,0)</f>
        <v>Warrior</v>
      </c>
    </row>
    <row r="60" ht="15.75" customHeight="1">
      <c r="A60" s="1">
        <v>3.0</v>
      </c>
      <c r="B60" s="1">
        <v>4.0</v>
      </c>
      <c r="C60" s="1">
        <v>4000.0</v>
      </c>
      <c r="D60" s="1">
        <v>84.0</v>
      </c>
      <c r="E60" s="1">
        <v>57.0</v>
      </c>
      <c r="G60" s="1">
        <v>40.0</v>
      </c>
      <c r="AB60" s="1" t="str">
        <f>VLOOKUP(A60,Classes!A:C,2,0)</f>
        <v>Warrior</v>
      </c>
    </row>
    <row r="61" ht="15.75" customHeight="1">
      <c r="A61" s="1">
        <v>3.0</v>
      </c>
      <c r="B61" s="1">
        <v>5.0</v>
      </c>
      <c r="C61" s="1">
        <v>7000.0</v>
      </c>
      <c r="D61" s="1">
        <v>114.0</v>
      </c>
      <c r="E61" s="1">
        <v>72.0</v>
      </c>
      <c r="G61" s="1">
        <v>50.0</v>
      </c>
      <c r="AB61" s="1" t="str">
        <f>VLOOKUP(A61,Classes!A:C,2,0)</f>
        <v>Warrior</v>
      </c>
    </row>
    <row r="62" ht="15.75" customHeight="1">
      <c r="A62" s="1">
        <v>3.0</v>
      </c>
      <c r="B62" s="1">
        <v>6.0</v>
      </c>
      <c r="C62" s="1">
        <v>11200.0</v>
      </c>
      <c r="D62" s="1">
        <v>150.0</v>
      </c>
      <c r="E62" s="1">
        <v>90.0</v>
      </c>
      <c r="G62" s="1">
        <v>60.0</v>
      </c>
      <c r="AB62" s="1" t="str">
        <f>VLOOKUP(A62,Classes!A:C,2,0)</f>
        <v>Warrior</v>
      </c>
    </row>
    <row r="63" ht="15.75" customHeight="1">
      <c r="A63" s="1">
        <v>3.0</v>
      </c>
      <c r="B63" s="1">
        <v>7.0</v>
      </c>
      <c r="C63" s="1">
        <v>16800.0</v>
      </c>
      <c r="D63" s="1">
        <v>192.0</v>
      </c>
      <c r="E63" s="1">
        <v>111.0</v>
      </c>
      <c r="G63" s="1">
        <v>70.0</v>
      </c>
      <c r="AB63" s="1" t="str">
        <f>VLOOKUP(A63,Classes!A:C,2,0)</f>
        <v>Warrior</v>
      </c>
    </row>
    <row r="64" ht="15.75" customHeight="1">
      <c r="A64" s="1">
        <v>3.0</v>
      </c>
      <c r="B64" s="1">
        <v>8.0</v>
      </c>
      <c r="C64" s="1">
        <v>24000.0</v>
      </c>
      <c r="D64" s="1">
        <v>240.0</v>
      </c>
      <c r="E64" s="1">
        <v>135.0</v>
      </c>
      <c r="G64" s="1">
        <v>80.0</v>
      </c>
      <c r="AB64" s="1" t="str">
        <f>VLOOKUP(A64,Classes!A:C,2,0)</f>
        <v>Warrior</v>
      </c>
    </row>
    <row r="65" ht="15.75" customHeight="1">
      <c r="A65" s="1">
        <v>3.0</v>
      </c>
      <c r="B65" s="1">
        <v>9.0</v>
      </c>
      <c r="C65" s="1">
        <v>33000.0</v>
      </c>
      <c r="D65" s="1">
        <v>294.0</v>
      </c>
      <c r="E65" s="1">
        <v>162.0</v>
      </c>
      <c r="G65" s="1">
        <v>90.0</v>
      </c>
      <c r="AB65" s="1" t="str">
        <f>VLOOKUP(A65,Classes!A:C,2,0)</f>
        <v>Warrior</v>
      </c>
    </row>
    <row r="66" ht="15.75" customHeight="1">
      <c r="A66" s="1">
        <v>3.0</v>
      </c>
      <c r="B66" s="1">
        <v>10.0</v>
      </c>
      <c r="C66" s="1">
        <v>44000.0</v>
      </c>
      <c r="D66" s="1">
        <v>354.0</v>
      </c>
      <c r="E66" s="1">
        <v>192.0</v>
      </c>
      <c r="G66" s="1">
        <v>100.0</v>
      </c>
      <c r="AB66" s="1" t="str">
        <f>VLOOKUP(A66,Classes!A:C,2,0)</f>
        <v>Warrior</v>
      </c>
    </row>
    <row r="67" ht="15.75" customHeight="1">
      <c r="A67" s="1">
        <v>3.0</v>
      </c>
      <c r="B67" s="1">
        <v>11.0</v>
      </c>
      <c r="C67" s="1">
        <v>57200.0</v>
      </c>
      <c r="D67" s="1">
        <v>420.0</v>
      </c>
      <c r="E67" s="1">
        <v>225.0</v>
      </c>
      <c r="G67" s="1">
        <v>110.0</v>
      </c>
      <c r="AB67" s="1" t="str">
        <f>VLOOKUP(A67,Classes!A:C,2,0)</f>
        <v>Warrior</v>
      </c>
    </row>
    <row r="68" ht="15.75" customHeight="1">
      <c r="A68" s="1">
        <v>3.0</v>
      </c>
      <c r="B68" s="1">
        <v>12.0</v>
      </c>
      <c r="C68" s="1">
        <v>72800.0</v>
      </c>
      <c r="D68" s="1">
        <v>492.0</v>
      </c>
      <c r="E68" s="1">
        <v>261.0</v>
      </c>
      <c r="G68" s="1">
        <v>120.0</v>
      </c>
      <c r="AB68" s="1" t="str">
        <f>VLOOKUP(A68,Classes!A:C,2,0)</f>
        <v>Warrior</v>
      </c>
    </row>
    <row r="69" ht="15.75" customHeight="1">
      <c r="A69" s="1">
        <v>3.0</v>
      </c>
      <c r="B69" s="1">
        <v>13.0</v>
      </c>
      <c r="C69" s="1">
        <v>91000.0</v>
      </c>
      <c r="D69" s="1">
        <v>570.0</v>
      </c>
      <c r="E69" s="1">
        <v>300.0</v>
      </c>
      <c r="G69" s="1">
        <v>130.0</v>
      </c>
      <c r="AB69" s="1" t="str">
        <f>VLOOKUP(A69,Classes!A:C,2,0)</f>
        <v>Warrior</v>
      </c>
    </row>
    <row r="70" ht="15.75" customHeight="1">
      <c r="A70" s="1">
        <v>3.0</v>
      </c>
      <c r="B70" s="1">
        <v>14.0</v>
      </c>
      <c r="C70" s="1">
        <v>112000.0</v>
      </c>
      <c r="D70" s="1">
        <v>654.0</v>
      </c>
      <c r="E70" s="1">
        <v>342.0</v>
      </c>
      <c r="G70" s="1">
        <v>140.0</v>
      </c>
      <c r="AB70" s="1" t="str">
        <f>VLOOKUP(A70,Classes!A:C,2,0)</f>
        <v>Warrior</v>
      </c>
    </row>
    <row r="71" ht="15.75" customHeight="1">
      <c r="A71" s="1">
        <v>3.0</v>
      </c>
      <c r="B71" s="1">
        <v>15.0</v>
      </c>
      <c r="C71" s="1">
        <v>136000.0</v>
      </c>
      <c r="D71" s="1">
        <v>744.0</v>
      </c>
      <c r="E71" s="1">
        <v>387.0</v>
      </c>
      <c r="G71" s="1">
        <v>150.0</v>
      </c>
      <c r="AB71" s="1" t="str">
        <f>VLOOKUP(A71,Classes!A:C,2,0)</f>
        <v>Warrior</v>
      </c>
    </row>
    <row r="72" ht="15.75" customHeight="1">
      <c r="A72" s="1">
        <v>3.0</v>
      </c>
      <c r="B72" s="1">
        <v>16.0</v>
      </c>
      <c r="C72" s="1">
        <v>163200.0</v>
      </c>
      <c r="D72" s="1">
        <v>840.0</v>
      </c>
      <c r="E72" s="1">
        <v>435.0</v>
      </c>
      <c r="G72" s="1">
        <v>160.0</v>
      </c>
      <c r="AB72" s="1" t="str">
        <f>VLOOKUP(A72,Classes!A:C,2,0)</f>
        <v>Warrior</v>
      </c>
    </row>
    <row r="73" ht="15.75" customHeight="1">
      <c r="A73" s="1">
        <v>3.0</v>
      </c>
      <c r="B73" s="1">
        <v>17.0</v>
      </c>
      <c r="C73" s="1">
        <v>193800.0</v>
      </c>
      <c r="D73" s="1">
        <v>942.0</v>
      </c>
      <c r="E73" s="1">
        <v>486.0</v>
      </c>
      <c r="G73" s="1">
        <v>170.0</v>
      </c>
      <c r="AB73" s="1" t="str">
        <f>VLOOKUP(A73,Classes!A:C,2,0)</f>
        <v>Warrior</v>
      </c>
    </row>
    <row r="74" ht="15.75" customHeight="1">
      <c r="A74" s="1">
        <v>3.0</v>
      </c>
      <c r="B74" s="1">
        <v>18.0</v>
      </c>
      <c r="C74" s="1">
        <v>228000.0</v>
      </c>
      <c r="D74" s="1">
        <v>1050.0</v>
      </c>
      <c r="E74" s="1">
        <v>540.0</v>
      </c>
      <c r="G74" s="1">
        <v>180.0</v>
      </c>
      <c r="AB74" s="1" t="str">
        <f>VLOOKUP(A74,Classes!A:C,2,0)</f>
        <v>Warrior</v>
      </c>
    </row>
    <row r="75" ht="15.75" customHeight="1">
      <c r="A75" s="1">
        <v>3.0</v>
      </c>
      <c r="B75" s="1">
        <v>19.0</v>
      </c>
      <c r="C75" s="1">
        <v>266000.0</v>
      </c>
      <c r="D75" s="1">
        <v>1164.0</v>
      </c>
      <c r="E75" s="1">
        <v>597.0</v>
      </c>
      <c r="G75" s="1">
        <v>190.0</v>
      </c>
      <c r="AB75" s="1" t="str">
        <f>VLOOKUP(A75,Classes!A:C,2,0)</f>
        <v>Warrior</v>
      </c>
    </row>
    <row r="76" ht="15.75" customHeight="1">
      <c r="A76" s="1">
        <v>3.0</v>
      </c>
      <c r="B76" s="1">
        <v>20.0</v>
      </c>
      <c r="C76" s="1">
        <v>308000.0</v>
      </c>
      <c r="D76" s="1">
        <v>1284.0</v>
      </c>
      <c r="E76" s="1">
        <v>657.0</v>
      </c>
      <c r="G76" s="1">
        <v>200.0</v>
      </c>
      <c r="AB76" s="1" t="str">
        <f>VLOOKUP(A76,Classes!A:C,2,0)</f>
        <v>Warrior</v>
      </c>
    </row>
    <row r="77" ht="15.75" customHeight="1">
      <c r="A77" s="1">
        <v>3.0</v>
      </c>
      <c r="B77" s="1">
        <v>21.0</v>
      </c>
      <c r="C77" s="1">
        <v>354200.0</v>
      </c>
      <c r="D77" s="1">
        <v>1410.0</v>
      </c>
      <c r="E77" s="1">
        <v>720.0</v>
      </c>
      <c r="G77" s="1">
        <v>210.0</v>
      </c>
      <c r="AB77" s="1" t="str">
        <f>VLOOKUP(A77,Classes!A:C,2,0)</f>
        <v>Warrior</v>
      </c>
    </row>
    <row r="78" ht="15.75" customHeight="1">
      <c r="A78" s="1">
        <v>3.0</v>
      </c>
      <c r="B78" s="1">
        <v>22.0</v>
      </c>
      <c r="C78" s="1">
        <v>404800.0</v>
      </c>
      <c r="D78" s="1">
        <v>1542.0</v>
      </c>
      <c r="E78" s="1">
        <v>786.0</v>
      </c>
      <c r="G78" s="1">
        <v>220.0</v>
      </c>
      <c r="AB78" s="1" t="str">
        <f>VLOOKUP(A78,Classes!A:C,2,0)</f>
        <v>Warrior</v>
      </c>
    </row>
    <row r="79" ht="15.75" customHeight="1">
      <c r="A79" s="1">
        <v>3.0</v>
      </c>
      <c r="B79" s="1">
        <v>23.0</v>
      </c>
      <c r="C79" s="1">
        <v>460000.0</v>
      </c>
      <c r="D79" s="1">
        <v>1680.0</v>
      </c>
      <c r="E79" s="1">
        <v>855.0</v>
      </c>
      <c r="G79" s="1">
        <v>230.0</v>
      </c>
      <c r="AB79" s="1" t="str">
        <f>VLOOKUP(A79,Classes!A:C,2,0)</f>
        <v>Warrior</v>
      </c>
    </row>
    <row r="80" ht="15.75" customHeight="1">
      <c r="A80" s="1">
        <v>3.0</v>
      </c>
      <c r="B80" s="1">
        <v>24.0</v>
      </c>
      <c r="C80" s="1">
        <v>520000.0</v>
      </c>
      <c r="D80" s="1">
        <v>1824.0</v>
      </c>
      <c r="E80" s="1">
        <v>927.0</v>
      </c>
      <c r="G80" s="1">
        <v>240.0</v>
      </c>
      <c r="AB80" s="1" t="str">
        <f>VLOOKUP(A80,Classes!A:C,2,0)</f>
        <v>Warrior</v>
      </c>
    </row>
    <row r="81" ht="15.75" customHeight="1">
      <c r="A81" s="1">
        <v>3.0</v>
      </c>
      <c r="B81" s="1">
        <v>25.0</v>
      </c>
      <c r="C81" s="1">
        <v>585000.0</v>
      </c>
      <c r="D81" s="1">
        <v>1974.0</v>
      </c>
      <c r="E81" s="1">
        <v>1002.0</v>
      </c>
      <c r="G81" s="1">
        <v>250.0</v>
      </c>
      <c r="AB81" s="1" t="str">
        <f>VLOOKUP(A81,Classes!A:C,2,0)</f>
        <v>Warrior</v>
      </c>
    </row>
    <row r="82" ht="15.75" customHeight="1">
      <c r="A82" s="1">
        <v>3.0</v>
      </c>
      <c r="B82" s="1">
        <v>26.0</v>
      </c>
      <c r="C82" s="1">
        <v>655200.0</v>
      </c>
      <c r="D82" s="1">
        <v>2130.0</v>
      </c>
      <c r="E82" s="1">
        <v>1080.0</v>
      </c>
      <c r="G82" s="1">
        <v>260.0</v>
      </c>
      <c r="AB82" s="1" t="str">
        <f>VLOOKUP(A82,Classes!A:C,2,0)</f>
        <v>Warrior</v>
      </c>
    </row>
    <row r="83" ht="15.75" customHeight="1">
      <c r="A83" s="1">
        <v>3.0</v>
      </c>
      <c r="B83" s="1">
        <v>27.0</v>
      </c>
      <c r="C83" s="1">
        <v>730800.0</v>
      </c>
      <c r="D83" s="1">
        <v>2292.0</v>
      </c>
      <c r="E83" s="1">
        <v>1161.0</v>
      </c>
      <c r="G83" s="1">
        <v>270.0</v>
      </c>
      <c r="AB83" s="1" t="str">
        <f>VLOOKUP(A83,Classes!A:C,2,0)</f>
        <v>Warrior</v>
      </c>
    </row>
    <row r="84" ht="15.75" customHeight="1">
      <c r="A84" s="1">
        <v>3.0</v>
      </c>
      <c r="B84" s="1">
        <v>28.0</v>
      </c>
      <c r="C84" s="1">
        <v>812000.0</v>
      </c>
      <c r="D84" s="1">
        <v>2460.0</v>
      </c>
      <c r="E84" s="1">
        <v>1245.0</v>
      </c>
      <c r="G84" s="1">
        <v>280.0</v>
      </c>
      <c r="AB84" s="1" t="str">
        <f>VLOOKUP(A84,Classes!A:C,2,0)</f>
        <v>Warrior</v>
      </c>
    </row>
    <row r="85" ht="15.75" customHeight="1">
      <c r="A85" s="1">
        <v>3.0</v>
      </c>
      <c r="B85" s="1">
        <v>29.0</v>
      </c>
      <c r="C85" s="1">
        <v>899000.0</v>
      </c>
      <c r="D85" s="1">
        <v>2634.0</v>
      </c>
      <c r="E85" s="1">
        <v>1332.0</v>
      </c>
      <c r="G85" s="1">
        <v>290.0</v>
      </c>
      <c r="AB85" s="1" t="str">
        <f>VLOOKUP(A85,Classes!A:C,2,0)</f>
        <v>Warrior</v>
      </c>
    </row>
    <row r="86" ht="15.75" customHeight="1">
      <c r="A86" s="1">
        <v>3.0</v>
      </c>
      <c r="B86" s="1">
        <v>30.0</v>
      </c>
      <c r="C86" s="1">
        <v>992000.0</v>
      </c>
      <c r="D86" s="1">
        <v>2814.0</v>
      </c>
      <c r="E86" s="1">
        <v>1422.0</v>
      </c>
      <c r="G86" s="1">
        <v>300.0</v>
      </c>
      <c r="AB86" s="1" t="str">
        <f>VLOOKUP(A86,Classes!A:C,2,0)</f>
        <v>Warrior</v>
      </c>
    </row>
    <row r="87" ht="15.75" customHeight="1">
      <c r="A87" s="1">
        <v>3.0</v>
      </c>
      <c r="B87" s="1">
        <v>31.0</v>
      </c>
      <c r="C87" s="1">
        <v>1091200.0</v>
      </c>
      <c r="D87" s="1">
        <v>3000.0</v>
      </c>
      <c r="E87" s="1">
        <v>1515.0</v>
      </c>
      <c r="G87" s="1">
        <v>310.0</v>
      </c>
      <c r="AB87" s="1" t="str">
        <f>VLOOKUP(A87,Classes!A:C,2,0)</f>
        <v>Warrior</v>
      </c>
    </row>
    <row r="88" ht="15.75" customHeight="1">
      <c r="A88" s="1">
        <v>3.0</v>
      </c>
      <c r="B88" s="1">
        <v>32.0</v>
      </c>
      <c r="C88" s="1">
        <v>1196800.0</v>
      </c>
      <c r="D88" s="1">
        <v>3192.0</v>
      </c>
      <c r="E88" s="1">
        <v>1611.0</v>
      </c>
      <c r="G88" s="1">
        <v>320.0</v>
      </c>
      <c r="AB88" s="1" t="str">
        <f>VLOOKUP(A88,Classes!A:C,2,0)</f>
        <v>Warrior</v>
      </c>
    </row>
    <row r="89" ht="15.75" customHeight="1">
      <c r="A89" s="1">
        <v>3.0</v>
      </c>
      <c r="B89" s="1">
        <v>33.0</v>
      </c>
      <c r="C89" s="1">
        <v>1309000.0</v>
      </c>
      <c r="D89" s="1">
        <v>3390.0</v>
      </c>
      <c r="E89" s="1">
        <v>1710.0</v>
      </c>
      <c r="G89" s="1">
        <v>330.0</v>
      </c>
      <c r="AB89" s="1" t="str">
        <f>VLOOKUP(A89,Classes!A:C,2,0)</f>
        <v>Warrior</v>
      </c>
    </row>
    <row r="90" ht="15.75" customHeight="1">
      <c r="A90" s="1">
        <v>3.0</v>
      </c>
      <c r="B90" s="1">
        <v>34.0</v>
      </c>
      <c r="C90" s="1">
        <v>1428000.0</v>
      </c>
      <c r="D90" s="1">
        <v>3594.0</v>
      </c>
      <c r="E90" s="1">
        <v>1812.0</v>
      </c>
      <c r="G90" s="1">
        <v>340.0</v>
      </c>
      <c r="AB90" s="1" t="str">
        <f>VLOOKUP(A90,Classes!A:C,2,0)</f>
        <v>Warrior</v>
      </c>
    </row>
    <row r="91" ht="15.75" customHeight="1">
      <c r="A91" s="1">
        <v>3.0</v>
      </c>
      <c r="B91" s="1">
        <v>35.0</v>
      </c>
      <c r="C91" s="1">
        <v>1554000.0</v>
      </c>
      <c r="D91" s="1">
        <v>3804.0</v>
      </c>
      <c r="E91" s="1">
        <v>1917.0</v>
      </c>
      <c r="G91" s="1">
        <v>350.0</v>
      </c>
      <c r="AB91" s="1" t="str">
        <f>VLOOKUP(A91,Classes!A:C,2,0)</f>
        <v>Warrior</v>
      </c>
    </row>
    <row r="92" ht="15.75" customHeight="1">
      <c r="A92" s="1">
        <v>3.0</v>
      </c>
      <c r="B92" s="1">
        <v>36.0</v>
      </c>
      <c r="C92" s="1">
        <v>1687200.0</v>
      </c>
      <c r="D92" s="1">
        <v>4020.0</v>
      </c>
      <c r="E92" s="1">
        <v>2025.0</v>
      </c>
      <c r="G92" s="1">
        <v>360.0</v>
      </c>
      <c r="AB92" s="1" t="str">
        <f>VLOOKUP(A92,Classes!A:C,2,0)</f>
        <v>Warrior</v>
      </c>
    </row>
    <row r="93" ht="15.75" customHeight="1">
      <c r="A93" s="1">
        <v>3.0</v>
      </c>
      <c r="B93" s="1">
        <v>37.0</v>
      </c>
      <c r="C93" s="1">
        <v>1827800.0</v>
      </c>
      <c r="D93" s="1">
        <v>4242.0</v>
      </c>
      <c r="E93" s="1">
        <v>2136.0</v>
      </c>
      <c r="G93" s="1">
        <v>370.0</v>
      </c>
      <c r="AB93" s="1" t="str">
        <f>VLOOKUP(A93,Classes!A:C,2,0)</f>
        <v>Warrior</v>
      </c>
    </row>
    <row r="94" ht="15.75" customHeight="1">
      <c r="A94" s="1">
        <v>3.0</v>
      </c>
      <c r="B94" s="1">
        <v>38.0</v>
      </c>
      <c r="C94" s="1">
        <v>1976000.0</v>
      </c>
      <c r="D94" s="1">
        <v>4470.0</v>
      </c>
      <c r="E94" s="1">
        <v>2250.0</v>
      </c>
      <c r="G94" s="1">
        <v>380.0</v>
      </c>
      <c r="AB94" s="1" t="str">
        <f>VLOOKUP(A94,Classes!A:C,2,0)</f>
        <v>Warrior</v>
      </c>
    </row>
    <row r="95" ht="15.75" customHeight="1">
      <c r="A95" s="1">
        <v>3.0</v>
      </c>
      <c r="B95" s="1">
        <v>39.0</v>
      </c>
      <c r="C95" s="1">
        <v>2132000.0</v>
      </c>
      <c r="D95" s="1">
        <v>4704.0</v>
      </c>
      <c r="E95" s="1">
        <v>2367.0</v>
      </c>
      <c r="G95" s="1">
        <v>390.0</v>
      </c>
      <c r="AB95" s="1" t="str">
        <f>VLOOKUP(A95,Classes!A:C,2,0)</f>
        <v>Warrior</v>
      </c>
    </row>
    <row r="96" ht="15.75" customHeight="1">
      <c r="A96" s="1">
        <v>3.0</v>
      </c>
      <c r="B96" s="1">
        <v>40.0</v>
      </c>
      <c r="C96" s="1">
        <v>2296000.0</v>
      </c>
      <c r="D96" s="1">
        <v>4944.0</v>
      </c>
      <c r="E96" s="1">
        <v>2487.0</v>
      </c>
      <c r="G96" s="1">
        <v>400.0</v>
      </c>
      <c r="AB96" s="1" t="str">
        <f>VLOOKUP(A96,Classes!A:C,2,0)</f>
        <v>Warrior</v>
      </c>
    </row>
    <row r="97" ht="15.75" customHeight="1">
      <c r="A97" s="1">
        <v>3.0</v>
      </c>
      <c r="B97" s="1">
        <v>41.0</v>
      </c>
      <c r="C97" s="1">
        <v>2468200.0</v>
      </c>
      <c r="D97" s="1">
        <v>5190.0</v>
      </c>
      <c r="E97" s="1">
        <v>2610.0</v>
      </c>
      <c r="G97" s="1">
        <v>410.0</v>
      </c>
      <c r="AB97" s="1" t="str">
        <f>VLOOKUP(A97,Classes!A:C,2,0)</f>
        <v>Warrior</v>
      </c>
    </row>
    <row r="98" ht="15.75" customHeight="1">
      <c r="A98" s="1">
        <v>3.0</v>
      </c>
      <c r="B98" s="1">
        <v>42.0</v>
      </c>
      <c r="C98" s="1">
        <v>2648800.0</v>
      </c>
      <c r="D98" s="1">
        <v>5442.0</v>
      </c>
      <c r="E98" s="1">
        <v>2736.0</v>
      </c>
      <c r="G98" s="1">
        <v>420.0</v>
      </c>
      <c r="AB98" s="1" t="str">
        <f>VLOOKUP(A98,Classes!A:C,2,0)</f>
        <v>Warrior</v>
      </c>
    </row>
    <row r="99" ht="15.75" customHeight="1">
      <c r="A99" s="1">
        <v>3.0</v>
      </c>
      <c r="B99" s="1">
        <v>43.0</v>
      </c>
      <c r="C99" s="1">
        <v>2838000.0</v>
      </c>
      <c r="D99" s="1">
        <v>5700.0</v>
      </c>
      <c r="E99" s="1">
        <v>2865.0</v>
      </c>
      <c r="G99" s="1">
        <v>430.0</v>
      </c>
      <c r="AB99" s="1" t="str">
        <f>VLOOKUP(A99,Classes!A:C,2,0)</f>
        <v>Warrior</v>
      </c>
    </row>
    <row r="100" ht="15.75" customHeight="1">
      <c r="A100" s="1">
        <v>3.0</v>
      </c>
      <c r="B100" s="1">
        <v>44.0</v>
      </c>
      <c r="C100" s="1">
        <v>3036000.0</v>
      </c>
      <c r="D100" s="1">
        <v>5964.0</v>
      </c>
      <c r="E100" s="1">
        <v>2997.0</v>
      </c>
      <c r="G100" s="1">
        <v>440.0</v>
      </c>
      <c r="AB100" s="1" t="str">
        <f>VLOOKUP(A100,Classes!A:C,2,0)</f>
        <v>Warrior</v>
      </c>
    </row>
    <row r="101" ht="15.75" customHeight="1">
      <c r="A101" s="1">
        <v>3.0</v>
      </c>
      <c r="B101" s="1">
        <v>45.0</v>
      </c>
      <c r="C101" s="1">
        <v>3243000.0</v>
      </c>
      <c r="D101" s="1">
        <v>6234.0</v>
      </c>
      <c r="E101" s="1">
        <v>3132.0</v>
      </c>
      <c r="G101" s="1">
        <v>450.0</v>
      </c>
      <c r="AB101" s="1" t="str">
        <f>VLOOKUP(A101,Classes!A:C,2,0)</f>
        <v>Warrior</v>
      </c>
    </row>
    <row r="102" ht="15.75" customHeight="1">
      <c r="A102" s="1">
        <v>3.0</v>
      </c>
      <c r="B102" s="1">
        <v>46.0</v>
      </c>
      <c r="C102" s="1">
        <v>3459200.0</v>
      </c>
      <c r="D102" s="1">
        <v>6510.0</v>
      </c>
      <c r="E102" s="1">
        <v>3270.0</v>
      </c>
      <c r="G102" s="1">
        <v>460.0</v>
      </c>
      <c r="AB102" s="1" t="str">
        <f>VLOOKUP(A102,Classes!A:C,2,0)</f>
        <v>Warrior</v>
      </c>
    </row>
    <row r="103" ht="15.75" customHeight="1">
      <c r="A103" s="1">
        <v>3.0</v>
      </c>
      <c r="B103" s="1">
        <v>47.0</v>
      </c>
      <c r="C103" s="1">
        <v>3684800.0</v>
      </c>
      <c r="D103" s="1">
        <v>6792.0</v>
      </c>
      <c r="E103" s="1">
        <v>3411.0</v>
      </c>
      <c r="G103" s="1">
        <v>470.0</v>
      </c>
      <c r="AB103" s="1" t="str">
        <f>VLOOKUP(A103,Classes!A:C,2,0)</f>
        <v>Warrior</v>
      </c>
    </row>
    <row r="104" ht="15.75" customHeight="1">
      <c r="A104" s="1">
        <v>3.0</v>
      </c>
      <c r="B104" s="1">
        <v>48.0</v>
      </c>
      <c r="C104" s="1">
        <v>3920000.0</v>
      </c>
      <c r="D104" s="1">
        <v>7080.0</v>
      </c>
      <c r="E104" s="1">
        <v>3555.0</v>
      </c>
      <c r="G104" s="1">
        <v>480.0</v>
      </c>
      <c r="AB104" s="1" t="str">
        <f>VLOOKUP(A104,Classes!A:C,2,0)</f>
        <v>Warrior</v>
      </c>
    </row>
    <row r="105" ht="15.75" customHeight="1">
      <c r="A105" s="1">
        <v>3.0</v>
      </c>
      <c r="B105" s="1">
        <v>49.0</v>
      </c>
      <c r="C105" s="1">
        <v>4165000.0</v>
      </c>
      <c r="D105" s="1">
        <v>7374.0</v>
      </c>
      <c r="E105" s="1">
        <v>3702.0</v>
      </c>
      <c r="G105" s="1">
        <v>490.0</v>
      </c>
      <c r="AB105" s="1" t="str">
        <f>VLOOKUP(A105,Classes!A:C,2,0)</f>
        <v>Warrior</v>
      </c>
    </row>
    <row r="106" ht="15.75" customHeight="1">
      <c r="A106" s="1">
        <v>3.0</v>
      </c>
      <c r="B106" s="1">
        <v>50.0</v>
      </c>
      <c r="C106" s="1">
        <v>0.0</v>
      </c>
      <c r="D106" s="1">
        <v>7700.0</v>
      </c>
      <c r="E106" s="1">
        <v>3900.0</v>
      </c>
      <c r="G106" s="1">
        <v>500.0</v>
      </c>
      <c r="AB106" s="1" t="str">
        <f>VLOOKUP(A106,Classes!A:C,2,0)</f>
        <v>Warrior</v>
      </c>
    </row>
    <row r="107" ht="15.75" customHeight="1">
      <c r="A107" s="1">
        <v>4.0</v>
      </c>
      <c r="B107" s="1">
        <v>1.0</v>
      </c>
      <c r="C107" s="1">
        <v>200.0</v>
      </c>
      <c r="D107" s="1">
        <v>30.0</v>
      </c>
      <c r="E107" s="1">
        <v>30.0</v>
      </c>
      <c r="AB107" s="1" t="str">
        <f>VLOOKUP(A107,Classes!A:C,2,0)</f>
        <v>Magus</v>
      </c>
    </row>
    <row r="108" ht="15.75" customHeight="1">
      <c r="A108" s="1">
        <v>4.0</v>
      </c>
      <c r="B108" s="1">
        <v>2.0</v>
      </c>
      <c r="C108" s="1">
        <v>800.0</v>
      </c>
      <c r="D108" s="1">
        <v>36.0</v>
      </c>
      <c r="E108" s="1">
        <v>42.0</v>
      </c>
      <c r="AB108" s="1" t="str">
        <f>VLOOKUP(A108,Classes!A:C,2,0)</f>
        <v>Magus</v>
      </c>
    </row>
    <row r="109" ht="15.75" customHeight="1">
      <c r="A109" s="1">
        <v>4.0</v>
      </c>
      <c r="B109" s="1">
        <v>3.0</v>
      </c>
      <c r="C109" s="1">
        <v>2000.0</v>
      </c>
      <c r="D109" s="1">
        <v>45.0</v>
      </c>
      <c r="E109" s="1">
        <v>60.0</v>
      </c>
      <c r="AB109" s="1" t="str">
        <f>VLOOKUP(A109,Classes!A:C,2,0)</f>
        <v>Magus</v>
      </c>
    </row>
    <row r="110" ht="15.75" customHeight="1">
      <c r="A110" s="1">
        <v>4.0</v>
      </c>
      <c r="B110" s="1">
        <v>4.0</v>
      </c>
      <c r="C110" s="1">
        <v>4000.0</v>
      </c>
      <c r="D110" s="1">
        <v>57.0</v>
      </c>
      <c r="E110" s="1">
        <v>84.0</v>
      </c>
      <c r="AB110" s="1" t="str">
        <f>VLOOKUP(A110,Classes!A:C,2,0)</f>
        <v>Magus</v>
      </c>
    </row>
    <row r="111" ht="15.75" customHeight="1">
      <c r="A111" s="1">
        <v>4.0</v>
      </c>
      <c r="B111" s="1">
        <v>5.0</v>
      </c>
      <c r="C111" s="1">
        <v>7000.0</v>
      </c>
      <c r="D111" s="1">
        <v>72.0</v>
      </c>
      <c r="E111" s="1">
        <v>114.0</v>
      </c>
      <c r="AB111" s="1" t="str">
        <f>VLOOKUP(A111,Classes!A:C,2,0)</f>
        <v>Magus</v>
      </c>
    </row>
    <row r="112" ht="15.75" customHeight="1">
      <c r="A112" s="1">
        <v>4.0</v>
      </c>
      <c r="B112" s="1">
        <v>6.0</v>
      </c>
      <c r="C112" s="1">
        <v>11200.0</v>
      </c>
      <c r="D112" s="1">
        <v>90.0</v>
      </c>
      <c r="E112" s="1">
        <v>150.0</v>
      </c>
      <c r="AB112" s="1" t="str">
        <f>VLOOKUP(A112,Classes!A:C,2,0)</f>
        <v>Magus</v>
      </c>
    </row>
    <row r="113" ht="15.75" customHeight="1">
      <c r="A113" s="1">
        <v>4.0</v>
      </c>
      <c r="B113" s="1">
        <v>7.0</v>
      </c>
      <c r="C113" s="1">
        <v>16800.0</v>
      </c>
      <c r="D113" s="1">
        <v>111.0</v>
      </c>
      <c r="E113" s="1">
        <v>192.0</v>
      </c>
      <c r="AB113" s="1" t="str">
        <f>VLOOKUP(A113,Classes!A:C,2,0)</f>
        <v>Magus</v>
      </c>
    </row>
    <row r="114" ht="15.75" customHeight="1">
      <c r="A114" s="1">
        <v>4.0</v>
      </c>
      <c r="B114" s="1">
        <v>8.0</v>
      </c>
      <c r="C114" s="1">
        <v>24000.0</v>
      </c>
      <c r="D114" s="1">
        <v>135.0</v>
      </c>
      <c r="E114" s="1">
        <v>240.0</v>
      </c>
      <c r="AB114" s="1" t="str">
        <f>VLOOKUP(A114,Classes!A:C,2,0)</f>
        <v>Magus</v>
      </c>
    </row>
    <row r="115" ht="15.75" customHeight="1">
      <c r="A115" s="1">
        <v>4.0</v>
      </c>
      <c r="B115" s="1">
        <v>9.0</v>
      </c>
      <c r="C115" s="1">
        <v>33000.0</v>
      </c>
      <c r="D115" s="1">
        <v>162.0</v>
      </c>
      <c r="E115" s="1">
        <v>294.0</v>
      </c>
      <c r="AB115" s="1" t="str">
        <f>VLOOKUP(A115,Classes!A:C,2,0)</f>
        <v>Magus</v>
      </c>
    </row>
    <row r="116" ht="15.75" customHeight="1">
      <c r="A116" s="1">
        <v>4.0</v>
      </c>
      <c r="B116" s="1">
        <v>10.0</v>
      </c>
      <c r="C116" s="1">
        <v>44000.0</v>
      </c>
      <c r="D116" s="1">
        <v>192.0</v>
      </c>
      <c r="E116" s="1">
        <v>354.0</v>
      </c>
      <c r="AB116" s="1" t="str">
        <f>VLOOKUP(A116,Classes!A:C,2,0)</f>
        <v>Magus</v>
      </c>
    </row>
    <row r="117" ht="15.75" customHeight="1">
      <c r="A117" s="1">
        <v>4.0</v>
      </c>
      <c r="B117" s="1">
        <v>11.0</v>
      </c>
      <c r="C117" s="1">
        <v>57200.0</v>
      </c>
      <c r="D117" s="1">
        <v>225.0</v>
      </c>
      <c r="E117" s="1">
        <v>420.0</v>
      </c>
      <c r="AB117" s="1" t="str">
        <f>VLOOKUP(A117,Classes!A:C,2,0)</f>
        <v>Magus</v>
      </c>
    </row>
    <row r="118" ht="15.75" customHeight="1">
      <c r="A118" s="1">
        <v>4.0</v>
      </c>
      <c r="B118" s="1">
        <v>12.0</v>
      </c>
      <c r="C118" s="1">
        <v>72800.0</v>
      </c>
      <c r="D118" s="1">
        <v>261.0</v>
      </c>
      <c r="E118" s="1">
        <v>492.0</v>
      </c>
      <c r="AB118" s="1" t="str">
        <f>VLOOKUP(A118,Classes!A:C,2,0)</f>
        <v>Magus</v>
      </c>
    </row>
    <row r="119" ht="15.75" customHeight="1">
      <c r="A119" s="1">
        <v>4.0</v>
      </c>
      <c r="B119" s="1">
        <v>13.0</v>
      </c>
      <c r="C119" s="1">
        <v>91000.0</v>
      </c>
      <c r="D119" s="1">
        <v>300.0</v>
      </c>
      <c r="E119" s="1">
        <v>570.0</v>
      </c>
      <c r="AB119" s="1" t="str">
        <f>VLOOKUP(A119,Classes!A:C,2,0)</f>
        <v>Magus</v>
      </c>
    </row>
    <row r="120" ht="15.75" customHeight="1">
      <c r="A120" s="1">
        <v>4.0</v>
      </c>
      <c r="B120" s="1">
        <v>14.0</v>
      </c>
      <c r="C120" s="1">
        <v>112000.0</v>
      </c>
      <c r="D120" s="1">
        <v>342.0</v>
      </c>
      <c r="E120" s="1">
        <v>654.0</v>
      </c>
      <c r="AB120" s="1" t="str">
        <f>VLOOKUP(A120,Classes!A:C,2,0)</f>
        <v>Magus</v>
      </c>
    </row>
    <row r="121" ht="15.75" customHeight="1">
      <c r="A121" s="1">
        <v>4.0</v>
      </c>
      <c r="B121" s="1">
        <v>15.0</v>
      </c>
      <c r="C121" s="1">
        <v>136000.0</v>
      </c>
      <c r="D121" s="1">
        <v>387.0</v>
      </c>
      <c r="E121" s="1">
        <v>744.0</v>
      </c>
      <c r="AB121" s="1" t="str">
        <f>VLOOKUP(A121,Classes!A:C,2,0)</f>
        <v>Magus</v>
      </c>
    </row>
    <row r="122" ht="15.75" customHeight="1">
      <c r="A122" s="1">
        <v>4.0</v>
      </c>
      <c r="B122" s="1">
        <v>16.0</v>
      </c>
      <c r="C122" s="1">
        <v>163200.0</v>
      </c>
      <c r="D122" s="1">
        <v>435.0</v>
      </c>
      <c r="E122" s="1">
        <v>840.0</v>
      </c>
      <c r="AB122" s="1" t="str">
        <f>VLOOKUP(A122,Classes!A:C,2,0)</f>
        <v>Magus</v>
      </c>
    </row>
    <row r="123" ht="15.75" customHeight="1">
      <c r="A123" s="1">
        <v>4.0</v>
      </c>
      <c r="B123" s="1">
        <v>17.0</v>
      </c>
      <c r="C123" s="1">
        <v>193800.0</v>
      </c>
      <c r="D123" s="1">
        <v>486.0</v>
      </c>
      <c r="E123" s="1">
        <v>942.0</v>
      </c>
      <c r="AB123" s="1" t="str">
        <f>VLOOKUP(A123,Classes!A:C,2,0)</f>
        <v>Magus</v>
      </c>
    </row>
    <row r="124" ht="15.75" customHeight="1">
      <c r="A124" s="1">
        <v>4.0</v>
      </c>
      <c r="B124" s="1">
        <v>18.0</v>
      </c>
      <c r="C124" s="1">
        <v>228000.0</v>
      </c>
      <c r="D124" s="1">
        <v>540.0</v>
      </c>
      <c r="E124" s="1">
        <v>1050.0</v>
      </c>
      <c r="AB124" s="1" t="str">
        <f>VLOOKUP(A124,Classes!A:C,2,0)</f>
        <v>Magus</v>
      </c>
    </row>
    <row r="125" ht="15.75" customHeight="1">
      <c r="A125" s="1">
        <v>4.0</v>
      </c>
      <c r="B125" s="1">
        <v>19.0</v>
      </c>
      <c r="C125" s="1">
        <v>266000.0</v>
      </c>
      <c r="D125" s="1">
        <v>597.0</v>
      </c>
      <c r="E125" s="1">
        <v>1164.0</v>
      </c>
      <c r="AB125" s="1" t="str">
        <f>VLOOKUP(A125,Classes!A:C,2,0)</f>
        <v>Magus</v>
      </c>
    </row>
    <row r="126" ht="15.75" customHeight="1">
      <c r="A126" s="1">
        <v>4.0</v>
      </c>
      <c r="B126" s="1">
        <v>20.0</v>
      </c>
      <c r="C126" s="1">
        <v>308000.0</v>
      </c>
      <c r="D126" s="1">
        <v>657.0</v>
      </c>
      <c r="E126" s="1">
        <v>1284.0</v>
      </c>
      <c r="AB126" s="1" t="str">
        <f>VLOOKUP(A126,Classes!A:C,2,0)</f>
        <v>Magus</v>
      </c>
    </row>
    <row r="127" ht="15.75" customHeight="1">
      <c r="A127" s="1">
        <v>4.0</v>
      </c>
      <c r="B127" s="1">
        <v>21.0</v>
      </c>
      <c r="C127" s="1">
        <v>354200.0</v>
      </c>
      <c r="D127" s="1">
        <v>720.0</v>
      </c>
      <c r="E127" s="1">
        <v>1410.0</v>
      </c>
      <c r="AB127" s="1" t="str">
        <f>VLOOKUP(A127,Classes!A:C,2,0)</f>
        <v>Magus</v>
      </c>
    </row>
    <row r="128" ht="15.75" customHeight="1">
      <c r="A128" s="1">
        <v>4.0</v>
      </c>
      <c r="B128" s="1">
        <v>22.0</v>
      </c>
      <c r="C128" s="1">
        <v>404800.0</v>
      </c>
      <c r="D128" s="1">
        <v>786.0</v>
      </c>
      <c r="E128" s="1">
        <v>1542.0</v>
      </c>
      <c r="AB128" s="1" t="str">
        <f>VLOOKUP(A128,Classes!A:C,2,0)</f>
        <v>Magus</v>
      </c>
    </row>
    <row r="129" ht="15.75" customHeight="1">
      <c r="A129" s="1">
        <v>4.0</v>
      </c>
      <c r="B129" s="1">
        <v>23.0</v>
      </c>
      <c r="C129" s="1">
        <v>460000.0</v>
      </c>
      <c r="D129" s="1">
        <v>855.0</v>
      </c>
      <c r="E129" s="1">
        <v>1680.0</v>
      </c>
      <c r="AB129" s="1" t="str">
        <f>VLOOKUP(A129,Classes!A:C,2,0)</f>
        <v>Magus</v>
      </c>
    </row>
    <row r="130" ht="15.75" customHeight="1">
      <c r="A130" s="1">
        <v>4.0</v>
      </c>
      <c r="B130" s="1">
        <v>24.0</v>
      </c>
      <c r="C130" s="1">
        <v>520000.0</v>
      </c>
      <c r="D130" s="1">
        <v>927.0</v>
      </c>
      <c r="E130" s="1">
        <v>1824.0</v>
      </c>
      <c r="AB130" s="1" t="str">
        <f>VLOOKUP(A130,Classes!A:C,2,0)</f>
        <v>Magus</v>
      </c>
    </row>
    <row r="131" ht="15.75" customHeight="1">
      <c r="A131" s="1">
        <v>4.0</v>
      </c>
      <c r="B131" s="1">
        <v>25.0</v>
      </c>
      <c r="C131" s="1">
        <v>585000.0</v>
      </c>
      <c r="D131" s="1">
        <v>1002.0</v>
      </c>
      <c r="E131" s="1">
        <v>1974.0</v>
      </c>
      <c r="AB131" s="1" t="str">
        <f>VLOOKUP(A131,Classes!A:C,2,0)</f>
        <v>Magus</v>
      </c>
    </row>
    <row r="132" ht="15.75" customHeight="1">
      <c r="A132" s="1">
        <v>4.0</v>
      </c>
      <c r="B132" s="1">
        <v>26.0</v>
      </c>
      <c r="C132" s="1">
        <v>655200.0</v>
      </c>
      <c r="D132" s="1">
        <v>1080.0</v>
      </c>
      <c r="E132" s="1">
        <v>2130.0</v>
      </c>
      <c r="AB132" s="1" t="str">
        <f>VLOOKUP(A132,Classes!A:C,2,0)</f>
        <v>Magus</v>
      </c>
    </row>
    <row r="133" ht="15.75" customHeight="1">
      <c r="A133" s="1">
        <v>4.0</v>
      </c>
      <c r="B133" s="1">
        <v>27.0</v>
      </c>
      <c r="C133" s="1">
        <v>730800.0</v>
      </c>
      <c r="D133" s="1">
        <v>1161.0</v>
      </c>
      <c r="E133" s="1">
        <v>2292.0</v>
      </c>
      <c r="AB133" s="1" t="str">
        <f>VLOOKUP(A133,Classes!A:C,2,0)</f>
        <v>Magus</v>
      </c>
    </row>
    <row r="134" ht="15.75" customHeight="1">
      <c r="A134" s="1">
        <v>4.0</v>
      </c>
      <c r="B134" s="1">
        <v>28.0</v>
      </c>
      <c r="C134" s="1">
        <v>812000.0</v>
      </c>
      <c r="D134" s="1">
        <v>1245.0</v>
      </c>
      <c r="E134" s="1">
        <v>2460.0</v>
      </c>
      <c r="AB134" s="1" t="str">
        <f>VLOOKUP(A134,Classes!A:C,2,0)</f>
        <v>Magus</v>
      </c>
    </row>
    <row r="135" ht="15.75" customHeight="1">
      <c r="A135" s="1">
        <v>4.0</v>
      </c>
      <c r="B135" s="1">
        <v>29.0</v>
      </c>
      <c r="C135" s="1">
        <v>899000.0</v>
      </c>
      <c r="D135" s="1">
        <v>1332.0</v>
      </c>
      <c r="E135" s="1">
        <v>2634.0</v>
      </c>
      <c r="AB135" s="1" t="str">
        <f>VLOOKUP(A135,Classes!A:C,2,0)</f>
        <v>Magus</v>
      </c>
    </row>
    <row r="136" ht="15.75" customHeight="1">
      <c r="A136" s="1">
        <v>4.0</v>
      </c>
      <c r="B136" s="1">
        <v>30.0</v>
      </c>
      <c r="C136" s="1">
        <v>992000.0</v>
      </c>
      <c r="D136" s="1">
        <v>1422.0</v>
      </c>
      <c r="E136" s="1">
        <v>2814.0</v>
      </c>
      <c r="AB136" s="1" t="str">
        <f>VLOOKUP(A136,Classes!A:C,2,0)</f>
        <v>Magus</v>
      </c>
    </row>
    <row r="137" ht="15.75" customHeight="1">
      <c r="A137" s="1">
        <v>4.0</v>
      </c>
      <c r="B137" s="1">
        <v>31.0</v>
      </c>
      <c r="C137" s="1">
        <v>1091200.0</v>
      </c>
      <c r="D137" s="1">
        <v>1515.0</v>
      </c>
      <c r="E137" s="1">
        <v>3000.0</v>
      </c>
      <c r="AB137" s="1" t="str">
        <f>VLOOKUP(A137,Classes!A:C,2,0)</f>
        <v>Magus</v>
      </c>
    </row>
    <row r="138" ht="15.75" customHeight="1">
      <c r="A138" s="1">
        <v>4.0</v>
      </c>
      <c r="B138" s="1">
        <v>32.0</v>
      </c>
      <c r="C138" s="1">
        <v>1196800.0</v>
      </c>
      <c r="D138" s="1">
        <v>1611.0</v>
      </c>
      <c r="E138" s="1">
        <v>3192.0</v>
      </c>
      <c r="AB138" s="1" t="str">
        <f>VLOOKUP(A138,Classes!A:C,2,0)</f>
        <v>Magus</v>
      </c>
    </row>
    <row r="139" ht="15.75" customHeight="1">
      <c r="A139" s="1">
        <v>4.0</v>
      </c>
      <c r="B139" s="1">
        <v>33.0</v>
      </c>
      <c r="C139" s="1">
        <v>1309000.0</v>
      </c>
      <c r="D139" s="1">
        <v>1710.0</v>
      </c>
      <c r="E139" s="1">
        <v>3390.0</v>
      </c>
      <c r="AB139" s="1" t="str">
        <f>VLOOKUP(A139,Classes!A:C,2,0)</f>
        <v>Magus</v>
      </c>
    </row>
    <row r="140" ht="15.75" customHeight="1">
      <c r="A140" s="1">
        <v>4.0</v>
      </c>
      <c r="B140" s="1">
        <v>34.0</v>
      </c>
      <c r="C140" s="1">
        <v>1428000.0</v>
      </c>
      <c r="D140" s="1">
        <v>1812.0</v>
      </c>
      <c r="E140" s="1">
        <v>3594.0</v>
      </c>
      <c r="AB140" s="1" t="str">
        <f>VLOOKUP(A140,Classes!A:C,2,0)</f>
        <v>Magus</v>
      </c>
    </row>
    <row r="141" ht="15.75" customHeight="1">
      <c r="A141" s="1">
        <v>4.0</v>
      </c>
      <c r="B141" s="1">
        <v>35.0</v>
      </c>
      <c r="C141" s="1">
        <v>1554000.0</v>
      </c>
      <c r="D141" s="1">
        <v>1917.0</v>
      </c>
      <c r="E141" s="1">
        <v>3804.0</v>
      </c>
      <c r="AB141" s="1" t="str">
        <f>VLOOKUP(A141,Classes!A:C,2,0)</f>
        <v>Magus</v>
      </c>
    </row>
    <row r="142" ht="15.75" customHeight="1">
      <c r="A142" s="1">
        <v>4.0</v>
      </c>
      <c r="B142" s="1">
        <v>36.0</v>
      </c>
      <c r="C142" s="1">
        <v>1687200.0</v>
      </c>
      <c r="D142" s="1">
        <v>2025.0</v>
      </c>
      <c r="E142" s="1">
        <v>4020.0</v>
      </c>
      <c r="AB142" s="1" t="str">
        <f>VLOOKUP(A142,Classes!A:C,2,0)</f>
        <v>Magus</v>
      </c>
    </row>
    <row r="143" ht="15.75" customHeight="1">
      <c r="A143" s="1">
        <v>4.0</v>
      </c>
      <c r="B143" s="1">
        <v>37.0</v>
      </c>
      <c r="C143" s="1">
        <v>1827800.0</v>
      </c>
      <c r="D143" s="1">
        <v>2136.0</v>
      </c>
      <c r="E143" s="1">
        <v>4242.0</v>
      </c>
      <c r="AB143" s="1" t="str">
        <f>VLOOKUP(A143,Classes!A:C,2,0)</f>
        <v>Magus</v>
      </c>
    </row>
    <row r="144" ht="15.75" customHeight="1">
      <c r="A144" s="1">
        <v>4.0</v>
      </c>
      <c r="B144" s="1">
        <v>38.0</v>
      </c>
      <c r="C144" s="1">
        <v>1976000.0</v>
      </c>
      <c r="D144" s="1">
        <v>2250.0</v>
      </c>
      <c r="E144" s="1">
        <v>4470.0</v>
      </c>
      <c r="AB144" s="1" t="str">
        <f>VLOOKUP(A144,Classes!A:C,2,0)</f>
        <v>Magus</v>
      </c>
    </row>
    <row r="145" ht="15.75" customHeight="1">
      <c r="A145" s="1">
        <v>4.0</v>
      </c>
      <c r="B145" s="1">
        <v>39.0</v>
      </c>
      <c r="C145" s="1">
        <v>2132000.0</v>
      </c>
      <c r="D145" s="1">
        <v>2367.0</v>
      </c>
      <c r="E145" s="1">
        <v>4704.0</v>
      </c>
      <c r="AB145" s="1" t="str">
        <f>VLOOKUP(A145,Classes!A:C,2,0)</f>
        <v>Magus</v>
      </c>
    </row>
    <row r="146" ht="15.75" customHeight="1">
      <c r="A146" s="1">
        <v>4.0</v>
      </c>
      <c r="B146" s="1">
        <v>40.0</v>
      </c>
      <c r="C146" s="1">
        <v>2296000.0</v>
      </c>
      <c r="D146" s="1">
        <v>2487.0</v>
      </c>
      <c r="E146" s="1">
        <v>4944.0</v>
      </c>
      <c r="AB146" s="1" t="str">
        <f>VLOOKUP(A146,Classes!A:C,2,0)</f>
        <v>Magus</v>
      </c>
    </row>
    <row r="147" ht="15.75" customHeight="1">
      <c r="A147" s="1">
        <v>4.0</v>
      </c>
      <c r="B147" s="1">
        <v>41.0</v>
      </c>
      <c r="C147" s="1">
        <v>2468200.0</v>
      </c>
      <c r="D147" s="1">
        <v>2610.0</v>
      </c>
      <c r="E147" s="1">
        <v>5190.0</v>
      </c>
      <c r="AB147" s="1" t="str">
        <f>VLOOKUP(A147,Classes!A:C,2,0)</f>
        <v>Magus</v>
      </c>
    </row>
    <row r="148" ht="15.75" customHeight="1">
      <c r="A148" s="1">
        <v>4.0</v>
      </c>
      <c r="B148" s="1">
        <v>42.0</v>
      </c>
      <c r="C148" s="1">
        <v>2648800.0</v>
      </c>
      <c r="D148" s="1">
        <v>2736.0</v>
      </c>
      <c r="E148" s="1">
        <v>5442.0</v>
      </c>
      <c r="AB148" s="1" t="str">
        <f>VLOOKUP(A148,Classes!A:C,2,0)</f>
        <v>Magus</v>
      </c>
    </row>
    <row r="149" ht="15.75" customHeight="1">
      <c r="A149" s="1">
        <v>4.0</v>
      </c>
      <c r="B149" s="1">
        <v>43.0</v>
      </c>
      <c r="C149" s="1">
        <v>2838000.0</v>
      </c>
      <c r="D149" s="1">
        <v>2865.0</v>
      </c>
      <c r="E149" s="1">
        <v>5700.0</v>
      </c>
      <c r="AB149" s="1" t="str">
        <f>VLOOKUP(A149,Classes!A:C,2,0)</f>
        <v>Magus</v>
      </c>
    </row>
    <row r="150" ht="15.75" customHeight="1">
      <c r="A150" s="1">
        <v>4.0</v>
      </c>
      <c r="B150" s="1">
        <v>44.0</v>
      </c>
      <c r="C150" s="1">
        <v>3036000.0</v>
      </c>
      <c r="D150" s="1">
        <v>2997.0</v>
      </c>
      <c r="E150" s="1">
        <v>5964.0</v>
      </c>
      <c r="AB150" s="1" t="str">
        <f>VLOOKUP(A150,Classes!A:C,2,0)</f>
        <v>Magus</v>
      </c>
    </row>
    <row r="151" ht="15.75" customHeight="1">
      <c r="A151" s="1">
        <v>4.0</v>
      </c>
      <c r="B151" s="1">
        <v>45.0</v>
      </c>
      <c r="C151" s="1">
        <v>3243000.0</v>
      </c>
      <c r="D151" s="1">
        <v>3132.0</v>
      </c>
      <c r="E151" s="1">
        <v>6234.0</v>
      </c>
      <c r="AB151" s="1" t="str">
        <f>VLOOKUP(A151,Classes!A:C,2,0)</f>
        <v>Magus</v>
      </c>
    </row>
    <row r="152" ht="15.75" customHeight="1">
      <c r="A152" s="1">
        <v>4.0</v>
      </c>
      <c r="B152" s="1">
        <v>46.0</v>
      </c>
      <c r="C152" s="1">
        <v>3459200.0</v>
      </c>
      <c r="D152" s="1">
        <v>3270.0</v>
      </c>
      <c r="E152" s="1">
        <v>6510.0</v>
      </c>
      <c r="AB152" s="1" t="str">
        <f>VLOOKUP(A152,Classes!A:C,2,0)</f>
        <v>Magus</v>
      </c>
    </row>
    <row r="153" ht="15.75" customHeight="1">
      <c r="A153" s="1">
        <v>4.0</v>
      </c>
      <c r="B153" s="1">
        <v>47.0</v>
      </c>
      <c r="C153" s="1">
        <v>3684800.0</v>
      </c>
      <c r="D153" s="1">
        <v>3411.0</v>
      </c>
      <c r="E153" s="1">
        <v>6792.0</v>
      </c>
      <c r="AB153" s="1" t="str">
        <f>VLOOKUP(A153,Classes!A:C,2,0)</f>
        <v>Magus</v>
      </c>
    </row>
    <row r="154" ht="15.75" customHeight="1">
      <c r="A154" s="1">
        <v>4.0</v>
      </c>
      <c r="B154" s="1">
        <v>48.0</v>
      </c>
      <c r="C154" s="1">
        <v>3920000.0</v>
      </c>
      <c r="D154" s="1">
        <v>3555.0</v>
      </c>
      <c r="E154" s="1">
        <v>7080.0</v>
      </c>
      <c r="AB154" s="1" t="str">
        <f>VLOOKUP(A154,Classes!A:C,2,0)</f>
        <v>Magus</v>
      </c>
    </row>
    <row r="155" ht="15.75" customHeight="1">
      <c r="A155" s="1">
        <v>4.0</v>
      </c>
      <c r="B155" s="1">
        <v>49.0</v>
      </c>
      <c r="C155" s="1">
        <v>4165000.0</v>
      </c>
      <c r="D155" s="1">
        <v>3700.0</v>
      </c>
      <c r="E155" s="1">
        <v>7400.0</v>
      </c>
      <c r="AB155" s="1" t="str">
        <f>VLOOKUP(A155,Classes!A:C,2,0)</f>
        <v>Magus</v>
      </c>
    </row>
    <row r="156" ht="15.75" customHeight="1">
      <c r="A156" s="1">
        <v>4.0</v>
      </c>
      <c r="B156" s="1">
        <v>50.0</v>
      </c>
      <c r="C156" s="1">
        <v>0.0</v>
      </c>
      <c r="D156" s="1">
        <v>3852.0</v>
      </c>
      <c r="E156" s="1">
        <v>7674.0</v>
      </c>
      <c r="AB156" s="1" t="str">
        <f>VLOOKUP(A156,Classes!A:C,2,0)</f>
        <v>Magus</v>
      </c>
    </row>
    <row r="157" ht="15.75" customHeight="1">
      <c r="A157" s="1">
        <v>5.0</v>
      </c>
      <c r="B157" s="1">
        <v>1.0</v>
      </c>
      <c r="C157" s="1">
        <v>200.0</v>
      </c>
      <c r="D157" s="1">
        <v>30.0</v>
      </c>
      <c r="E157" s="1">
        <v>30.0</v>
      </c>
      <c r="AB157" s="1" t="str">
        <f>VLOOKUP(A157,Classes!A:C,2,0)</f>
        <v>Priest</v>
      </c>
    </row>
    <row r="158" ht="15.75" customHeight="1">
      <c r="A158" s="1">
        <v>5.0</v>
      </c>
      <c r="B158" s="1">
        <v>2.0</v>
      </c>
      <c r="C158" s="1">
        <v>800.0</v>
      </c>
      <c r="D158" s="1">
        <v>37.0</v>
      </c>
      <c r="E158" s="1">
        <v>40.0</v>
      </c>
      <c r="AB158" s="1" t="str">
        <f>VLOOKUP(A158,Classes!A:C,2,0)</f>
        <v>Priest</v>
      </c>
    </row>
    <row r="159" ht="15.75" customHeight="1">
      <c r="A159" s="1">
        <v>5.0</v>
      </c>
      <c r="B159" s="1">
        <v>3.0</v>
      </c>
      <c r="C159" s="1">
        <v>2000.0</v>
      </c>
      <c r="D159" s="1">
        <v>47.0</v>
      </c>
      <c r="E159" s="1">
        <v>55.0</v>
      </c>
      <c r="AB159" s="1" t="str">
        <f>VLOOKUP(A159,Classes!A:C,2,0)</f>
        <v>Priest</v>
      </c>
    </row>
    <row r="160" ht="15.75" customHeight="1">
      <c r="A160" s="1">
        <v>5.0</v>
      </c>
      <c r="B160" s="1">
        <v>4.0</v>
      </c>
      <c r="C160" s="1">
        <v>4000.0</v>
      </c>
      <c r="D160" s="1">
        <v>61.0</v>
      </c>
      <c r="E160" s="1">
        <v>75.0</v>
      </c>
      <c r="AB160" s="1" t="str">
        <f>VLOOKUP(A160,Classes!A:C,2,0)</f>
        <v>Priest</v>
      </c>
    </row>
    <row r="161" ht="15.75" customHeight="1">
      <c r="A161" s="1">
        <v>5.0</v>
      </c>
      <c r="B161" s="1">
        <v>5.0</v>
      </c>
      <c r="C161" s="1">
        <v>7000.0</v>
      </c>
      <c r="D161" s="1">
        <v>78.0</v>
      </c>
      <c r="E161" s="1">
        <v>100.0</v>
      </c>
      <c r="AB161" s="1" t="str">
        <f>VLOOKUP(A161,Classes!A:C,2,0)</f>
        <v>Priest</v>
      </c>
    </row>
    <row r="162" ht="15.75" customHeight="1">
      <c r="A162" s="1">
        <v>5.0</v>
      </c>
      <c r="B162" s="1">
        <v>6.0</v>
      </c>
      <c r="C162" s="1">
        <v>11200.0</v>
      </c>
      <c r="D162" s="1">
        <v>98.0</v>
      </c>
      <c r="E162" s="1">
        <v>130.0</v>
      </c>
      <c r="AB162" s="1" t="str">
        <f>VLOOKUP(A162,Classes!A:C,2,0)</f>
        <v>Priest</v>
      </c>
    </row>
    <row r="163" ht="15.75" customHeight="1">
      <c r="A163" s="1">
        <v>5.0</v>
      </c>
      <c r="B163" s="1">
        <v>7.0</v>
      </c>
      <c r="C163" s="1">
        <v>16800.0</v>
      </c>
      <c r="D163" s="1">
        <v>122.0</v>
      </c>
      <c r="E163" s="1">
        <v>165.0</v>
      </c>
      <c r="AB163" s="1" t="str">
        <f>VLOOKUP(A163,Classes!A:C,2,0)</f>
        <v>Priest</v>
      </c>
    </row>
    <row r="164" ht="15.75" customHeight="1">
      <c r="A164" s="1">
        <v>5.0</v>
      </c>
      <c r="B164" s="1">
        <v>8.0</v>
      </c>
      <c r="C164" s="1">
        <v>24000.0</v>
      </c>
      <c r="D164" s="1">
        <v>149.0</v>
      </c>
      <c r="E164" s="1">
        <v>205.0</v>
      </c>
      <c r="AB164" s="1" t="str">
        <f>VLOOKUP(A164,Classes!A:C,2,0)</f>
        <v>Priest</v>
      </c>
    </row>
    <row r="165" ht="15.75" customHeight="1">
      <c r="A165" s="1">
        <v>5.0</v>
      </c>
      <c r="B165" s="1">
        <v>9.0</v>
      </c>
      <c r="C165" s="1">
        <v>33000.0</v>
      </c>
      <c r="D165" s="1">
        <v>179.0</v>
      </c>
      <c r="E165" s="1">
        <v>250.0</v>
      </c>
      <c r="AB165" s="1" t="str">
        <f>VLOOKUP(A165,Classes!A:C,2,0)</f>
        <v>Priest</v>
      </c>
    </row>
    <row r="166" ht="15.75" customHeight="1">
      <c r="A166" s="1">
        <v>5.0</v>
      </c>
      <c r="B166" s="1">
        <v>10.0</v>
      </c>
      <c r="C166" s="1">
        <v>44000.0</v>
      </c>
      <c r="D166" s="1">
        <v>213.0</v>
      </c>
      <c r="E166" s="1">
        <v>300.0</v>
      </c>
      <c r="AB166" s="1" t="str">
        <f>VLOOKUP(A166,Classes!A:C,2,0)</f>
        <v>Priest</v>
      </c>
    </row>
    <row r="167" ht="15.75" customHeight="1">
      <c r="A167" s="1">
        <v>5.0</v>
      </c>
      <c r="B167" s="1">
        <v>11.0</v>
      </c>
      <c r="C167" s="1">
        <v>57200.0</v>
      </c>
      <c r="D167" s="1">
        <v>250.0</v>
      </c>
      <c r="E167" s="1">
        <v>355.0</v>
      </c>
      <c r="AB167" s="1" t="str">
        <f>VLOOKUP(A167,Classes!A:C,2,0)</f>
        <v>Priest</v>
      </c>
    </row>
    <row r="168" ht="15.75" customHeight="1">
      <c r="A168" s="1">
        <v>5.0</v>
      </c>
      <c r="B168" s="1">
        <v>12.0</v>
      </c>
      <c r="C168" s="1">
        <v>72800.0</v>
      </c>
      <c r="D168" s="1">
        <v>290.0</v>
      </c>
      <c r="E168" s="1">
        <v>415.0</v>
      </c>
      <c r="AB168" s="1" t="str">
        <f>VLOOKUP(A168,Classes!A:C,2,0)</f>
        <v>Priest</v>
      </c>
    </row>
    <row r="169" ht="15.75" customHeight="1">
      <c r="A169" s="1">
        <v>5.0</v>
      </c>
      <c r="B169" s="1">
        <v>13.0</v>
      </c>
      <c r="C169" s="1">
        <v>91000.0</v>
      </c>
      <c r="D169" s="1">
        <v>334.0</v>
      </c>
      <c r="E169" s="1">
        <v>480.0</v>
      </c>
      <c r="AB169" s="1" t="str">
        <f>VLOOKUP(A169,Classes!A:C,2,0)</f>
        <v>Priest</v>
      </c>
    </row>
    <row r="170" ht="15.75" customHeight="1">
      <c r="A170" s="1">
        <v>5.0</v>
      </c>
      <c r="B170" s="1">
        <v>14.0</v>
      </c>
      <c r="C170" s="1">
        <v>112000.0</v>
      </c>
      <c r="D170" s="1">
        <v>381.0</v>
      </c>
      <c r="E170" s="1">
        <v>550.0</v>
      </c>
      <c r="AB170" s="1" t="str">
        <f>VLOOKUP(A170,Classes!A:C,2,0)</f>
        <v>Priest</v>
      </c>
    </row>
    <row r="171" ht="15.75" customHeight="1">
      <c r="A171" s="1">
        <v>5.0</v>
      </c>
      <c r="B171" s="1">
        <v>15.0</v>
      </c>
      <c r="C171" s="1">
        <v>136000.0</v>
      </c>
      <c r="D171" s="1">
        <v>431.0</v>
      </c>
      <c r="E171" s="1">
        <v>625.0</v>
      </c>
      <c r="AB171" s="1" t="str">
        <f>VLOOKUP(A171,Classes!A:C,2,0)</f>
        <v>Priest</v>
      </c>
    </row>
    <row r="172" ht="15.75" customHeight="1">
      <c r="A172" s="1">
        <v>5.0</v>
      </c>
      <c r="B172" s="1">
        <v>16.0</v>
      </c>
      <c r="C172" s="1">
        <v>163200.0</v>
      </c>
      <c r="D172" s="1">
        <v>485.0</v>
      </c>
      <c r="E172" s="1">
        <v>705.0</v>
      </c>
      <c r="AB172" s="1" t="str">
        <f>VLOOKUP(A172,Classes!A:C,2,0)</f>
        <v>Priest</v>
      </c>
    </row>
    <row r="173" ht="15.75" customHeight="1">
      <c r="A173" s="1">
        <v>5.0</v>
      </c>
      <c r="B173" s="1">
        <v>17.0</v>
      </c>
      <c r="C173" s="1">
        <v>193800.0</v>
      </c>
      <c r="D173" s="1">
        <v>542.0</v>
      </c>
      <c r="E173" s="1">
        <v>790.0</v>
      </c>
      <c r="AB173" s="1" t="str">
        <f>VLOOKUP(A173,Classes!A:C,2,0)</f>
        <v>Priest</v>
      </c>
    </row>
    <row r="174" ht="15.75" customHeight="1">
      <c r="A174" s="1">
        <v>5.0</v>
      </c>
      <c r="B174" s="1">
        <v>18.0</v>
      </c>
      <c r="C174" s="1">
        <v>228000.0</v>
      </c>
      <c r="D174" s="1">
        <v>602.0</v>
      </c>
      <c r="E174" s="1">
        <v>880.0</v>
      </c>
      <c r="AB174" s="1" t="str">
        <f>VLOOKUP(A174,Classes!A:C,2,0)</f>
        <v>Priest</v>
      </c>
    </row>
    <row r="175" ht="15.75" customHeight="1">
      <c r="A175" s="1">
        <v>5.0</v>
      </c>
      <c r="B175" s="1">
        <v>19.0</v>
      </c>
      <c r="C175" s="1">
        <v>266000.0</v>
      </c>
      <c r="D175" s="1">
        <v>666.0</v>
      </c>
      <c r="E175" s="1">
        <v>975.0</v>
      </c>
      <c r="AB175" s="1" t="str">
        <f>VLOOKUP(A175,Classes!A:C,2,0)</f>
        <v>Priest</v>
      </c>
    </row>
    <row r="176" ht="15.75" customHeight="1">
      <c r="A176" s="1">
        <v>5.0</v>
      </c>
      <c r="B176" s="1">
        <v>20.0</v>
      </c>
      <c r="C176" s="1">
        <v>308000.0</v>
      </c>
      <c r="D176" s="1">
        <v>733.0</v>
      </c>
      <c r="E176" s="1">
        <v>1075.0</v>
      </c>
      <c r="AB176" s="1" t="str">
        <f>VLOOKUP(A176,Classes!A:C,2,0)</f>
        <v>Priest</v>
      </c>
    </row>
    <row r="177" ht="15.75" customHeight="1">
      <c r="A177" s="1">
        <v>5.0</v>
      </c>
      <c r="B177" s="1">
        <v>21.0</v>
      </c>
      <c r="C177" s="1">
        <v>354200.0</v>
      </c>
      <c r="D177" s="1">
        <v>803.0</v>
      </c>
      <c r="E177" s="1">
        <v>1180.0</v>
      </c>
      <c r="AB177" s="1" t="str">
        <f>VLOOKUP(A177,Classes!A:C,2,0)</f>
        <v>Priest</v>
      </c>
    </row>
    <row r="178" ht="15.75" customHeight="1">
      <c r="A178" s="1">
        <v>5.0</v>
      </c>
      <c r="B178" s="1">
        <v>22.0</v>
      </c>
      <c r="C178" s="1">
        <v>404800.0</v>
      </c>
      <c r="D178" s="1">
        <v>877.0</v>
      </c>
      <c r="E178" s="1">
        <v>1290.0</v>
      </c>
      <c r="AB178" s="1" t="str">
        <f>VLOOKUP(A178,Classes!A:C,2,0)</f>
        <v>Priest</v>
      </c>
    </row>
    <row r="179" ht="15.75" customHeight="1">
      <c r="A179" s="1">
        <v>5.0</v>
      </c>
      <c r="B179" s="1">
        <v>23.0</v>
      </c>
      <c r="C179" s="1">
        <v>460000.0</v>
      </c>
      <c r="D179" s="1">
        <v>954.0</v>
      </c>
      <c r="E179" s="1">
        <v>1405.0</v>
      </c>
      <c r="AB179" s="1" t="str">
        <f>VLOOKUP(A179,Classes!A:C,2,0)</f>
        <v>Priest</v>
      </c>
    </row>
    <row r="180" ht="15.75" customHeight="1">
      <c r="A180" s="1">
        <v>5.0</v>
      </c>
      <c r="B180" s="1">
        <v>24.0</v>
      </c>
      <c r="C180" s="1">
        <v>520000.0</v>
      </c>
      <c r="D180" s="1">
        <v>1034.0</v>
      </c>
      <c r="E180" s="1">
        <v>1525.0</v>
      </c>
      <c r="AB180" s="1" t="str">
        <f>VLOOKUP(A180,Classes!A:C,2,0)</f>
        <v>Priest</v>
      </c>
    </row>
    <row r="181" ht="15.75" customHeight="1">
      <c r="A181" s="1">
        <v>5.0</v>
      </c>
      <c r="B181" s="1">
        <v>25.0</v>
      </c>
      <c r="C181" s="1">
        <v>585000.0</v>
      </c>
      <c r="D181" s="1">
        <v>1118.0</v>
      </c>
      <c r="E181" s="1">
        <v>1650.0</v>
      </c>
      <c r="AB181" s="1" t="str">
        <f>VLOOKUP(A181,Classes!A:C,2,0)</f>
        <v>Priest</v>
      </c>
    </row>
    <row r="182" ht="15.75" customHeight="1">
      <c r="A182" s="1">
        <v>5.0</v>
      </c>
      <c r="B182" s="1">
        <v>26.0</v>
      </c>
      <c r="C182" s="1">
        <v>655200.0</v>
      </c>
      <c r="D182" s="1">
        <v>1205.0</v>
      </c>
      <c r="E182" s="1">
        <v>1780.0</v>
      </c>
      <c r="AB182" s="1" t="str">
        <f>VLOOKUP(A182,Classes!A:C,2,0)</f>
        <v>Priest</v>
      </c>
    </row>
    <row r="183" ht="15.75" customHeight="1">
      <c r="A183" s="1">
        <v>5.0</v>
      </c>
      <c r="B183" s="1">
        <v>27.0</v>
      </c>
      <c r="C183" s="1">
        <v>730800.0</v>
      </c>
      <c r="D183" s="1">
        <v>1295.0</v>
      </c>
      <c r="E183" s="1">
        <v>1915.0</v>
      </c>
      <c r="AB183" s="1" t="str">
        <f>VLOOKUP(A183,Classes!A:C,2,0)</f>
        <v>Priest</v>
      </c>
    </row>
    <row r="184" ht="15.75" customHeight="1">
      <c r="A184" s="1">
        <v>5.0</v>
      </c>
      <c r="B184" s="1">
        <v>28.0</v>
      </c>
      <c r="C184" s="1">
        <v>812000.0</v>
      </c>
      <c r="D184" s="1">
        <v>1389.0</v>
      </c>
      <c r="E184" s="1">
        <v>2055.0</v>
      </c>
      <c r="AB184" s="1" t="str">
        <f>VLOOKUP(A184,Classes!A:C,2,0)</f>
        <v>Priest</v>
      </c>
    </row>
    <row r="185" ht="15.75" customHeight="1">
      <c r="A185" s="1">
        <v>5.0</v>
      </c>
      <c r="B185" s="1">
        <v>29.0</v>
      </c>
      <c r="C185" s="1">
        <v>899000.0</v>
      </c>
      <c r="D185" s="1">
        <v>1486.0</v>
      </c>
      <c r="E185" s="1">
        <v>2200.0</v>
      </c>
      <c r="AB185" s="1" t="str">
        <f>VLOOKUP(A185,Classes!A:C,2,0)</f>
        <v>Priest</v>
      </c>
    </row>
    <row r="186" ht="15.75" customHeight="1">
      <c r="A186" s="1">
        <v>5.0</v>
      </c>
      <c r="B186" s="1">
        <v>30.0</v>
      </c>
      <c r="C186" s="1">
        <v>992000.0</v>
      </c>
      <c r="D186" s="1">
        <v>1586.0</v>
      </c>
      <c r="E186" s="1">
        <v>2350.0</v>
      </c>
      <c r="AB186" s="1" t="str">
        <f>VLOOKUP(A186,Classes!A:C,2,0)</f>
        <v>Priest</v>
      </c>
    </row>
    <row r="187" ht="15.75" customHeight="1">
      <c r="A187" s="1">
        <v>5.0</v>
      </c>
      <c r="B187" s="1">
        <v>31.0</v>
      </c>
      <c r="C187" s="1">
        <v>1091200.0</v>
      </c>
      <c r="D187" s="1">
        <v>1690.0</v>
      </c>
      <c r="E187" s="1">
        <v>2505.0</v>
      </c>
      <c r="AB187" s="1" t="str">
        <f>VLOOKUP(A187,Classes!A:C,2,0)</f>
        <v>Priest</v>
      </c>
    </row>
    <row r="188" ht="15.75" customHeight="1">
      <c r="A188" s="1">
        <v>5.0</v>
      </c>
      <c r="B188" s="1">
        <v>32.0</v>
      </c>
      <c r="C188" s="1">
        <v>1196800.0</v>
      </c>
      <c r="D188" s="1">
        <v>1797.0</v>
      </c>
      <c r="E188" s="1">
        <v>2665.0</v>
      </c>
      <c r="AB188" s="1" t="str">
        <f>VLOOKUP(A188,Classes!A:C,2,0)</f>
        <v>Priest</v>
      </c>
    </row>
    <row r="189" ht="15.75" customHeight="1">
      <c r="A189" s="1">
        <v>5.0</v>
      </c>
      <c r="B189" s="1">
        <v>33.0</v>
      </c>
      <c r="C189" s="1">
        <v>1309000.0</v>
      </c>
      <c r="D189" s="1">
        <v>1907.0</v>
      </c>
      <c r="E189" s="1">
        <v>2830.0</v>
      </c>
      <c r="AB189" s="1" t="str">
        <f>VLOOKUP(A189,Classes!A:C,2,0)</f>
        <v>Priest</v>
      </c>
    </row>
    <row r="190" ht="15.75" customHeight="1">
      <c r="A190" s="1">
        <v>5.0</v>
      </c>
      <c r="B190" s="1">
        <v>34.0</v>
      </c>
      <c r="C190" s="1">
        <v>1428000.0</v>
      </c>
      <c r="D190" s="1">
        <v>2021.0</v>
      </c>
      <c r="E190" s="1">
        <v>3000.0</v>
      </c>
      <c r="AB190" s="1" t="str">
        <f>VLOOKUP(A190,Classes!A:C,2,0)</f>
        <v>Priest</v>
      </c>
    </row>
    <row r="191" ht="15.75" customHeight="1">
      <c r="A191" s="1">
        <v>5.0</v>
      </c>
      <c r="B191" s="1">
        <v>35.0</v>
      </c>
      <c r="C191" s="1">
        <v>1554000.0</v>
      </c>
      <c r="D191" s="1">
        <v>2138.0</v>
      </c>
      <c r="E191" s="1">
        <v>3175.0</v>
      </c>
      <c r="AB191" s="1" t="str">
        <f>VLOOKUP(A191,Classes!A:C,2,0)</f>
        <v>Priest</v>
      </c>
    </row>
    <row r="192" ht="15.75" customHeight="1">
      <c r="A192" s="1">
        <v>5.0</v>
      </c>
      <c r="B192" s="1">
        <v>36.0</v>
      </c>
      <c r="C192" s="1">
        <v>1687200.0</v>
      </c>
      <c r="D192" s="1">
        <v>2258.0</v>
      </c>
      <c r="E192" s="1">
        <v>3355.0</v>
      </c>
      <c r="AB192" s="1" t="str">
        <f>VLOOKUP(A192,Classes!A:C,2,0)</f>
        <v>Priest</v>
      </c>
    </row>
    <row r="193" ht="15.75" customHeight="1">
      <c r="A193" s="1">
        <v>5.0</v>
      </c>
      <c r="B193" s="1">
        <v>37.0</v>
      </c>
      <c r="C193" s="1">
        <v>1827800.0</v>
      </c>
      <c r="D193" s="1">
        <v>2382.0</v>
      </c>
      <c r="E193" s="1">
        <v>3540.0</v>
      </c>
      <c r="AB193" s="1" t="str">
        <f>VLOOKUP(A193,Classes!A:C,2,0)</f>
        <v>Priest</v>
      </c>
    </row>
    <row r="194" ht="15.75" customHeight="1">
      <c r="A194" s="1">
        <v>5.0</v>
      </c>
      <c r="B194" s="1">
        <v>38.0</v>
      </c>
      <c r="C194" s="1">
        <v>1976000.0</v>
      </c>
      <c r="D194" s="1">
        <v>2509.0</v>
      </c>
      <c r="E194" s="1">
        <v>3730.0</v>
      </c>
      <c r="AB194" s="1" t="str">
        <f>VLOOKUP(A194,Classes!A:C,2,0)</f>
        <v>Priest</v>
      </c>
    </row>
    <row r="195" ht="15.75" customHeight="1">
      <c r="A195" s="1">
        <v>5.0</v>
      </c>
      <c r="B195" s="1">
        <v>39.0</v>
      </c>
      <c r="C195" s="1">
        <v>2132000.0</v>
      </c>
      <c r="D195" s="1">
        <v>2639.0</v>
      </c>
      <c r="E195" s="1">
        <v>3925.0</v>
      </c>
      <c r="AB195" s="1" t="str">
        <f>VLOOKUP(A195,Classes!A:C,2,0)</f>
        <v>Priest</v>
      </c>
    </row>
    <row r="196" ht="15.75" customHeight="1">
      <c r="A196" s="1">
        <v>5.0</v>
      </c>
      <c r="B196" s="1">
        <v>40.0</v>
      </c>
      <c r="C196" s="1">
        <v>2296000.0</v>
      </c>
      <c r="D196" s="1">
        <v>2773.0</v>
      </c>
      <c r="E196" s="1">
        <v>4125.0</v>
      </c>
      <c r="AB196" s="1" t="str">
        <f>VLOOKUP(A196,Classes!A:C,2,0)</f>
        <v>Priest</v>
      </c>
    </row>
    <row r="197" ht="15.75" customHeight="1">
      <c r="A197" s="1">
        <v>5.0</v>
      </c>
      <c r="B197" s="1">
        <v>41.0</v>
      </c>
      <c r="C197" s="1">
        <v>2468200.0</v>
      </c>
      <c r="D197" s="1">
        <v>2910.0</v>
      </c>
      <c r="E197" s="1">
        <v>4330.0</v>
      </c>
      <c r="AB197" s="1" t="str">
        <f>VLOOKUP(A197,Classes!A:C,2,0)</f>
        <v>Priest</v>
      </c>
    </row>
    <row r="198" ht="15.75" customHeight="1">
      <c r="A198" s="1">
        <v>5.0</v>
      </c>
      <c r="B198" s="1">
        <v>42.0</v>
      </c>
      <c r="C198" s="1">
        <v>2648800.0</v>
      </c>
      <c r="D198" s="1">
        <v>3050.0</v>
      </c>
      <c r="E198" s="1">
        <v>4540.0</v>
      </c>
      <c r="AB198" s="1" t="str">
        <f>VLOOKUP(A198,Classes!A:C,2,0)</f>
        <v>Priest</v>
      </c>
    </row>
    <row r="199" ht="15.75" customHeight="1">
      <c r="A199" s="1">
        <v>5.0</v>
      </c>
      <c r="B199" s="1">
        <v>43.0</v>
      </c>
      <c r="C199" s="1">
        <v>2838000.0</v>
      </c>
      <c r="D199" s="1">
        <v>3194.0</v>
      </c>
      <c r="E199" s="1">
        <v>4755.0</v>
      </c>
      <c r="AB199" s="1" t="str">
        <f>VLOOKUP(A199,Classes!A:C,2,0)</f>
        <v>Priest</v>
      </c>
    </row>
    <row r="200" ht="15.75" customHeight="1">
      <c r="A200" s="1">
        <v>5.0</v>
      </c>
      <c r="B200" s="1">
        <v>44.0</v>
      </c>
      <c r="C200" s="1">
        <v>3036000.0</v>
      </c>
      <c r="D200" s="1">
        <v>3341.0</v>
      </c>
      <c r="E200" s="1">
        <v>4975.0</v>
      </c>
      <c r="AB200" s="1" t="str">
        <f>VLOOKUP(A200,Classes!A:C,2,0)</f>
        <v>Priest</v>
      </c>
    </row>
    <row r="201" ht="15.75" customHeight="1">
      <c r="A201" s="1">
        <v>5.0</v>
      </c>
      <c r="B201" s="1">
        <v>45.0</v>
      </c>
      <c r="C201" s="1">
        <v>3243000.0</v>
      </c>
      <c r="D201" s="1">
        <v>3491.0</v>
      </c>
      <c r="E201" s="1">
        <v>5200.0</v>
      </c>
      <c r="AB201" s="1" t="str">
        <f>VLOOKUP(A201,Classes!A:C,2,0)</f>
        <v>Priest</v>
      </c>
    </row>
    <row r="202" ht="15.75" customHeight="1">
      <c r="A202" s="1">
        <v>5.0</v>
      </c>
      <c r="B202" s="1">
        <v>46.0</v>
      </c>
      <c r="C202" s="1">
        <v>3459200.0</v>
      </c>
      <c r="D202" s="1">
        <v>3645.0</v>
      </c>
      <c r="E202" s="1">
        <v>5430.0</v>
      </c>
      <c r="AB202" s="1" t="str">
        <f>VLOOKUP(A202,Classes!A:C,2,0)</f>
        <v>Priest</v>
      </c>
    </row>
    <row r="203" ht="15.75" customHeight="1">
      <c r="A203" s="1">
        <v>5.0</v>
      </c>
      <c r="B203" s="1">
        <v>47.0</v>
      </c>
      <c r="C203" s="1">
        <v>3684800.0</v>
      </c>
      <c r="D203" s="1">
        <v>3802.0</v>
      </c>
      <c r="E203" s="1">
        <v>5665.0</v>
      </c>
      <c r="AB203" s="1" t="str">
        <f>VLOOKUP(A203,Classes!A:C,2,0)</f>
        <v>Priest</v>
      </c>
    </row>
    <row r="204" ht="15.75" customHeight="1">
      <c r="A204" s="1">
        <v>5.0</v>
      </c>
      <c r="B204" s="1">
        <v>48.0</v>
      </c>
      <c r="C204" s="1">
        <v>3920000.0</v>
      </c>
      <c r="D204" s="1">
        <v>3962.0</v>
      </c>
      <c r="E204" s="1">
        <v>5905.0</v>
      </c>
      <c r="AB204" s="1" t="str">
        <f>VLOOKUP(A204,Classes!A:C,2,0)</f>
        <v>Priest</v>
      </c>
    </row>
    <row r="205" ht="15.75" customHeight="1">
      <c r="A205" s="1">
        <v>5.0</v>
      </c>
      <c r="B205" s="1">
        <v>49.0</v>
      </c>
      <c r="C205" s="1">
        <v>4165000.0</v>
      </c>
      <c r="D205" s="1">
        <v>4126.0</v>
      </c>
      <c r="E205" s="1">
        <v>6150.0</v>
      </c>
      <c r="AB205" s="1" t="str">
        <f>VLOOKUP(A205,Classes!A:C,2,0)</f>
        <v>Priest</v>
      </c>
    </row>
    <row r="206" ht="15.75" customHeight="1">
      <c r="A206" s="1">
        <v>5.0</v>
      </c>
      <c r="B206" s="1">
        <v>50.0</v>
      </c>
      <c r="C206" s="1">
        <v>0.0</v>
      </c>
      <c r="D206" s="1">
        <v>4300.0</v>
      </c>
      <c r="E206" s="1">
        <v>6400.0</v>
      </c>
      <c r="AB206" s="1" t="str">
        <f>VLOOKUP(A206,Classes!A:C,2,0)</f>
        <v>Priest</v>
      </c>
    </row>
    <row r="207" ht="15.75" customHeight="1">
      <c r="A207" s="1">
        <v>6.0</v>
      </c>
      <c r="B207" s="1">
        <v>1.0</v>
      </c>
      <c r="C207" s="1">
        <v>200.0</v>
      </c>
      <c r="D207" s="1">
        <v>30.0</v>
      </c>
      <c r="E207" s="1">
        <v>30.0</v>
      </c>
      <c r="AB207" s="1" t="str">
        <f>VLOOKUP(A207,Classes!A:C,2,0)</f>
        <v>Game Master</v>
      </c>
    </row>
    <row r="208" ht="15.75" customHeight="1">
      <c r="A208" s="1">
        <v>6.0</v>
      </c>
      <c r="B208" s="1">
        <v>2.0</v>
      </c>
      <c r="C208" s="1">
        <v>800.0</v>
      </c>
      <c r="D208" s="1">
        <v>37.0</v>
      </c>
      <c r="E208" s="1">
        <v>40.0</v>
      </c>
      <c r="AB208" s="1" t="str">
        <f>VLOOKUP(A208,Classes!A:C,2,0)</f>
        <v>Game Master</v>
      </c>
    </row>
    <row r="209" ht="15.75" customHeight="1">
      <c r="A209" s="1">
        <v>6.0</v>
      </c>
      <c r="B209" s="1">
        <v>3.0</v>
      </c>
      <c r="C209" s="1">
        <v>2000.0</v>
      </c>
      <c r="D209" s="1">
        <v>47.0</v>
      </c>
      <c r="E209" s="1">
        <v>55.0</v>
      </c>
      <c r="AB209" s="1" t="str">
        <f>VLOOKUP(A209,Classes!A:C,2,0)</f>
        <v>Game Master</v>
      </c>
    </row>
    <row r="210" ht="15.75" customHeight="1">
      <c r="A210" s="1">
        <v>6.0</v>
      </c>
      <c r="B210" s="1">
        <v>4.0</v>
      </c>
      <c r="C210" s="1">
        <v>4000.0</v>
      </c>
      <c r="D210" s="1">
        <v>61.0</v>
      </c>
      <c r="E210" s="1">
        <v>75.0</v>
      </c>
      <c r="AB210" s="1" t="str">
        <f>VLOOKUP(A210,Classes!A:C,2,0)</f>
        <v>Game Master</v>
      </c>
    </row>
    <row r="211" ht="15.75" customHeight="1">
      <c r="A211" s="1">
        <v>6.0</v>
      </c>
      <c r="B211" s="1">
        <v>5.0</v>
      </c>
      <c r="C211" s="1">
        <v>7000.0</v>
      </c>
      <c r="D211" s="1">
        <v>78.0</v>
      </c>
      <c r="E211" s="1">
        <v>100.0</v>
      </c>
      <c r="AB211" s="1" t="str">
        <f>VLOOKUP(A211,Classes!A:C,2,0)</f>
        <v>Game Master</v>
      </c>
    </row>
    <row r="212" ht="15.75" customHeight="1">
      <c r="A212" s="1">
        <v>6.0</v>
      </c>
      <c r="B212" s="1">
        <v>6.0</v>
      </c>
      <c r="C212" s="1">
        <v>11200.0</v>
      </c>
      <c r="D212" s="1">
        <v>98.0</v>
      </c>
      <c r="E212" s="1">
        <v>130.0</v>
      </c>
      <c r="AB212" s="1" t="str">
        <f>VLOOKUP(A212,Classes!A:C,2,0)</f>
        <v>Game Master</v>
      </c>
    </row>
    <row r="213" ht="15.75" customHeight="1">
      <c r="A213" s="1">
        <v>6.0</v>
      </c>
      <c r="B213" s="1">
        <v>7.0</v>
      </c>
      <c r="C213" s="1">
        <v>16800.0</v>
      </c>
      <c r="D213" s="1">
        <v>122.0</v>
      </c>
      <c r="E213" s="1">
        <v>165.0</v>
      </c>
      <c r="AB213" s="1" t="str">
        <f>VLOOKUP(A213,Classes!A:C,2,0)</f>
        <v>Game Master</v>
      </c>
    </row>
    <row r="214" ht="15.75" customHeight="1">
      <c r="A214" s="1">
        <v>6.0</v>
      </c>
      <c r="B214" s="1">
        <v>8.0</v>
      </c>
      <c r="C214" s="1">
        <v>24000.0</v>
      </c>
      <c r="D214" s="1">
        <v>149.0</v>
      </c>
      <c r="E214" s="1">
        <v>205.0</v>
      </c>
      <c r="AB214" s="1" t="str">
        <f>VLOOKUP(A214,Classes!A:C,2,0)</f>
        <v>Game Master</v>
      </c>
    </row>
    <row r="215" ht="15.75" customHeight="1">
      <c r="A215" s="1">
        <v>6.0</v>
      </c>
      <c r="B215" s="1">
        <v>9.0</v>
      </c>
      <c r="C215" s="1">
        <v>33000.0</v>
      </c>
      <c r="D215" s="1">
        <v>179.0</v>
      </c>
      <c r="E215" s="1">
        <v>250.0</v>
      </c>
      <c r="AB215" s="1" t="str">
        <f>VLOOKUP(A215,Classes!A:C,2,0)</f>
        <v>Game Master</v>
      </c>
    </row>
    <row r="216" ht="15.75" customHeight="1">
      <c r="A216" s="1">
        <v>6.0</v>
      </c>
      <c r="B216" s="1">
        <v>10.0</v>
      </c>
      <c r="C216" s="1">
        <v>44000.0</v>
      </c>
      <c r="D216" s="1">
        <v>213.0</v>
      </c>
      <c r="E216" s="1">
        <v>300.0</v>
      </c>
      <c r="AB216" s="1" t="str">
        <f>VLOOKUP(A216,Classes!A:C,2,0)</f>
        <v>Game Master</v>
      </c>
    </row>
    <row r="217" ht="15.75" customHeight="1">
      <c r="A217" s="1">
        <v>6.0</v>
      </c>
      <c r="B217" s="1">
        <v>11.0</v>
      </c>
      <c r="C217" s="1">
        <v>57200.0</v>
      </c>
      <c r="D217" s="1">
        <v>250.0</v>
      </c>
      <c r="E217" s="1">
        <v>355.0</v>
      </c>
      <c r="AB217" s="1" t="str">
        <f>VLOOKUP(A217,Classes!A:C,2,0)</f>
        <v>Game Master</v>
      </c>
    </row>
    <row r="218" ht="15.75" customHeight="1">
      <c r="A218" s="1">
        <v>6.0</v>
      </c>
      <c r="B218" s="1">
        <v>12.0</v>
      </c>
      <c r="C218" s="1">
        <v>72800.0</v>
      </c>
      <c r="D218" s="1">
        <v>290.0</v>
      </c>
      <c r="E218" s="1">
        <v>415.0</v>
      </c>
      <c r="AB218" s="1" t="str">
        <f>VLOOKUP(A218,Classes!A:C,2,0)</f>
        <v>Game Master</v>
      </c>
    </row>
    <row r="219" ht="15.75" customHeight="1">
      <c r="A219" s="1">
        <v>6.0</v>
      </c>
      <c r="B219" s="1">
        <v>13.0</v>
      </c>
      <c r="C219" s="1">
        <v>91000.0</v>
      </c>
      <c r="D219" s="1">
        <v>334.0</v>
      </c>
      <c r="E219" s="1">
        <v>480.0</v>
      </c>
      <c r="AB219" s="1" t="str">
        <f>VLOOKUP(A219,Classes!A:C,2,0)</f>
        <v>Game Master</v>
      </c>
    </row>
    <row r="220" ht="15.75" customHeight="1">
      <c r="A220" s="1">
        <v>6.0</v>
      </c>
      <c r="B220" s="1">
        <v>14.0</v>
      </c>
      <c r="C220" s="1">
        <v>112000.0</v>
      </c>
      <c r="D220" s="1">
        <v>381.0</v>
      </c>
      <c r="E220" s="1">
        <v>550.0</v>
      </c>
      <c r="AB220" s="1" t="str">
        <f>VLOOKUP(A220,Classes!A:C,2,0)</f>
        <v>Game Master</v>
      </c>
    </row>
    <row r="221" ht="15.75" customHeight="1">
      <c r="A221" s="1">
        <v>6.0</v>
      </c>
      <c r="B221" s="1">
        <v>15.0</v>
      </c>
      <c r="C221" s="1">
        <v>136000.0</v>
      </c>
      <c r="D221" s="1">
        <v>431.0</v>
      </c>
      <c r="E221" s="1">
        <v>625.0</v>
      </c>
      <c r="AB221" s="1" t="str">
        <f>VLOOKUP(A221,Classes!A:C,2,0)</f>
        <v>Game Master</v>
      </c>
    </row>
    <row r="222" ht="15.75" customHeight="1">
      <c r="A222" s="1">
        <v>6.0</v>
      </c>
      <c r="B222" s="1">
        <v>16.0</v>
      </c>
      <c r="C222" s="1">
        <v>163200.0</v>
      </c>
      <c r="D222" s="1">
        <v>485.0</v>
      </c>
      <c r="E222" s="1">
        <v>705.0</v>
      </c>
      <c r="AB222" s="1" t="str">
        <f>VLOOKUP(A222,Classes!A:C,2,0)</f>
        <v>Game Master</v>
      </c>
    </row>
    <row r="223" ht="15.75" customHeight="1">
      <c r="A223" s="1">
        <v>6.0</v>
      </c>
      <c r="B223" s="1">
        <v>17.0</v>
      </c>
      <c r="C223" s="1">
        <v>193800.0</v>
      </c>
      <c r="D223" s="1">
        <v>542.0</v>
      </c>
      <c r="E223" s="1">
        <v>790.0</v>
      </c>
      <c r="AB223" s="1" t="str">
        <f>VLOOKUP(A223,Classes!A:C,2,0)</f>
        <v>Game Master</v>
      </c>
    </row>
    <row r="224" ht="15.75" customHeight="1">
      <c r="A224" s="1">
        <v>6.0</v>
      </c>
      <c r="B224" s="1">
        <v>18.0</v>
      </c>
      <c r="C224" s="1">
        <v>228000.0</v>
      </c>
      <c r="D224" s="1">
        <v>602.0</v>
      </c>
      <c r="E224" s="1">
        <v>880.0</v>
      </c>
      <c r="AB224" s="1" t="str">
        <f>VLOOKUP(A224,Classes!A:C,2,0)</f>
        <v>Game Master</v>
      </c>
    </row>
    <row r="225" ht="15.75" customHeight="1">
      <c r="A225" s="1">
        <v>6.0</v>
      </c>
      <c r="B225" s="1">
        <v>19.0</v>
      </c>
      <c r="C225" s="1">
        <v>266000.0</v>
      </c>
      <c r="D225" s="1">
        <v>666.0</v>
      </c>
      <c r="E225" s="1">
        <v>975.0</v>
      </c>
      <c r="AB225" s="1" t="str">
        <f>VLOOKUP(A225,Classes!A:C,2,0)</f>
        <v>Game Master</v>
      </c>
    </row>
    <row r="226" ht="15.75" customHeight="1">
      <c r="A226" s="1">
        <v>6.0</v>
      </c>
      <c r="B226" s="1">
        <v>20.0</v>
      </c>
      <c r="C226" s="1">
        <v>308000.0</v>
      </c>
      <c r="D226" s="1">
        <v>733.0</v>
      </c>
      <c r="E226" s="1">
        <v>1075.0</v>
      </c>
      <c r="AB226" s="1" t="str">
        <f>VLOOKUP(A226,Classes!A:C,2,0)</f>
        <v>Game Master</v>
      </c>
    </row>
    <row r="227" ht="15.75" customHeight="1">
      <c r="A227" s="1">
        <v>6.0</v>
      </c>
      <c r="B227" s="1">
        <v>21.0</v>
      </c>
      <c r="C227" s="1">
        <v>354200.0</v>
      </c>
      <c r="D227" s="1">
        <v>803.0</v>
      </c>
      <c r="E227" s="1">
        <v>1180.0</v>
      </c>
      <c r="AB227" s="1" t="str">
        <f>VLOOKUP(A227,Classes!A:C,2,0)</f>
        <v>Game Master</v>
      </c>
    </row>
    <row r="228" ht="15.75" customHeight="1">
      <c r="A228" s="1">
        <v>6.0</v>
      </c>
      <c r="B228" s="1">
        <v>22.0</v>
      </c>
      <c r="C228" s="1">
        <v>404800.0</v>
      </c>
      <c r="D228" s="1">
        <v>877.0</v>
      </c>
      <c r="E228" s="1">
        <v>1290.0</v>
      </c>
      <c r="AB228" s="1" t="str">
        <f>VLOOKUP(A228,Classes!A:C,2,0)</f>
        <v>Game Master</v>
      </c>
    </row>
    <row r="229" ht="15.75" customHeight="1">
      <c r="A229" s="1">
        <v>6.0</v>
      </c>
      <c r="B229" s="1">
        <v>23.0</v>
      </c>
      <c r="C229" s="1">
        <v>460000.0</v>
      </c>
      <c r="D229" s="1">
        <v>954.0</v>
      </c>
      <c r="E229" s="1">
        <v>1405.0</v>
      </c>
      <c r="AB229" s="1" t="str">
        <f>VLOOKUP(A229,Classes!A:C,2,0)</f>
        <v>Game Master</v>
      </c>
    </row>
    <row r="230" ht="15.75" customHeight="1">
      <c r="A230" s="1">
        <v>6.0</v>
      </c>
      <c r="B230" s="1">
        <v>24.0</v>
      </c>
      <c r="C230" s="1">
        <v>520000.0</v>
      </c>
      <c r="D230" s="1">
        <v>1034.0</v>
      </c>
      <c r="E230" s="1">
        <v>1525.0</v>
      </c>
      <c r="AB230" s="1" t="str">
        <f>VLOOKUP(A230,Classes!A:C,2,0)</f>
        <v>Game Master</v>
      </c>
    </row>
    <row r="231" ht="15.75" customHeight="1">
      <c r="A231" s="1">
        <v>6.0</v>
      </c>
      <c r="B231" s="1">
        <v>25.0</v>
      </c>
      <c r="C231" s="1">
        <v>585000.0</v>
      </c>
      <c r="D231" s="1">
        <v>1118.0</v>
      </c>
      <c r="E231" s="1">
        <v>1650.0</v>
      </c>
      <c r="AB231" s="1" t="str">
        <f>VLOOKUP(A231,Classes!A:C,2,0)</f>
        <v>Game Master</v>
      </c>
    </row>
    <row r="232" ht="15.75" customHeight="1">
      <c r="A232" s="1">
        <v>6.0</v>
      </c>
      <c r="B232" s="1">
        <v>26.0</v>
      </c>
      <c r="C232" s="1">
        <v>655200.0</v>
      </c>
      <c r="D232" s="1">
        <v>1205.0</v>
      </c>
      <c r="E232" s="1">
        <v>1780.0</v>
      </c>
      <c r="AB232" s="1" t="str">
        <f>VLOOKUP(A232,Classes!A:C,2,0)</f>
        <v>Game Master</v>
      </c>
    </row>
    <row r="233" ht="15.75" customHeight="1">
      <c r="A233" s="1">
        <v>6.0</v>
      </c>
      <c r="B233" s="1">
        <v>27.0</v>
      </c>
      <c r="C233" s="1">
        <v>730800.0</v>
      </c>
      <c r="D233" s="1">
        <v>1295.0</v>
      </c>
      <c r="E233" s="1">
        <v>1915.0</v>
      </c>
      <c r="AB233" s="1" t="str">
        <f>VLOOKUP(A233,Classes!A:C,2,0)</f>
        <v>Game Master</v>
      </c>
    </row>
    <row r="234" ht="15.75" customHeight="1">
      <c r="A234" s="1">
        <v>6.0</v>
      </c>
      <c r="B234" s="1">
        <v>28.0</v>
      </c>
      <c r="C234" s="1">
        <v>812000.0</v>
      </c>
      <c r="D234" s="1">
        <v>1389.0</v>
      </c>
      <c r="E234" s="1">
        <v>2055.0</v>
      </c>
      <c r="AB234" s="1" t="str">
        <f>VLOOKUP(A234,Classes!A:C,2,0)</f>
        <v>Game Master</v>
      </c>
    </row>
    <row r="235" ht="15.75" customHeight="1">
      <c r="A235" s="1">
        <v>6.0</v>
      </c>
      <c r="B235" s="1">
        <v>29.0</v>
      </c>
      <c r="C235" s="1">
        <v>899000.0</v>
      </c>
      <c r="D235" s="1">
        <v>1486.0</v>
      </c>
      <c r="E235" s="1">
        <v>2200.0</v>
      </c>
      <c r="AB235" s="1" t="str">
        <f>VLOOKUP(A235,Classes!A:C,2,0)</f>
        <v>Game Master</v>
      </c>
    </row>
    <row r="236" ht="15.75" customHeight="1">
      <c r="A236" s="1">
        <v>6.0</v>
      </c>
      <c r="B236" s="1">
        <v>30.0</v>
      </c>
      <c r="C236" s="1">
        <v>992000.0</v>
      </c>
      <c r="D236" s="1">
        <v>1586.0</v>
      </c>
      <c r="E236" s="1">
        <v>2350.0</v>
      </c>
      <c r="AB236" s="1" t="str">
        <f>VLOOKUP(A236,Classes!A:C,2,0)</f>
        <v>Game Master</v>
      </c>
    </row>
    <row r="237" ht="15.75" customHeight="1">
      <c r="A237" s="1">
        <v>6.0</v>
      </c>
      <c r="B237" s="1">
        <v>31.0</v>
      </c>
      <c r="C237" s="1">
        <v>1091200.0</v>
      </c>
      <c r="D237" s="1">
        <v>1690.0</v>
      </c>
      <c r="E237" s="1">
        <v>2505.0</v>
      </c>
      <c r="AB237" s="1" t="str">
        <f>VLOOKUP(A237,Classes!A:C,2,0)</f>
        <v>Game Master</v>
      </c>
    </row>
    <row r="238" ht="15.75" customHeight="1">
      <c r="A238" s="1">
        <v>6.0</v>
      </c>
      <c r="B238" s="1">
        <v>32.0</v>
      </c>
      <c r="C238" s="1">
        <v>1196800.0</v>
      </c>
      <c r="D238" s="1">
        <v>1797.0</v>
      </c>
      <c r="E238" s="1">
        <v>2665.0</v>
      </c>
      <c r="AB238" s="1" t="str">
        <f>VLOOKUP(A238,Classes!A:C,2,0)</f>
        <v>Game Master</v>
      </c>
    </row>
    <row r="239" ht="15.75" customHeight="1">
      <c r="A239" s="1">
        <v>6.0</v>
      </c>
      <c r="B239" s="1">
        <v>33.0</v>
      </c>
      <c r="C239" s="1">
        <v>1309000.0</v>
      </c>
      <c r="D239" s="1">
        <v>1907.0</v>
      </c>
      <c r="E239" s="1">
        <v>2830.0</v>
      </c>
      <c r="AB239" s="1" t="str">
        <f>VLOOKUP(A239,Classes!A:C,2,0)</f>
        <v>Game Master</v>
      </c>
    </row>
    <row r="240" ht="15.75" customHeight="1">
      <c r="A240" s="1">
        <v>6.0</v>
      </c>
      <c r="B240" s="1">
        <v>34.0</v>
      </c>
      <c r="C240" s="1">
        <v>1428000.0</v>
      </c>
      <c r="D240" s="1">
        <v>2021.0</v>
      </c>
      <c r="E240" s="1">
        <v>3000.0</v>
      </c>
      <c r="AB240" s="1" t="str">
        <f>VLOOKUP(A240,Classes!A:C,2,0)</f>
        <v>Game Master</v>
      </c>
    </row>
    <row r="241" ht="15.75" customHeight="1">
      <c r="A241" s="1">
        <v>6.0</v>
      </c>
      <c r="B241" s="1">
        <v>35.0</v>
      </c>
      <c r="C241" s="1">
        <v>1554000.0</v>
      </c>
      <c r="D241" s="1">
        <v>2138.0</v>
      </c>
      <c r="E241" s="1">
        <v>3175.0</v>
      </c>
      <c r="AB241" s="1" t="str">
        <f>VLOOKUP(A241,Classes!A:C,2,0)</f>
        <v>Game Master</v>
      </c>
    </row>
    <row r="242" ht="15.75" customHeight="1">
      <c r="A242" s="1">
        <v>6.0</v>
      </c>
      <c r="B242" s="1">
        <v>36.0</v>
      </c>
      <c r="C242" s="1">
        <v>1687200.0</v>
      </c>
      <c r="D242" s="1">
        <v>2258.0</v>
      </c>
      <c r="E242" s="1">
        <v>3355.0</v>
      </c>
      <c r="AB242" s="1" t="str">
        <f>VLOOKUP(A242,Classes!A:C,2,0)</f>
        <v>Game Master</v>
      </c>
    </row>
    <row r="243" ht="15.75" customHeight="1">
      <c r="A243" s="1">
        <v>6.0</v>
      </c>
      <c r="B243" s="1">
        <v>37.0</v>
      </c>
      <c r="C243" s="1">
        <v>1827800.0</v>
      </c>
      <c r="D243" s="1">
        <v>2382.0</v>
      </c>
      <c r="E243" s="1">
        <v>3540.0</v>
      </c>
      <c r="AB243" s="1" t="str">
        <f>VLOOKUP(A243,Classes!A:C,2,0)</f>
        <v>Game Master</v>
      </c>
    </row>
    <row r="244" ht="15.75" customHeight="1">
      <c r="A244" s="1">
        <v>6.0</v>
      </c>
      <c r="B244" s="1">
        <v>38.0</v>
      </c>
      <c r="C244" s="1">
        <v>1976000.0</v>
      </c>
      <c r="D244" s="1">
        <v>2509.0</v>
      </c>
      <c r="E244" s="1">
        <v>3730.0</v>
      </c>
      <c r="AB244" s="1" t="str">
        <f>VLOOKUP(A244,Classes!A:C,2,0)</f>
        <v>Game Master</v>
      </c>
    </row>
    <row r="245" ht="15.75" customHeight="1">
      <c r="A245" s="1">
        <v>6.0</v>
      </c>
      <c r="B245" s="1">
        <v>39.0</v>
      </c>
      <c r="C245" s="1">
        <v>2132000.0</v>
      </c>
      <c r="D245" s="1">
        <v>2639.0</v>
      </c>
      <c r="E245" s="1">
        <v>3925.0</v>
      </c>
      <c r="AB245" s="1" t="str">
        <f>VLOOKUP(A245,Classes!A:C,2,0)</f>
        <v>Game Master</v>
      </c>
    </row>
    <row r="246" ht="15.75" customHeight="1">
      <c r="A246" s="1">
        <v>6.0</v>
      </c>
      <c r="B246" s="1">
        <v>40.0</v>
      </c>
      <c r="C246" s="1">
        <v>2296000.0</v>
      </c>
      <c r="D246" s="1">
        <v>2773.0</v>
      </c>
      <c r="E246" s="1">
        <v>4125.0</v>
      </c>
      <c r="AB246" s="1" t="str">
        <f>VLOOKUP(A246,Classes!A:C,2,0)</f>
        <v>Game Master</v>
      </c>
    </row>
    <row r="247" ht="15.75" customHeight="1">
      <c r="A247" s="1">
        <v>6.0</v>
      </c>
      <c r="B247" s="1">
        <v>41.0</v>
      </c>
      <c r="C247" s="1">
        <v>2468200.0</v>
      </c>
      <c r="D247" s="1">
        <v>2910.0</v>
      </c>
      <c r="E247" s="1">
        <v>4330.0</v>
      </c>
      <c r="AB247" s="1" t="str">
        <f>VLOOKUP(A247,Classes!A:C,2,0)</f>
        <v>Game Master</v>
      </c>
    </row>
    <row r="248" ht="15.75" customHeight="1">
      <c r="A248" s="1">
        <v>6.0</v>
      </c>
      <c r="B248" s="1">
        <v>42.0</v>
      </c>
      <c r="C248" s="1">
        <v>2648800.0</v>
      </c>
      <c r="D248" s="1">
        <v>3050.0</v>
      </c>
      <c r="E248" s="1">
        <v>4540.0</v>
      </c>
      <c r="AB248" s="1" t="str">
        <f>VLOOKUP(A248,Classes!A:C,2,0)</f>
        <v>Game Master</v>
      </c>
    </row>
    <row r="249" ht="15.75" customHeight="1">
      <c r="A249" s="1">
        <v>6.0</v>
      </c>
      <c r="B249" s="1">
        <v>43.0</v>
      </c>
      <c r="C249" s="1">
        <v>2838000.0</v>
      </c>
      <c r="D249" s="1">
        <v>3194.0</v>
      </c>
      <c r="E249" s="1">
        <v>4755.0</v>
      </c>
      <c r="AB249" s="1" t="str">
        <f>VLOOKUP(A249,Classes!A:C,2,0)</f>
        <v>Game Master</v>
      </c>
    </row>
    <row r="250" ht="15.75" customHeight="1">
      <c r="A250" s="1">
        <v>6.0</v>
      </c>
      <c r="B250" s="1">
        <v>44.0</v>
      </c>
      <c r="C250" s="1">
        <v>3036000.0</v>
      </c>
      <c r="D250" s="1">
        <v>3341.0</v>
      </c>
      <c r="E250" s="1">
        <v>4975.0</v>
      </c>
      <c r="AB250" s="1" t="str">
        <f>VLOOKUP(A250,Classes!A:C,2,0)</f>
        <v>Game Master</v>
      </c>
    </row>
    <row r="251" ht="15.75" customHeight="1">
      <c r="A251" s="1">
        <v>6.0</v>
      </c>
      <c r="B251" s="1">
        <v>45.0</v>
      </c>
      <c r="C251" s="1">
        <v>3243000.0</v>
      </c>
      <c r="D251" s="1">
        <v>3491.0</v>
      </c>
      <c r="E251" s="1">
        <v>5200.0</v>
      </c>
      <c r="AB251" s="1" t="str">
        <f>VLOOKUP(A251,Classes!A:C,2,0)</f>
        <v>Game Master</v>
      </c>
    </row>
    <row r="252" ht="15.75" customHeight="1">
      <c r="A252" s="1">
        <v>6.0</v>
      </c>
      <c r="B252" s="1">
        <v>46.0</v>
      </c>
      <c r="C252" s="1">
        <v>3459200.0</v>
      </c>
      <c r="D252" s="1">
        <v>3645.0</v>
      </c>
      <c r="E252" s="1">
        <v>5430.0</v>
      </c>
      <c r="AB252" s="1" t="str">
        <f>VLOOKUP(A252,Classes!A:C,2,0)</f>
        <v>Game Master</v>
      </c>
    </row>
    <row r="253" ht="15.75" customHeight="1">
      <c r="A253" s="1">
        <v>6.0</v>
      </c>
      <c r="B253" s="1">
        <v>47.0</v>
      </c>
      <c r="C253" s="1">
        <v>3684800.0</v>
      </c>
      <c r="D253" s="1">
        <v>3802.0</v>
      </c>
      <c r="E253" s="1">
        <v>5665.0</v>
      </c>
      <c r="AB253" s="1" t="str">
        <f>VLOOKUP(A253,Classes!A:C,2,0)</f>
        <v>Game Master</v>
      </c>
    </row>
    <row r="254" ht="15.75" customHeight="1">
      <c r="A254" s="1">
        <v>6.0</v>
      </c>
      <c r="B254" s="1">
        <v>48.0</v>
      </c>
      <c r="C254" s="1">
        <v>3920000.0</v>
      </c>
      <c r="D254" s="1">
        <v>3962.0</v>
      </c>
      <c r="E254" s="1">
        <v>5905.0</v>
      </c>
      <c r="AB254" s="1" t="str">
        <f>VLOOKUP(A254,Classes!A:C,2,0)</f>
        <v>Game Master</v>
      </c>
    </row>
    <row r="255" ht="15.75" customHeight="1">
      <c r="A255" s="1">
        <v>6.0</v>
      </c>
      <c r="B255" s="1">
        <v>49.0</v>
      </c>
      <c r="C255" s="1">
        <v>4165000.0</v>
      </c>
      <c r="D255" s="1">
        <v>4126.0</v>
      </c>
      <c r="E255" s="1">
        <v>6150.0</v>
      </c>
      <c r="AB255" s="1" t="str">
        <f>VLOOKUP(A255,Classes!A:C,2,0)</f>
        <v>Game Master</v>
      </c>
    </row>
    <row r="256" ht="15.75" customHeight="1">
      <c r="A256" s="1">
        <v>6.0</v>
      </c>
      <c r="B256" s="1">
        <v>50.0</v>
      </c>
      <c r="C256" s="1">
        <v>0.0</v>
      </c>
      <c r="D256" s="1">
        <v>4300.0</v>
      </c>
      <c r="E256" s="1">
        <v>6400.0</v>
      </c>
      <c r="AB256" s="1" t="str">
        <f>VLOOKUP(A256,Classes!A:C,2,0)</f>
        <v>Game Master</v>
      </c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67</v>
      </c>
      <c r="B1" s="1" t="s">
        <v>1650</v>
      </c>
      <c r="C1" s="1" t="s">
        <v>0</v>
      </c>
      <c r="E1" s="1" t="s">
        <v>1665</v>
      </c>
      <c r="F1" s="1" t="s">
        <v>1666</v>
      </c>
    </row>
    <row r="2">
      <c r="A2" s="1">
        <v>2.0</v>
      </c>
      <c r="B2" s="1">
        <v>4.0</v>
      </c>
      <c r="C2" s="1">
        <v>3.0</v>
      </c>
      <c r="E2" s="1" t="str">
        <f>VLOOKUP(A2,Classes!A:C,2,0)</f>
        <v>Rogue</v>
      </c>
      <c r="F2" s="1" t="str">
        <f>VLOOKUP(C2,Spells!A:C,2,0)</f>
        <v>Backstab 1</v>
      </c>
    </row>
    <row r="3">
      <c r="A3" s="1">
        <v>2.0</v>
      </c>
      <c r="B3" s="1">
        <v>11.0</v>
      </c>
      <c r="C3" s="1">
        <v>25.0</v>
      </c>
      <c r="E3" s="1" t="str">
        <f>VLOOKUP(A3,Classes!A:C,2,0)</f>
        <v>Rogue</v>
      </c>
      <c r="F3" s="1" t="str">
        <f>VLOOKUP(C3,Spells!A:C,2,0)</f>
        <v>Poison Weapon 1</v>
      </c>
    </row>
    <row r="4">
      <c r="A4" s="1">
        <v>2.0</v>
      </c>
      <c r="B4" s="1">
        <v>14.0</v>
      </c>
      <c r="C4" s="1">
        <v>26.0</v>
      </c>
      <c r="E4" s="1" t="str">
        <f>VLOOKUP(A4,Classes!A:C,2,0)</f>
        <v>Rogue</v>
      </c>
      <c r="F4" s="1" t="str">
        <f>VLOOKUP(C4,Spells!A:C,2,0)</f>
        <v>Backstab 2</v>
      </c>
    </row>
    <row r="5">
      <c r="A5" s="1">
        <v>2.0</v>
      </c>
      <c r="B5" s="1">
        <v>19.0</v>
      </c>
      <c r="C5" s="1">
        <v>27.0</v>
      </c>
      <c r="E5" s="1" t="str">
        <f>VLOOKUP(A5,Classes!A:C,2,0)</f>
        <v>Rogue</v>
      </c>
      <c r="F5" s="1" t="str">
        <f>VLOOKUP(C5,Spells!A:C,2,0)</f>
        <v>Nimble 1</v>
      </c>
    </row>
    <row r="6">
      <c r="A6" s="1">
        <v>2.0</v>
      </c>
      <c r="B6" s="1">
        <v>24.0</v>
      </c>
      <c r="C6" s="1">
        <v>28.0</v>
      </c>
      <c r="E6" s="1" t="str">
        <f>VLOOKUP(A6,Classes!A:C,2,0)</f>
        <v>Rogue</v>
      </c>
      <c r="F6" s="1" t="str">
        <f>VLOOKUP(C6,Spells!A:C,2,0)</f>
        <v>Backstab 3</v>
      </c>
    </row>
    <row r="7">
      <c r="A7" s="1">
        <v>2.0</v>
      </c>
      <c r="B7" s="1">
        <v>28.0</v>
      </c>
      <c r="C7" s="1">
        <v>81.0</v>
      </c>
      <c r="E7" s="1" t="str">
        <f>VLOOKUP(A7,Classes!A:C,2,0)</f>
        <v>Rogue</v>
      </c>
      <c r="F7" s="1" t="str">
        <f>VLOOKUP(C7,Spells!A:C,2,0)</f>
        <v>Invisibility</v>
      </c>
    </row>
    <row r="8">
      <c r="A8" s="1">
        <v>2.0</v>
      </c>
      <c r="B8" s="1">
        <v>31.0</v>
      </c>
      <c r="C8" s="1">
        <v>82.0</v>
      </c>
      <c r="E8" s="1" t="str">
        <f>VLOOKUP(A8,Classes!A:C,2,0)</f>
        <v>Rogue</v>
      </c>
      <c r="F8" s="1" t="str">
        <f>VLOOKUP(C8,Spells!A:C,2,0)</f>
        <v>Poison Weapon 2</v>
      </c>
    </row>
    <row r="9">
      <c r="A9" s="1">
        <v>2.0</v>
      </c>
      <c r="B9" s="1">
        <v>34.0</v>
      </c>
      <c r="C9" s="1">
        <v>83.0</v>
      </c>
      <c r="E9" s="1" t="str">
        <f>VLOOKUP(A9,Classes!A:C,2,0)</f>
        <v>Rogue</v>
      </c>
      <c r="F9" s="1" t="str">
        <f>VLOOKUP(C9,Spells!A:C,2,0)</f>
        <v>Backstab 4</v>
      </c>
    </row>
    <row r="10">
      <c r="A10" s="1">
        <v>2.0</v>
      </c>
      <c r="B10" s="1">
        <v>39.0</v>
      </c>
      <c r="C10" s="1">
        <v>84.0</v>
      </c>
      <c r="E10" s="1" t="str">
        <f>VLOOKUP(A10,Classes!A:C,2,0)</f>
        <v>Rogue</v>
      </c>
      <c r="F10" s="1" t="str">
        <f>VLOOKUP(C10,Spells!A:C,2,0)</f>
        <v>Nimble 2</v>
      </c>
    </row>
    <row r="11">
      <c r="A11" s="1">
        <v>2.0</v>
      </c>
      <c r="B11" s="1">
        <v>44.0</v>
      </c>
      <c r="C11" s="1">
        <v>85.0</v>
      </c>
      <c r="E11" s="1" t="str">
        <f>VLOOKUP(A11,Classes!A:C,2,0)</f>
        <v>Rogue</v>
      </c>
      <c r="F11" s="1" t="str">
        <f>VLOOKUP(C11,Spells!A:C,2,0)</f>
        <v>Backstab 5</v>
      </c>
    </row>
    <row r="12">
      <c r="A12" s="1">
        <v>3.0</v>
      </c>
      <c r="B12" s="1">
        <v>1.0</v>
      </c>
      <c r="C12" s="1">
        <v>4.0</v>
      </c>
      <c r="E12" s="1" t="str">
        <f>VLOOKUP(A12,Classes!A:C,2,0)</f>
        <v>Warrior</v>
      </c>
      <c r="F12" s="1" t="str">
        <f>VLOOKUP(C12,Spells!A:C,2,0)</f>
        <v>Taunt 1</v>
      </c>
    </row>
    <row r="13">
      <c r="A13" s="1">
        <v>3.0</v>
      </c>
      <c r="B13" s="1">
        <v>5.0</v>
      </c>
      <c r="C13" s="1">
        <v>20.0</v>
      </c>
      <c r="E13" s="1" t="str">
        <f>VLOOKUP(A13,Classes!A:C,2,0)</f>
        <v>Warrior</v>
      </c>
      <c r="F13" s="1" t="str">
        <f>VLOOKUP(C13,Spells!A:C,2,0)</f>
        <v>Rampant Rage</v>
      </c>
    </row>
    <row r="14">
      <c r="A14" s="1">
        <v>3.0</v>
      </c>
      <c r="B14" s="1">
        <v>9.0</v>
      </c>
      <c r="C14" s="1">
        <v>21.0</v>
      </c>
      <c r="E14" s="1" t="str">
        <f>VLOOKUP(A14,Classes!A:C,2,0)</f>
        <v>Warrior</v>
      </c>
      <c r="F14" s="1" t="str">
        <f>VLOOKUP(C14,Spells!A:C,2,0)</f>
        <v>Insight</v>
      </c>
    </row>
    <row r="15">
      <c r="A15" s="1">
        <v>3.0</v>
      </c>
      <c r="B15" s="1">
        <v>14.0</v>
      </c>
      <c r="C15" s="1">
        <v>22.0</v>
      </c>
      <c r="E15" s="1" t="str">
        <f>VLOOKUP(A15,Classes!A:C,2,0)</f>
        <v>Warrior</v>
      </c>
      <c r="F15" s="1" t="str">
        <f>VLOOKUP(C15,Spells!A:C,2,0)</f>
        <v>Area Taunt</v>
      </c>
    </row>
    <row r="16">
      <c r="A16" s="1">
        <v>3.0</v>
      </c>
      <c r="B16" s="1">
        <v>19.0</v>
      </c>
      <c r="C16" s="1">
        <v>23.0</v>
      </c>
      <c r="E16" s="1" t="str">
        <f>VLOOKUP(A16,Classes!A:C,2,0)</f>
        <v>Warrior</v>
      </c>
      <c r="F16" s="1" t="str">
        <f>VLOOKUP(C16,Spells!A:C,2,0)</f>
        <v>Ground Slam 1</v>
      </c>
    </row>
    <row r="17">
      <c r="A17" s="1">
        <v>3.0</v>
      </c>
      <c r="B17" s="1">
        <v>25.0</v>
      </c>
      <c r="C17" s="1">
        <v>24.0</v>
      </c>
      <c r="E17" s="1" t="str">
        <f>VLOOKUP(A17,Classes!A:C,2,0)</f>
        <v>Warrior</v>
      </c>
      <c r="F17" s="1" t="str">
        <f>VLOOKUP(C17,Spells!A:C,2,0)</f>
        <v>Berserker 1</v>
      </c>
    </row>
    <row r="18">
      <c r="A18" s="1">
        <v>3.0</v>
      </c>
      <c r="B18" s="1">
        <v>29.0</v>
      </c>
      <c r="C18" s="1">
        <v>74.0</v>
      </c>
      <c r="E18" s="1" t="str">
        <f>VLOOKUP(A18,Classes!A:C,2,0)</f>
        <v>Warrior</v>
      </c>
      <c r="F18" s="1" t="str">
        <f>VLOOKUP(C18,Spells!A:C,2,0)</f>
        <v>Ground Slam 2</v>
      </c>
    </row>
    <row r="19">
      <c r="A19" s="1">
        <v>3.0</v>
      </c>
      <c r="B19" s="1">
        <v>30.0</v>
      </c>
      <c r="C19" s="1">
        <v>75.0</v>
      </c>
      <c r="E19" s="1" t="str">
        <f>VLOOKUP(A19,Classes!A:C,2,0)</f>
        <v>Warrior</v>
      </c>
      <c r="F19" s="1" t="str">
        <f>VLOOKUP(C19,Spells!A:C,2,0)</f>
        <v>Taunt 2</v>
      </c>
    </row>
    <row r="20">
      <c r="A20" s="1">
        <v>3.0</v>
      </c>
      <c r="B20" s="1">
        <v>32.0</v>
      </c>
      <c r="C20" s="1">
        <v>76.0</v>
      </c>
      <c r="E20" s="1" t="str">
        <f>VLOOKUP(A20,Classes!A:C,2,0)</f>
        <v>Warrior</v>
      </c>
      <c r="F20" s="1" t="str">
        <f>VLOOKUP(C20,Spells!A:C,2,0)</f>
        <v>Fortitude 1</v>
      </c>
    </row>
    <row r="21" ht="15.75" customHeight="1">
      <c r="A21" s="1">
        <v>3.0</v>
      </c>
      <c r="B21" s="1">
        <v>35.0</v>
      </c>
      <c r="C21" s="1">
        <v>77.0</v>
      </c>
      <c r="E21" s="1" t="str">
        <f>VLOOKUP(A21,Classes!A:C,2,0)</f>
        <v>Warrior</v>
      </c>
      <c r="F21" s="1" t="str">
        <f>VLOOKUP(C21,Spells!A:C,2,0)</f>
        <v>Berserker 2</v>
      </c>
    </row>
    <row r="22" ht="15.75" customHeight="1">
      <c r="A22" s="1">
        <v>3.0</v>
      </c>
      <c r="B22" s="1">
        <v>39.0</v>
      </c>
      <c r="C22" s="1">
        <v>86.0</v>
      </c>
      <c r="E22" s="1" t="str">
        <f>VLOOKUP(A22,Classes!A:C,2,0)</f>
        <v>Warrior</v>
      </c>
      <c r="F22" s="1" t="str">
        <f>VLOOKUP(C22,Spells!A:C,2,0)</f>
        <v>Ground Slam 3</v>
      </c>
    </row>
    <row r="23" ht="15.75" customHeight="1">
      <c r="A23" s="1">
        <v>3.0</v>
      </c>
      <c r="B23" s="1">
        <v>45.0</v>
      </c>
      <c r="C23" s="1">
        <v>78.0</v>
      </c>
      <c r="E23" s="1" t="str">
        <f>VLOOKUP(A23,Classes!A:C,2,0)</f>
        <v>Warrior</v>
      </c>
      <c r="F23" s="1" t="str">
        <f>VLOOKUP(C23,Spells!A:C,2,0)</f>
        <v>Berserker 3</v>
      </c>
    </row>
    <row r="24" ht="15.75" customHeight="1">
      <c r="A24" s="1">
        <v>3.0</v>
      </c>
      <c r="B24" s="1">
        <v>46.0</v>
      </c>
      <c r="C24" s="1">
        <v>79.0</v>
      </c>
      <c r="E24" s="1" t="str">
        <f>VLOOKUP(A24,Classes!A:C,2,0)</f>
        <v>Warrior</v>
      </c>
      <c r="F24" s="1" t="str">
        <f>VLOOKUP(C24,Spells!A:C,2,0)</f>
        <v>Fortitude 2</v>
      </c>
    </row>
    <row r="25" ht="15.75" customHeight="1">
      <c r="A25" s="1">
        <v>3.0</v>
      </c>
      <c r="B25" s="1">
        <v>48.0</v>
      </c>
      <c r="C25" s="1">
        <v>80.0</v>
      </c>
      <c r="E25" s="1" t="str">
        <f>VLOOKUP(A25,Classes!A:C,2,0)</f>
        <v>Warrior</v>
      </c>
      <c r="F25" s="1" t="str">
        <f>VLOOKUP(C25,Spells!A:C,2,0)</f>
        <v>Savage Fury</v>
      </c>
    </row>
    <row r="26" ht="15.75" customHeight="1">
      <c r="A26" s="1">
        <v>3.0</v>
      </c>
      <c r="B26" s="1">
        <v>49.0</v>
      </c>
      <c r="C26" s="1">
        <v>87.0</v>
      </c>
      <c r="E26" s="1" t="str">
        <f>VLOOKUP(A26,Classes!A:C,2,0)</f>
        <v>Warrior</v>
      </c>
      <c r="F26" s="1" t="str">
        <f>VLOOKUP(C26,Spells!A:C,2,0)</f>
        <v>Ground Slam 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